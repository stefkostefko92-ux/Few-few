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truzioni" sheetId="1" state="visible" r:id="rId1"/>
    <sheet name="Voci" sheetId="2" state="visible" r:id="rId2"/>
    <sheet name="Riepilogo" sheetId="3" state="visible" r:id="rId3"/>
  </sheets>
  <definedNames>
    <definedName name="_xlnm._FilterDatabase" localSheetId="1" hidden="1">'Voci'!$A$1:$N$232</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232"/>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12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t>
        </is>
      </c>
      <c r="D12" s="10" t="inlineStr">
        <is>
          <t>Seconda verifica con la decelerazione data dal freno (tutti i gruppi, mai sotto il minimo); oggi solo avviso</t>
        </is>
      </c>
      <c r="E12" s="10" t="inlineStr">
        <is>
          <t>UNI EN 81-50:2020, 5.11.2.2.2</t>
        </is>
      </c>
      <c r="F12" s="10" t="inlineStr">
        <is>
          <t>UNI EN 81-50:2020, testo della norma, letto il 2026-10-06, p. 40</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43" customHeight="1">
      <c r="A20" s="10" t="n">
        <v>18</v>
      </c>
      <c r="B20" s="10" t="inlineStr">
        <is>
          <t>Funi</t>
        </is>
      </c>
      <c r="C20" s="10" t="inlineStr">
        <is>
          <t>Rapporto D/d della puleggia di frizione</t>
        </is>
      </c>
      <c r="D20" s="10" t="inlineStr">
        <is>
          <t>D/d ≥ 40</t>
        </is>
      </c>
      <c r="E20" s="10" t="inlineStr">
        <is>
          <t>UNI EN 81-20:2020, 5.5.2.1</t>
        </is>
      </c>
      <c r="F20" s="10" t="inlineStr">
        <is>
          <t>UNI EN 81-20:2020, testo della norma, letto il 2026-10-06, p. 74</t>
        </is>
      </c>
      <c r="G20" s="10" t="inlineStr">
        <is>
          <t>confermato</t>
        </is>
      </c>
      <c r="H20" s="10" t="inlineStr">
        <is>
          <t>D/d della puleggia</t>
        </is>
      </c>
      <c r="I20" s="11" t="n"/>
      <c r="J20" s="11" t="n"/>
      <c r="K20" s="11" t="n"/>
      <c r="L20" s="11" t="n"/>
      <c r="M20" s="11" t="n"/>
      <c r="N20" s="11" t="n"/>
    </row>
    <row r="21" ht="108" customHeight="1">
      <c r="A21" s="10" t="n">
        <v>19</v>
      </c>
      <c r="B21" s="10" t="inlineStr">
        <is>
          <t>Funi</t>
        </is>
      </c>
      <c r="C21" s="10" t="inlineStr">
        <is>
          <t>Rapporto D/d delle pulegge di rinvio — Il limite vale per ogni puleggia (5.5.2.1), mentre Dp è uno solo e nel calcolo di N_equiv(p) è la media delle pulegge di rinvio (UNI EN 81-50:2020, 5.12.2.3): con pulegge di diametro diverso si controlla la più piccola.</t>
        </is>
      </c>
      <c r="D21" s="10" t="inlineStr">
        <is>
          <t>Dp/d ≥ 40</t>
        </is>
      </c>
      <c r="E21" s="10" t="inlineStr">
        <is>
          <t>UNI EN 81-20:2020, 5.5.2.1; UNI 10411-1:2024, 14.3</t>
        </is>
      </c>
      <c r="F21" s="10" t="inlineStr">
        <is>
          <t>UNI EN 81-20:2020, testo della norma, letto il 2026-10-06, p. 74; UNI 10411-1:2024, testo della norma, letto il 2026-10-06, p. 14</t>
        </is>
      </c>
      <c r="G21" s="10" t="inlineStr">
        <is>
          <t>confermato</t>
        </is>
      </c>
      <c r="H21" s="10" t="inlineStr">
        <is>
          <t>Dp/d dei rinvii</t>
        </is>
      </c>
      <c r="I21" s="11" t="n"/>
      <c r="J21" s="11" t="n"/>
      <c r="K21" s="11" t="n"/>
      <c r="L21" s="11" t="n"/>
      <c r="M21" s="11" t="n"/>
      <c r="N21" s="11" t="n"/>
    </row>
    <row r="22" ht="95" customHeight="1">
      <c r="A22" s="10" t="n">
        <v>20</v>
      </c>
      <c r="B22" s="10" t="inlineStr">
        <is>
          <t>Funi</t>
        </is>
      </c>
      <c r="C22" s="10" t="inlineStr">
        <is>
          <t>Numero minimo di funi — Con 2 sole funi serve anche il dispositivo contro l’allungamento anomalo (voce funi.due): il software lo ricorda, non lo verifica.</t>
        </is>
      </c>
      <c r="D22" s="10" t="inlineStr">
        <is>
          <t>almeno 2 funi indipendenti, ciascuna con il suo attacco</t>
        </is>
      </c>
      <c r="E22" s="10" t="inlineStr">
        <is>
          <t>DPR 162/1999, All. I 1.3 (Direttiva 2014/33/UE, All. I); UNI EN 81-20:2020, 5.5</t>
        </is>
      </c>
      <c r="F22" s="10" t="inlineStr">
        <is>
          <t>DPR 162/1999 consolidato (Normattiva), letto il 2026-10-02, e Direttiva 2014/33/UE nel testo ufficiale italiano (EUR-Lex, fornito dal cliente), letto il 2026-10-04 (ricerca, cap. 16): All. I 1.3</t>
        </is>
      </c>
      <c r="G22" s="10" t="inlineStr">
        <is>
          <t>confermato</t>
        </is>
      </c>
      <c r="H22" s="10" t="inlineStr">
        <is>
          <t>numero e diametro delle funi</t>
        </is>
      </c>
      <c r="I22" s="11" t="n"/>
      <c r="J22" s="11" t="n"/>
      <c r="K22" s="11" t="n"/>
      <c r="L22" s="11" t="n"/>
      <c r="M22" s="11" t="n"/>
      <c r="N22" s="11" t="n"/>
    </row>
    <row r="23" ht="69" customHeight="1">
      <c r="A23" s="10" t="n">
        <v>21</v>
      </c>
      <c r="B23" s="10" t="inlineStr">
        <is>
          <t>Funi</t>
        </is>
      </c>
      <c r="C23" s="10" t="inlineStr">
        <is>
          <t>Cabina appesa a due funi</t>
        </is>
      </c>
      <c r="D23" s="10" t="inlineStr">
        <is>
          <t>con 2 funi un dispositivo elettrico di sicurezza (5.11.2) ferma la macchina se una fune si allunga in modo anomalo rispetto all’altra (informazione)</t>
        </is>
      </c>
      <c r="E23" s="10" t="inlineStr">
        <is>
          <t>UNI EN 81-20:2020, 5.5.5.3 a); UNI EN 81-1:2008, 9.5.3</t>
        </is>
      </c>
      <c r="F23" s="10" t="inlineStr">
        <is>
          <t>UNI EN 81-20:2020, testo della norma, letto il 2026-10-06, p. 76; UNI EN 81-1:2008, testo della norma, letto il 2026-10-06, p. 56</t>
        </is>
      </c>
      <c r="G23" s="10" t="inlineStr">
        <is>
          <t>confermato</t>
        </is>
      </c>
      <c r="H23" s="10" t="inlineStr">
        <is>
          <t>cabina appesa a due funi</t>
        </is>
      </c>
      <c r="I23" s="11" t="n"/>
      <c r="J23" s="11" t="n"/>
      <c r="K23" s="11" t="n"/>
      <c r="L23" s="11" t="n"/>
      <c r="M23" s="11" t="n"/>
      <c r="N23" s="11" t="n"/>
    </row>
    <row r="24" ht="108" customHeight="1">
      <c r="A24" s="10" t="n">
        <v>22</v>
      </c>
      <c r="B24" s="10" t="inlineStr">
        <is>
          <t>Funi</t>
        </is>
      </c>
      <c r="C24" s="10" t="inlineStr">
        <is>
          <t>Funi trattenute nelle gole</t>
        </is>
      </c>
      <c r="D24" s="10" t="inlineStr">
        <is>
          <t>un fermo dove le funi entrano ed escono dalla puleggia e almeno uno intermedio se più di 60° dell’arco di avvolgimento sono sotto l’orizzontale per l’asse e l’avvolgimento supera 120°: con la macchina in basso le funi avvolgono la puleggia da sotto; con il rinvio un avvolgimento oltre 180° scende sotto l’orizzontale di altrettanto (informazione)</t>
        </is>
      </c>
      <c r="E24" s="10" t="inlineStr">
        <is>
          <t>UNI EN 81-20:2020, 5.5.7.2</t>
        </is>
      </c>
      <c r="F24" s="10" t="inlineStr">
        <is>
          <t>UNI EN 81-20:2020, testo della norma, letto il 2026-10-06, pp. 77–78</t>
        </is>
      </c>
      <c r="G24" s="10" t="inlineStr">
        <is>
          <t>confermato</t>
        </is>
      </c>
      <c r="H24" s="10" t="inlineStr">
        <is>
          <t>funi trattenute nelle gole</t>
        </is>
      </c>
      <c r="I24" s="11" t="n"/>
      <c r="J24" s="11" t="n"/>
      <c r="K24" s="11" t="n"/>
      <c r="L24" s="11" t="n"/>
      <c r="M24" s="11" t="n"/>
      <c r="N24" s="11" t="n"/>
    </row>
    <row r="25" ht="43" customHeight="1">
      <c r="A25" s="10" t="n">
        <v>23</v>
      </c>
      <c r="B25" s="10" t="inlineStr">
        <is>
          <t>Funi</t>
        </is>
      </c>
      <c r="C25" s="10" t="inlineStr">
        <is>
          <t>Diametro nominale minimo</t>
        </is>
      </c>
      <c r="D25" s="10" t="inlineStr">
        <is>
          <t>d ≥ 8 mm</t>
        </is>
      </c>
      <c r="E25" s="10" t="inlineStr">
        <is>
          <t>UNI EN 81-20:2020, 5.5.1.2 a)</t>
        </is>
      </c>
      <c r="F25" s="10" t="inlineStr">
        <is>
          <t>UNI EN 81-20:2020, testo della norma, letto il 2026-10-06, p. 74</t>
        </is>
      </c>
      <c r="G25" s="10" t="inlineStr">
        <is>
          <t>confermato</t>
        </is>
      </c>
      <c r="H25" s="10" t="inlineStr">
        <is>
          <t>numero e diametro delle funi</t>
        </is>
      </c>
      <c r="I25" s="11" t="n"/>
      <c r="J25" s="11" t="n"/>
      <c r="K25" s="11" t="n"/>
      <c r="L25" s="11" t="n"/>
      <c r="M25" s="11" t="n"/>
      <c r="N25" s="11" t="n"/>
    </row>
    <row r="26" ht="108" customHeight="1">
      <c r="A26" s="10" t="n">
        <v>24</v>
      </c>
      <c r="B26" s="10" t="inlineStr">
        <is>
          <t>Funi</t>
        </is>
      </c>
      <c r="C26"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6" s="10" t="inlineStr">
        <is>
          <t>12 con tre o più funi; 16 con due funi</t>
        </is>
      </c>
      <c r="E26" s="10" t="inlineStr">
        <is>
          <t>UNI EN 81-20:2020, 5.5.2.2 a)–b); UNI 10411-1:2024, 14.1 c)–d)</t>
        </is>
      </c>
      <c r="F26" s="10" t="inlineStr">
        <is>
          <t>UNI EN 81-20:2020, testo della norma, letto il 2026-10-06, pp. 74–75; UNI 10411-1:2024, testo della norma, letto il 2026-10-06, p. 13</t>
        </is>
      </c>
      <c r="G26" s="10" t="inlineStr">
        <is>
          <t>confermato</t>
        </is>
      </c>
      <c r="H26" s="10" t="inlineStr">
        <is>
          <t>coefficiente di sicurezza delle funi</t>
        </is>
      </c>
      <c r="I26" s="11" t="n"/>
      <c r="J26" s="11" t="n"/>
      <c r="K26" s="11" t="n"/>
      <c r="L26" s="11" t="n"/>
      <c r="M26" s="11" t="n"/>
      <c r="N26" s="11" t="n"/>
    </row>
    <row r="27" ht="69" customHeight="1">
      <c r="A27" s="10" t="n">
        <v>25</v>
      </c>
      <c r="B27" s="10" t="inlineStr">
        <is>
          <t>Funi</t>
        </is>
      </c>
      <c r="C27" s="10" t="inlineStr">
        <is>
          <t>Coefficiente di sicurezza richiesto S_f</t>
        </is>
      </c>
      <c r="D27" s="10" t="inlineStr">
        <is>
          <t>S_f = 10^[2,6834 − log10(695,85·10^6·N_equiv/(D/d)^8,567) / log10(77,09·(D/d)^−2,894)]</t>
        </is>
      </c>
      <c r="E27" s="10" t="inlineStr">
        <is>
          <t>UNI EN 81-50:2020, 5.12.3 (ex UNI EN 81-1:2008, appendice N)</t>
        </is>
      </c>
      <c r="F27" s="10" t="inlineStr">
        <is>
          <t>UNI EN 81-50:2020, testo della norma, letto il 2026-10-06, p. 46; riprodotto anche su due casi pubblicati (liftdesign.it S_f 16,69; Mellor)</t>
        </is>
      </c>
      <c r="G27" s="10" t="inlineStr">
        <is>
          <t>confermato</t>
        </is>
      </c>
      <c r="H27" s="10" t="inlineStr">
        <is>
          <t>coefficiente di sicurezza delle funi</t>
        </is>
      </c>
      <c r="I27" s="11" t="n"/>
      <c r="J27" s="11" t="n"/>
      <c r="K27" s="11" t="n"/>
      <c r="L27" s="11" t="n"/>
      <c r="M27" s="11" t="n"/>
      <c r="N27" s="11" t="n"/>
    </row>
    <row r="28" ht="108" customHeight="1">
      <c r="A28" s="10" t="n">
        <v>26</v>
      </c>
      <c r="B28" s="10" t="inlineStr">
        <is>
          <t>Funi</t>
        </is>
      </c>
      <c r="C28"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8" s="10" t="inlineStr">
        <is>
          <t>N_equiv(p) = K_p·(N_ps + 4·N_pr), K_p = (D/Dp)^4</t>
        </is>
      </c>
      <c r="E28" s="10" t="inlineStr">
        <is>
          <t>UNI EN 81-50:2020, 5.12.2.3</t>
        </is>
      </c>
      <c r="F28" s="10" t="inlineStr">
        <is>
          <t>UNI EN 81-50:2020, testo della norma, letto il 2026-10-06, p. 46</t>
        </is>
      </c>
      <c r="G28" s="10" t="inlineStr">
        <is>
          <t>confermato</t>
        </is>
      </c>
      <c r="H28" s="10" t="inlineStr">
        <is>
          <t>coefficiente di sicurezza delle funi</t>
        </is>
      </c>
      <c r="I28" s="11" t="n"/>
      <c r="J28" s="11" t="n"/>
      <c r="K28" s="11" t="n"/>
      <c r="L28" s="11" t="n"/>
      <c r="M28" s="11" t="n"/>
      <c r="N28" s="11" t="n"/>
    </row>
    <row r="29" ht="69" customHeight="1">
      <c r="A29" s="10" t="n">
        <v>27</v>
      </c>
      <c r="B29" s="10" t="inlineStr">
        <is>
          <t>Funi</t>
        </is>
      </c>
      <c r="C29" s="10" t="inlineStr">
        <is>
          <t>N_equiv(t) della gola</t>
        </is>
      </c>
      <c r="D29" s="10" t="inlineStr">
        <is>
          <t>U senza sottosquadro 1 · U con sottosquadro: β 75° 2,5; 80° 3,0; 85° 3,8; 90° 5,0; 95° 6,7; 100° 10,0; 105° 15,2 · V: γ 35° 18,5; 36° 16,0; 38° 12,0; 40° 10,0; 42° 8,0; 45° 6,5; 50° 5,0</t>
        </is>
      </c>
      <c r="E29" s="10" t="inlineStr">
        <is>
          <t>UNI EN 81-50:2020, 5.12.2.2, prospetto 2</t>
        </is>
      </c>
      <c r="F29" s="10" t="inlineStr">
        <is>
          <t>UNI EN 81-50:2020, testo della norma, letto il 2026-10-06, p. 46 (i valori della gola a V differiscono da quelli della UNI EN 81-1:2008, prospetto N.1)</t>
        </is>
      </c>
      <c r="G29" s="10" t="inlineStr">
        <is>
          <t>confermato</t>
        </is>
      </c>
      <c r="H29" s="10" t="inlineStr">
        <is>
          <t>coefficiente di sicurezza delle funi</t>
        </is>
      </c>
      <c r="I29" s="11" t="n"/>
      <c r="J29" s="11" t="n"/>
      <c r="K29" s="11" t="n"/>
      <c r="L29" s="11" t="n"/>
      <c r="M29" s="11" t="n"/>
      <c r="N29" s="11" t="n"/>
    </row>
    <row r="30" ht="95" customHeight="1">
      <c r="A30" s="10" t="n">
        <v>28</v>
      </c>
      <c r="B30" s="10" t="inlineStr">
        <is>
          <t>Funi</t>
        </is>
      </c>
      <c r="C30" s="10" t="inlineStr">
        <is>
          <t>N_equiv(t) della gola a V con sottosquadro — Scelta dal lato della sicurezza; la UNI EN 81-1:2008 (prospetto N.1) intitola la riga con sottosquadro «U/V»: con una macchina secondo quella norma l’ingegnere può prendere il valore di β.</t>
        </is>
      </c>
      <c r="D30" s="10" t="inlineStr">
        <is>
          <t>il maggiore tra il valore per β (riga a U con sottosquadro) e quello per γ (riga a V)</t>
        </is>
      </c>
      <c r="E30" s="10" t="inlineStr">
        <is>
          <t>UNI EN 81-50:2020, 5.12.2.2, prospetto 2</t>
        </is>
      </c>
      <c r="F30" s="10" t="inlineStr">
        <is>
          <t>UNI EN 81-50:2020, testo della norma, letto il 2026-10-06, p. 46 (il prospetto non ha una riga per questa gola)</t>
        </is>
      </c>
      <c r="G30" s="10" t="inlineStr">
        <is>
          <t>scelta del software</t>
        </is>
      </c>
      <c r="H30" s="10" t="inlineStr">
        <is>
          <t>coefficiente di sicurezza delle funi</t>
        </is>
      </c>
      <c r="I30" s="11" t="n"/>
      <c r="J30" s="11" t="n"/>
      <c r="K30" s="11" t="n"/>
      <c r="L30" s="11" t="n"/>
      <c r="M30" s="11" t="n"/>
      <c r="N30" s="11" t="n"/>
    </row>
    <row r="31" ht="43" customHeight="1">
      <c r="A31" s="10" t="n">
        <v>29</v>
      </c>
      <c r="B31" s="10" t="inlineStr">
        <is>
          <t>Funi</t>
        </is>
      </c>
      <c r="C31" s="10" t="inlineStr">
        <is>
          <t>Angoli tra i punti della tabella di N_equiv(t)</t>
        </is>
      </c>
      <c r="D31" s="10" t="inlineStr">
        <is>
          <t>interpolazione lineare tra i due punti vicini</t>
        </is>
      </c>
      <c r="E31" s="10" t="inlineStr">
        <is>
          <t>UNI EN 81-50:2020, 5.12.2.2</t>
        </is>
      </c>
      <c r="F31" s="10" t="inlineStr">
        <is>
          <t>UNI EN 81-50:2020, testo della norma, letto il 2026-10-06, p. 46</t>
        </is>
      </c>
      <c r="G31" s="10" t="inlineStr">
        <is>
          <t>confermato</t>
        </is>
      </c>
      <c r="H31" s="10" t="inlineStr">
        <is>
          <t>coefficiente di sicurezza delle funi</t>
        </is>
      </c>
      <c r="I31" s="11" t="n"/>
      <c r="J31" s="11" t="n"/>
      <c r="K31" s="11" t="n"/>
      <c r="L31" s="11" t="n"/>
      <c r="M31" s="11" t="n"/>
      <c r="N31" s="11" t="n"/>
    </row>
    <row r="32" ht="82" customHeight="1">
      <c r="A32" s="10" t="n">
        <v>30</v>
      </c>
      <c r="B32" s="10" t="inlineStr">
        <is>
          <t>Funi</t>
        </is>
      </c>
      <c r="C32" s="10" t="inlineStr">
        <is>
          <t>Angoli fuori dalla tabella di N_equiv(t)</t>
        </is>
      </c>
      <c r="D32" s="10" t="inlineStr">
        <is>
          <t>U: sotto 75° il valore di 75°, oltre 105° estrapolazione dall’ultimo tratto, segnalata · V: oltre 50° il valore di 50°</t>
        </is>
      </c>
      <c r="E32" s="10" t="inlineStr">
        <is>
          <t>UNI EN 81-50:2020, 5.12.2.2</t>
        </is>
      </c>
      <c r="F32" s="10" t="inlineStr">
        <is>
          <t>scelta prudente del software (la tabella si ferma a quegli angoli; N_equiv cresce con β e cala con γ, quindi il valore dell’estremo sta dal lato della sicurezza)</t>
        </is>
      </c>
      <c r="G32" s="10" t="inlineStr">
        <is>
          <t>scelta del software</t>
        </is>
      </c>
      <c r="H32" s="10" t="inlineStr">
        <is>
          <t>coefficiente di sicurezza delle funi</t>
        </is>
      </c>
      <c r="I32" s="11" t="n"/>
      <c r="J32" s="11" t="n"/>
      <c r="K32" s="11" t="n"/>
      <c r="L32" s="11" t="n"/>
      <c r="M32" s="11" t="n"/>
      <c r="N32" s="11" t="n"/>
    </row>
    <row r="33" ht="56" customHeight="1">
      <c r="A33" s="10" t="n">
        <v>31</v>
      </c>
      <c r="B33" s="10" t="inlineStr">
        <is>
          <t>Funi</t>
        </is>
      </c>
      <c r="C33" s="10" t="inlineStr">
        <is>
          <t>Tiro massimo per fune — Con la macchina in basso il tiro sul primo tratto verso la testata è una derivazione del software.</t>
        </is>
      </c>
      <c r="D33" s="10" t="inlineStr">
        <is>
          <t>cabina con portata ferma al piano più basso; con la macchina in basso sul primo tratto verso la testata</t>
        </is>
      </c>
      <c r="E33" s="10" t="inlineStr">
        <is>
          <t>UNI EN 81-20:2020, 5.5.2.2 (definizione); UNI EN 81-50:2020, 5.12.1</t>
        </is>
      </c>
      <c r="F33" s="10" t="inlineStr">
        <is>
          <t>UNI EN 81-20:2020, testo della norma, letto il 2026-10-06, pp. 74–75</t>
        </is>
      </c>
      <c r="G33" s="10" t="inlineStr">
        <is>
          <t>confermato</t>
        </is>
      </c>
      <c r="H33" s="10" t="inlineStr">
        <is>
          <t>coefficiente di sicurezza delle funi</t>
        </is>
      </c>
      <c r="I33" s="11" t="n"/>
      <c r="J33" s="11" t="n"/>
      <c r="K33" s="11" t="n"/>
      <c r="L33" s="11" t="n"/>
      <c r="M33" s="11" t="n"/>
      <c r="N33" s="11" t="n"/>
    </row>
    <row r="34" ht="43" customHeight="1">
      <c r="A34" s="10" t="n">
        <v>32</v>
      </c>
      <c r="B34" s="10" t="inlineStr">
        <is>
          <t>Funi</t>
        </is>
      </c>
      <c r="C34" s="10" t="inlineStr">
        <is>
          <t>Stima di carico di rottura e massa delle funi</t>
        </is>
      </c>
      <c r="D34" s="10" t="inlineStr">
        <is>
          <t>8×19 Seale anima tessile 1570 N/mm²: 8 mm = 30,4 kN e 0,215 kg/m, poi in proporzione a d²</t>
        </is>
      </c>
      <c r="E34" s="10" t="inlineStr">
        <is>
          <t>—</t>
        </is>
      </c>
      <c r="F34" s="10" t="inlineStr">
        <is>
          <t>tabella Pfeifer 8×19S NFC; usata solo con il pulsante di stima e nella proposta libera</t>
        </is>
      </c>
      <c r="G34" s="10" t="inlineStr">
        <is>
          <t>stima</t>
        </is>
      </c>
      <c r="H34" s="10" t="inlineStr">
        <is>
          <t>—</t>
        </is>
      </c>
      <c r="I34" s="11" t="n"/>
      <c r="J34" s="11" t="n"/>
      <c r="K34" s="11" t="n"/>
      <c r="L34" s="11" t="n"/>
      <c r="M34" s="11" t="n"/>
      <c r="N34" s="11" t="n"/>
    </row>
    <row r="35" ht="69" customHeight="1">
      <c r="A35" s="10" t="n">
        <v>33</v>
      </c>
      <c r="B35" s="10" t="inlineStr">
        <is>
          <t>Freno</t>
        </is>
      </c>
      <c r="C35" s="10" t="inlineStr">
        <is>
          <t>Gruppi meccanici del freno</t>
        </is>
      </c>
      <c r="D35" s="10" t="inlineStr">
        <is>
          <t>almeno 2</t>
        </is>
      </c>
      <c r="E35" s="10" t="inlineStr">
        <is>
          <t>UNI EN 81-20:2020, 5.9.2.2.2.1; UNI 10411-1:2024, 14.1 a)</t>
        </is>
      </c>
      <c r="F35" s="10" t="inlineStr">
        <is>
          <t>UNI EN 81-20:2020, testo della norma, letto il 2026-10-06, p. 100; UNI 10411-1:2024, testo della norma, letto il 2026-10-06, p. 13</t>
        </is>
      </c>
      <c r="G35" s="10" t="inlineStr">
        <is>
          <t>confermato</t>
        </is>
      </c>
      <c r="H35" s="10" t="inlineStr">
        <is>
          <t>gruppi del freno</t>
        </is>
      </c>
      <c r="I35" s="11" t="n"/>
      <c r="J35" s="11" t="n"/>
      <c r="K35" s="11" t="n"/>
      <c r="L35" s="11" t="n"/>
      <c r="M35" s="11" t="n"/>
      <c r="N35" s="11" t="n"/>
    </row>
    <row r="36" ht="43" customHeight="1">
      <c r="A36" s="10" t="n">
        <v>34</v>
      </c>
      <c r="B36" s="10" t="inlineStr">
        <is>
          <t>Freno</t>
        </is>
      </c>
      <c r="C36" s="10" t="inlineStr">
        <is>
          <t>Freno, tutti i gruppi</t>
        </is>
      </c>
      <c r="D36" s="10" t="inlineStr">
        <is>
          <t>arresta la cabina in discesa a velocità nominale con 1,25·Q</t>
        </is>
      </c>
      <c r="E36" s="10" t="inlineStr">
        <is>
          <t>UNI EN 81-20:2020, 5.9.2.2.2.1</t>
        </is>
      </c>
      <c r="F36" s="10" t="inlineStr">
        <is>
          <t>UNI EN 81-20:2020, testo della norma, letto il 2026-10-06, p. 100</t>
        </is>
      </c>
      <c r="G36" s="10" t="inlineStr">
        <is>
          <t>confermato</t>
        </is>
      </c>
      <c r="H36" s="10" t="inlineStr">
        <is>
          <t>freno, tutti i gruppi</t>
        </is>
      </c>
      <c r="I36" s="11" t="n"/>
      <c r="J36" s="11" t="n"/>
      <c r="K36" s="11" t="n"/>
      <c r="L36" s="11" t="n"/>
      <c r="M36" s="11" t="n"/>
      <c r="N36" s="11" t="n"/>
    </row>
    <row r="37" ht="95" customHeight="1">
      <c r="A37" s="10" t="n">
        <v>35</v>
      </c>
      <c r="B37" s="10" t="inlineStr">
        <is>
          <t>Freno</t>
        </is>
      </c>
      <c r="C37" s="10" t="inlineStr">
        <is>
          <t>Freno, un solo gruppo — La UNI 10411-1:2024 (11.1.4) e la UNI EN 81-1:2008 (12.4.2.1) chiedono a un solo gruppo di rallentare la cabina carica in discesa; il software applica la richiesta più completa della UNI EN 81-20.</t>
        </is>
      </c>
      <c r="D37" s="10" t="inlineStr">
        <is>
          <t>rallenta, arresta e tiene la cabina con portata in discesa e la cabina vuota in salita</t>
        </is>
      </c>
      <c r="E37" s="10" t="inlineStr">
        <is>
          <t>UNI EN 81-20:2020, 5.9.2.2.2.1; UNI 10411-1:2024, 14.1 a)</t>
        </is>
      </c>
      <c r="F37" s="10" t="inlineStr">
        <is>
          <t>UNI EN 81-20:2020, testo della norma, letto il 2026-10-06, p. 100; UNI 10411-1:2024, testo della norma, letto il 2026-10-06, p. 13</t>
        </is>
      </c>
      <c r="G37" s="10" t="inlineStr">
        <is>
          <t>confermato</t>
        </is>
      </c>
      <c r="H37" s="10" t="inlineStr">
        <is>
          <t>freno, un gruppo in discesa; freno, un gruppo a vuoto in salita</t>
        </is>
      </c>
      <c r="I37" s="11" t="n"/>
      <c r="J37" s="11" t="n"/>
      <c r="K37" s="11" t="n"/>
      <c r="L37" s="11" t="n"/>
      <c r="M37" s="11" t="n"/>
      <c r="N37" s="11" t="n"/>
    </row>
    <row r="38" ht="43" customHeight="1">
      <c r="A38" s="10" t="n">
        <v>36</v>
      </c>
      <c r="B38" s="10" t="inlineStr">
        <is>
          <t>Freno</t>
        </is>
      </c>
      <c r="C38" s="10" t="inlineStr">
        <is>
          <t>Attrito del riduttore nel fabbisogno del freno</t>
        </is>
      </c>
      <c r="D38" s="10" t="inlineStr">
        <is>
          <t>non conteggiato (η_i = 1): a favore di sicurezza</t>
        </is>
      </c>
      <c r="E38" s="10" t="inlineStr">
        <is>
          <t>—</t>
        </is>
      </c>
      <c r="F38" s="10" t="inlineStr">
        <is>
          <t>scelta prudente del software</t>
        </is>
      </c>
      <c r="G38" s="10" t="inlineStr">
        <is>
          <t>scelta del software</t>
        </is>
      </c>
      <c r="H38" s="10" t="inlineStr">
        <is>
          <t>freno, tutti i gruppi; freno, un gruppo in discesa; freno, un gruppo a vuoto in salita</t>
        </is>
      </c>
      <c r="I38" s="11" t="n"/>
      <c r="J38" s="11" t="n"/>
      <c r="K38" s="11" t="n"/>
      <c r="L38" s="11" t="n"/>
      <c r="M38" s="11" t="n"/>
      <c r="N38" s="11" t="n"/>
    </row>
    <row r="39" ht="108" customHeight="1">
      <c r="A39" s="10" t="n">
        <v>37</v>
      </c>
      <c r="B39" s="10" t="inlineStr">
        <is>
          <t>Freno</t>
        </is>
      </c>
      <c r="C39" s="10" t="inlineStr">
        <is>
          <t>Decelerazione massima del freno — La norma non dà un numero per il freno: ne confronta la decelerazione media con quella del paracadute e dell’urto sugli ammortizzatori, che hanno 1 gn come limite. Il confronto vero è con i dati dei componenti montati.</t>
        </is>
      </c>
      <c r="D39" s="10" t="inlineStr">
        <is>
          <t>≤ 1 g (oltre: «Attenzione»), da confrontare con paracadute e ammortizzatori</t>
        </is>
      </c>
      <c r="E39" s="10" t="inlineStr">
        <is>
          <t>UNI EN 81-20:2020, 5.9.2.2.2.1 (non oltre il paracadute o l’urto sugli ammortizzatori); 1 gn in 5.6.2.1.3 e 5.8.2; con il freno come organo d’arresto, 1 gn anche in 5.6.6.3 (ACOP) e 5.6.7.6 (UCM)</t>
        </is>
      </c>
      <c r="F39" s="10" t="inlineStr">
        <is>
          <t>UNI EN 81-20:2020, testo della norma, letto il 2026-10-06, pp. 81, 98–100</t>
        </is>
      </c>
      <c r="G39" s="10" t="inlineStr">
        <is>
          <t>derivazione</t>
        </is>
      </c>
      <c r="H39" s="10" t="inlineStr">
        <is>
          <t>decelerazione massima del freno</t>
        </is>
      </c>
      <c r="I39" s="11" t="n"/>
      <c r="J39" s="11" t="n"/>
      <c r="K39" s="11" t="n"/>
      <c r="L39" s="11" t="n"/>
      <c r="M39" s="11" t="n"/>
      <c r="N39" s="11" t="n"/>
    </row>
    <row r="40" ht="56" customHeight="1">
      <c r="A40" s="10" t="n">
        <v>38</v>
      </c>
      <c r="B40" s="10" t="inlineStr">
        <is>
          <t>Riduttore e motore</t>
        </is>
      </c>
      <c r="C40" s="10" t="inlineStr">
        <is>
          <t>Rendimento inverso del riduttore se non dato — Da sostituire con il valore del costruttore: la decelerazione reale del freno ne dipende molto.</t>
        </is>
      </c>
      <c r="D40" s="10" t="inlineStr">
        <is>
          <t>η_i ≈ 2 − 1/η_d (0 = irreversibile)</t>
        </is>
      </c>
      <c r="E40" s="10" t="inlineStr">
        <is>
          <t>—</t>
        </is>
      </c>
      <c r="F40" s="10" t="inlineStr">
        <is>
          <t>approssimazione della teoria della vite senza fine</t>
        </is>
      </c>
      <c r="G40" s="10" t="inlineStr">
        <is>
          <t>stima</t>
        </is>
      </c>
      <c r="H40" s="10" t="inlineStr">
        <is>
          <t>aderenza alla decelerazione reale (avviso); decelerazione massima del freno</t>
        </is>
      </c>
      <c r="I40" s="11" t="n"/>
      <c r="J40" s="11" t="n"/>
      <c r="K40" s="11" t="n"/>
      <c r="L40" s="11" t="n"/>
      <c r="M40" s="11" t="n"/>
      <c r="N40" s="11" t="n"/>
    </row>
    <row r="41" ht="43" customHeight="1">
      <c r="A41" s="10" t="n">
        <v>39</v>
      </c>
      <c r="B41" s="10" t="inlineStr">
        <is>
          <t>Riduttore e motore</t>
        </is>
      </c>
      <c r="C41" s="10" t="inlineStr">
        <is>
          <t>Coppia di accelerazione</t>
        </is>
      </c>
      <c r="D41" s="10" t="inlineStr">
        <is>
          <t>≤ 2 volte la coppia nominale (oltre: «Attenzione»; nella proposta: criterio di scelta del motore)</t>
        </is>
      </c>
      <c r="E41" s="10" t="inlineStr">
        <is>
          <t>—</t>
        </is>
      </c>
      <c r="F41" s="10" t="inlineStr">
        <is>
          <t>scelta del software; il limite vero è quello di motore e inverter</t>
        </is>
      </c>
      <c r="G41" s="10" t="inlineStr">
        <is>
          <t>scelta del software</t>
        </is>
      </c>
      <c r="H41" s="10" t="inlineStr">
        <is>
          <t>coppia di accelerazione</t>
        </is>
      </c>
      <c r="I41" s="11" t="n"/>
      <c r="J41" s="11" t="n"/>
      <c r="K41" s="11" t="n"/>
      <c r="L41" s="11" t="n"/>
      <c r="M41" s="11" t="n"/>
      <c r="N41" s="11" t="n"/>
    </row>
    <row r="42" ht="30" customHeight="1">
      <c r="A42" s="10" t="n">
        <v>40</v>
      </c>
      <c r="B42" s="10" t="inlineStr">
        <is>
          <t>Riduttore e motore</t>
        </is>
      </c>
      <c r="C42" s="10" t="inlineStr">
        <is>
          <t>Soglia di attenzione sui limiti del costruttore</t>
        </is>
      </c>
      <c r="D42" s="10" t="inlineStr">
        <is>
          <t>oltre il 98% del limite di catalogo (albero, coppia in uscita) → «Attenzione»</t>
        </is>
      </c>
      <c r="E42" s="10" t="inlineStr">
        <is>
          <t>—</t>
        </is>
      </c>
      <c r="F42" s="10" t="inlineStr">
        <is>
          <t>scelta del software</t>
        </is>
      </c>
      <c r="G42" s="10" t="inlineStr">
        <is>
          <t>scelta del software</t>
        </is>
      </c>
      <c r="H42" s="10" t="inlineStr">
        <is>
          <t>carico sull’albero; coppia in uscita</t>
        </is>
      </c>
      <c r="I42" s="11" t="n"/>
      <c r="J42" s="11" t="n"/>
      <c r="K42" s="11" t="n"/>
      <c r="L42" s="11" t="n"/>
      <c r="M42" s="11" t="n"/>
      <c r="N42" s="11" t="n"/>
    </row>
    <row r="43" ht="82" customHeight="1">
      <c r="A43" s="10" t="n">
        <v>41</v>
      </c>
      <c r="B43" s="10" t="inlineStr">
        <is>
          <t>Riduttore e motore</t>
        </is>
      </c>
      <c r="C43" s="10" t="inlineStr">
        <is>
          <t>Potenza statica del motore</t>
        </is>
      </c>
      <c r="D43" s="10" t="inlineStr">
        <is>
          <t>P_st = ΔF·v_f / (η_d·η_vano) ≤ P_n, con ΔF il maggiore tra cabina carica in salita dal basso e vuota in discesa dall’alto; con la macchina più veloce della nominale (v_reale &gt; v_f) P_st per v_reale/v_f: il motore sotto la frequenza base è limitato dalla coppia (M_st ≤ M_n)</t>
        </is>
      </c>
      <c r="E43" s="10" t="inlineStr">
        <is>
          <t>—</t>
        </is>
      </c>
      <c r="F43" s="10" t="inlineStr">
        <is>
          <t>derivazione</t>
        </is>
      </c>
      <c r="G43" s="10" t="inlineStr">
        <is>
          <t>derivazione</t>
        </is>
      </c>
      <c r="H43" s="10" t="inlineStr">
        <is>
          <t>potenza del motore</t>
        </is>
      </c>
      <c r="I43" s="11" t="n"/>
      <c r="J43" s="11" t="n"/>
      <c r="K43" s="11" t="n"/>
      <c r="L43" s="11" t="n"/>
      <c r="M43" s="11" t="n"/>
      <c r="N43" s="11" t="n"/>
    </row>
    <row r="44" ht="30" customHeight="1">
      <c r="A44" s="10" t="n">
        <v>42</v>
      </c>
      <c r="B44" s="10" t="inlineStr">
        <is>
          <t>Riduttore e motore</t>
        </is>
      </c>
      <c r="C44" s="10" t="inlineStr">
        <is>
          <t>Coppia massima in uscita dal riduttore</t>
        </is>
      </c>
      <c r="D44" s="10" t="inlineStr">
        <is>
          <t>M_p = ΔF·D/2 + J·i·α_m, confrontata con il valore di catalogo se inserito</t>
        </is>
      </c>
      <c r="E44" s="10" t="inlineStr">
        <is>
          <t>dato del costruttore</t>
        </is>
      </c>
      <c r="F44" s="10" t="inlineStr">
        <is>
          <t>derivazione</t>
        </is>
      </c>
      <c r="G44" s="10" t="inlineStr">
        <is>
          <t>derivazione</t>
        </is>
      </c>
      <c r="H44" s="10" t="inlineStr">
        <is>
          <t>coppia in uscita</t>
        </is>
      </c>
      <c r="I44" s="11" t="n"/>
      <c r="J44" s="11" t="n"/>
      <c r="K44" s="11" t="n"/>
      <c r="L44" s="11" t="n"/>
      <c r="M44" s="11" t="n"/>
      <c r="N44" s="11" t="n"/>
    </row>
    <row r="45" ht="147" customHeight="1">
      <c r="A45" s="10" t="n">
        <v>43</v>
      </c>
      <c r="B45" s="10" t="inlineStr">
        <is>
          <t>Riduttore e motore</t>
        </is>
      </c>
      <c r="C45"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t>
        </is>
      </c>
      <c r="D45" s="10" t="inlineStr">
        <is>
          <t>con metà portata a metà corsa, in salita e in discesa, non oltre il 5 % sopra la nominale (buona pratica: non oltre l'8 % sotto); non verificata: il software mostra la velocità reale e la frequenza per la nominale</t>
        </is>
      </c>
      <c r="E45" s="10" t="inlineStr">
        <is>
          <t>UNI EN 81-20:2020, 5.9.2.4; UNI 10411-1:2024, 15.1</t>
        </is>
      </c>
      <c r="F45" s="10" t="inlineStr">
        <is>
          <t>UNI EN 81-20:2020, testo della norma, letto il 2026-10-06, p. 102; UNI 10411-1:2024, testo della norma, letto il 2026-10-06, p. 14</t>
        </is>
      </c>
      <c r="G45" s="10" t="inlineStr">
        <is>
          <t>confermato</t>
        </is>
      </c>
      <c r="H45" s="10" t="inlineStr">
        <is>
          <t>—</t>
        </is>
      </c>
      <c r="I45" s="11" t="n"/>
      <c r="J45" s="11" t="n"/>
      <c r="K45" s="11" t="n"/>
      <c r="L45" s="11" t="n"/>
      <c r="M45" s="11" t="n"/>
      <c r="N45" s="11" t="n"/>
    </row>
    <row r="46" ht="82" customHeight="1">
      <c r="A46" s="10" t="n">
        <v>44</v>
      </c>
      <c r="B46" s="10" t="inlineStr">
        <is>
          <t>Manovra di emergenza</t>
        </is>
      </c>
      <c r="C46" s="10" t="inlineStr">
        <is>
          <t>Forza al volantino per far salire la cabina con la portata — La forza è quella per far salire la cabina con la portata dal piano più basso, con i rendimenti del riduttore (in avanti) e del vano.</t>
        </is>
      </c>
      <c r="D46" s="10" t="inlineStr">
        <is>
          <t>≤ 400 N, altrimenti manovra elettrica di emergenza: secondo la UNI EN 81-20:2020 quella della 5.12.1.6 (al massimo 0,30 m/s); secondo la UNI EN 81-1:2008 quella della 14.2.1.4 (al massimo 0,63 m/s)</t>
        </is>
      </c>
      <c r="E46" s="10" t="inlineStr">
        <is>
          <t>UNI EN 81-20:2020, 5.9.2.3.3 e 5.12.1.6; UNI EN 81-1:2008, 12.5.1–12.5.2 e 14.2.1.4</t>
        </is>
      </c>
      <c r="F46" s="10" t="inlineStr">
        <is>
          <t>UNI EN 81-20:2020, testo della norma, letto il 2026-10-06, pp. 102 e 129; UNI EN 81-1:2008, testo della norma, letto il 2026-10-06, pp. 69 e 89–90</t>
        </is>
      </c>
      <c r="G46" s="10" t="inlineStr">
        <is>
          <t>confermato</t>
        </is>
      </c>
      <c r="H46" s="10" t="inlineStr">
        <is>
          <t>forza al volantino</t>
        </is>
      </c>
      <c r="I46" s="11" t="n"/>
      <c r="J46" s="11" t="n"/>
      <c r="K46" s="11" t="n"/>
      <c r="L46" s="11" t="n"/>
      <c r="M46" s="11" t="n"/>
      <c r="N46" s="11" t="n"/>
    </row>
    <row r="47" ht="121" customHeight="1">
      <c r="A47" s="10" t="n">
        <v>45</v>
      </c>
      <c r="B47" s="10" t="inlineStr">
        <is>
          <t>Manovra di emergenza</t>
        </is>
      </c>
      <c r="C47" s="10" t="inlineStr">
        <is>
          <t>Mezzo meccanico per la manovra di emergenza — Solo con la macchina secondo la UNI EN 81-20:2020: la UNI EN 81-1:2008 non ha la soglia dei 150 N né l’ora di autonomia. Il verso della forza non è dato dalla norma: il software prende il peggiore.</t>
        </is>
      </c>
      <c r="D47"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7" s="10" t="inlineStr">
        <is>
          <t>UNI EN 81-20:2020, 5.9.2.2.2.9, 5.9.2.3.1 e 5.9.2.3.3</t>
        </is>
      </c>
      <c r="F47" s="10" t="inlineStr">
        <is>
          <t>UNI EN 81-20:2020, testo della norma, letto il 2026-10-06, pp. 101–102</t>
        </is>
      </c>
      <c r="G47" s="10" t="inlineStr">
        <is>
          <t>confermato</t>
        </is>
      </c>
      <c r="H47" s="10" t="inlineStr">
        <is>
          <t>forza al volantino fino a una fermata</t>
        </is>
      </c>
      <c r="I47" s="11" t="n"/>
      <c r="J47" s="11" t="n"/>
      <c r="K47" s="11" t="n"/>
      <c r="L47" s="11" t="n"/>
      <c r="M47" s="11" t="n"/>
      <c r="N47" s="11" t="n"/>
    </row>
    <row r="48" ht="69" customHeight="1">
      <c r="A48" s="10" t="n">
        <v>46</v>
      </c>
      <c r="B48" s="10" t="inlineStr">
        <is>
          <t>Manovra di emergenza</t>
        </is>
      </c>
      <c r="C48" s="10" t="inlineStr">
        <is>
          <t>Movimento per gravità con il freno aperto a mano — Il rendimento inverso η_i è quello inserito o la stima della voce azionamento.rendimento.inverso.</t>
        </is>
      </c>
      <c r="D48" s="10" t="inlineStr">
        <is>
          <t>con il riduttore irreversibile (η_i = 0) la cabina non si muove aprendo il freno: servono i mezzi della 5.9.2.3 (informazione)</t>
        </is>
      </c>
      <c r="E48" s="10" t="inlineStr">
        <is>
          <t>UNI EN 81-20:2020, 5.9.2.2.2.9</t>
        </is>
      </c>
      <c r="F48" s="10" t="inlineStr">
        <is>
          <t>UNI EN 81-20:2020, testo della norma, letto il 2026-10-06, p. 101</t>
        </is>
      </c>
      <c r="G48" s="10" t="inlineStr">
        <is>
          <t>confermato</t>
        </is>
      </c>
      <c r="H48" s="10" t="inlineStr">
        <is>
          <t>movimento per gravità</t>
        </is>
      </c>
      <c r="I48" s="11" t="n"/>
      <c r="J48" s="11" t="n"/>
      <c r="K48" s="11" t="n"/>
      <c r="L48" s="11" t="n"/>
      <c r="M48" s="11" t="n"/>
      <c r="N48" s="11" t="n"/>
    </row>
    <row r="49" ht="56" customHeight="1">
      <c r="A49" s="10" t="n">
        <v>47</v>
      </c>
      <c r="B49" s="10" t="inlineStr">
        <is>
          <t>Albero e ancoraggi</t>
        </is>
      </c>
      <c r="C49" s="10" t="inlineStr">
        <is>
          <t>Carico sull’albero della puleggia</t>
        </is>
      </c>
      <c r="D49" s="10" t="inlineStr">
        <is>
          <t>risultante dei tiri con 1,25·Q al piano più basso, confrontata con il limite del costruttore</t>
        </is>
      </c>
      <c r="E49" s="10" t="inlineStr">
        <is>
          <t>dato del costruttore; 1,25·Q come nella verifica di caricamento (UNI EN 81-50:2020, 5.11.2.2.1)</t>
        </is>
      </c>
      <c r="F49" s="10" t="inlineStr">
        <is>
          <t>derivazione; la definizione del carico va confermata con il costruttore</t>
        </is>
      </c>
      <c r="G49" s="10" t="inlineStr">
        <is>
          <t>derivazione</t>
        </is>
      </c>
      <c r="H49" s="10" t="inlineStr">
        <is>
          <t>carico sull’albero</t>
        </is>
      </c>
      <c r="I49" s="11" t="n"/>
      <c r="J49" s="11" t="n"/>
      <c r="K49" s="11" t="n"/>
      <c r="L49" s="11" t="n"/>
      <c r="M49" s="11" t="n"/>
      <c r="N49" s="11" t="n"/>
    </row>
    <row r="50" ht="30" customHeight="1">
      <c r="A50" s="10" t="n">
        <v>48</v>
      </c>
      <c r="B50" s="10" t="inlineStr">
        <is>
          <t>Albero e ancoraggi</t>
        </is>
      </c>
      <c r="C50" s="10" t="inlineStr">
        <is>
          <t>Sollevamento netto sugli ancoraggi (macchina in basso)</t>
        </is>
      </c>
      <c r="D50" s="10" t="inlineStr">
        <is>
          <t>carico verso l’alto meno la massa della macchina: da verificare con il progettista strutturale</t>
        </is>
      </c>
      <c r="E50" s="10" t="inlineStr">
        <is>
          <t>—</t>
        </is>
      </c>
      <c r="F50" s="10" t="inlineStr">
        <is>
          <t>derivazione</t>
        </is>
      </c>
      <c r="G50" s="10" t="inlineStr">
        <is>
          <t>derivazione</t>
        </is>
      </c>
      <c r="H50" s="10" t="inlineStr">
        <is>
          <t>sollevamento netto</t>
        </is>
      </c>
      <c r="I50" s="11" t="n"/>
      <c r="J50" s="11" t="n"/>
      <c r="K50" s="11" t="n"/>
      <c r="L50" s="11" t="n"/>
      <c r="M50" s="11" t="n"/>
      <c r="N50" s="11" t="n"/>
    </row>
    <row r="51" ht="108" customHeight="1">
      <c r="A51" s="10" t="n">
        <v>49</v>
      </c>
      <c r="B51" s="10" t="inlineStr">
        <is>
          <t>Sostituzione (Italia)</t>
        </is>
      </c>
      <c r="C51" s="10" t="inlineStr">
        <is>
          <t>La sostituzione del macchinario è una modifica costruttiva</t>
        </is>
      </c>
      <c r="D51" s="10" t="inlineStr">
        <is>
          <t>modifica costruttiva (art. 2 c.1 lett. cc), n. 5): prima l’adeguamento della parte sostituita e delle altre parti interessate, poi la comunicazione aggiornata al Comune e al soggetto delle verifiche periodiche, senza la quale l’impianto non si tiene in esercizio (art. 12 c.4–5); verifica straordinaria da uno dei soggetti dell’art. 13 c.1 (art. 14 c.3)</t>
        </is>
      </c>
      <c r="E51" s="10" t="inlineStr">
        <is>
          <t>DPR 162/1999 e s.m.i., art. 2 c.1 lett. cc), art. 12 c.4–5, art. 14 c.3</t>
        </is>
      </c>
      <c r="F51" s="10" t="inlineStr">
        <is>
          <t>DPR 162/1999 consolidato (Normattiva), letto il 2026-10-02 (ricerca, cap. 16), §3.2</t>
        </is>
      </c>
      <c r="G51" s="10" t="inlineStr">
        <is>
          <t>confermato</t>
        </is>
      </c>
      <c r="H51" s="10" t="inlineStr">
        <is>
          <t>—</t>
        </is>
      </c>
      <c r="I51" s="11" t="n"/>
      <c r="J51" s="11" t="n"/>
      <c r="K51" s="11" t="n"/>
      <c r="L51" s="11" t="n"/>
      <c r="M51" s="11" t="n"/>
      <c r="N51" s="11" t="n"/>
    </row>
    <row r="52" ht="290" customHeight="1">
      <c r="A52" s="10" t="n">
        <v>50</v>
      </c>
      <c r="B52" s="10" t="inlineStr">
        <is>
          <t>Sostituzione (Italia)</t>
        </is>
      </c>
      <c r="C52" s="10" t="inlineStr">
        <is>
          <t>Adeguamenti richiesti per la sostituzione del macchinario</t>
        </is>
      </c>
      <c r="D52"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2" s="10" t="inlineStr">
        <is>
          <t>UNI 10411-1:2024, 4, 14.1–14.4, 17.1, 25.5, appendice C; UNI 10411-11:2024, 14.1–14.3, 17</t>
        </is>
      </c>
      <c r="F52" s="10" t="inlineStr">
        <is>
          <t>UNI 10411-1:2024, testo della norma, letto il 2026-10-06, pp. 6, 13–14, 16, 21 e 30; UNI 10411-11:2024, testo della norma, letto il 2026-10-06, pp. 12 e 14</t>
        </is>
      </c>
      <c r="G52" s="10" t="inlineStr">
        <is>
          <t>confermato</t>
        </is>
      </c>
      <c r="H52" s="10" t="inlineStr">
        <is>
          <t>gruppi del freno</t>
        </is>
      </c>
      <c r="I52" s="11" t="n"/>
      <c r="J52" s="11" t="n"/>
      <c r="K52" s="11" t="n"/>
      <c r="L52" s="11" t="n"/>
      <c r="M52" s="11" t="n"/>
      <c r="N52" s="11" t="n"/>
    </row>
    <row r="53" ht="43" customHeight="1">
      <c r="A53" s="10" t="n">
        <v>51</v>
      </c>
      <c r="B53" s="10" t="inlineStr">
        <is>
          <t>Sostituzione (Italia)</t>
        </is>
      </c>
      <c r="C53" s="10" t="inlineStr">
        <is>
          <t>Funi nella sostituzione</t>
        </is>
      </c>
      <c r="D53" s="10" t="inlineStr">
        <is>
          <t>di norma funi nuove con lo stesso numero e diametro di quelle montate; la proposta le tiene fisse</t>
        </is>
      </c>
      <c r="E53" s="10" t="inlineStr">
        <is>
          <t>—</t>
        </is>
      </c>
      <c r="F53" s="10" t="inlineStr">
        <is>
          <t>indicazione di Panev Ascensori (29 settembre 2026)</t>
        </is>
      </c>
      <c r="G53" s="10" t="inlineStr">
        <is>
          <t>prassi di cantiere</t>
        </is>
      </c>
      <c r="H53" s="10" t="inlineStr">
        <is>
          <t>—</t>
        </is>
      </c>
      <c r="I53" s="11" t="n"/>
      <c r="J53" s="11" t="n"/>
      <c r="K53" s="11" t="n"/>
      <c r="L53" s="11" t="n"/>
      <c r="M53" s="11" t="n"/>
      <c r="N53" s="11" t="n"/>
    </row>
    <row r="54" ht="43" customHeight="1">
      <c r="A54" s="10" t="n">
        <v>52</v>
      </c>
      <c r="B54" s="10" t="inlineStr">
        <is>
          <t>Modello di calcolo</t>
        </is>
      </c>
      <c r="C54" s="10" t="inlineStr">
        <is>
          <t>Accelerazione di gravità</t>
        </is>
      </c>
      <c r="D54" s="10" t="inlineStr">
        <is>
          <t>g = 9,81 m/s² (anche come limite di 1 g)</t>
        </is>
      </c>
      <c r="E54" s="10" t="inlineStr">
        <is>
          <t>UNI EN 81-20:2020, 5.2.1.8.5 (g_n = 9,81 m/s²)</t>
        </is>
      </c>
      <c r="F54" s="10" t="inlineStr">
        <is>
          <t>UNI EN 81-20:2020, testo della norma, letto il 2026-10-06, p. 27</t>
        </is>
      </c>
      <c r="G54" s="10" t="inlineStr">
        <is>
          <t>confermato</t>
        </is>
      </c>
      <c r="H54" s="10" t="inlineStr">
        <is>
          <t>—</t>
        </is>
      </c>
      <c r="I54" s="11" t="n"/>
      <c r="J54" s="11" t="n"/>
      <c r="K54" s="11" t="n"/>
      <c r="L54" s="11" t="n"/>
      <c r="M54" s="11" t="n"/>
      <c r="N54" s="11" t="n"/>
    </row>
    <row r="55" ht="69" customHeight="1">
      <c r="A55" s="10" t="n">
        <v>53</v>
      </c>
      <c r="B55" s="10" t="inlineStr">
        <is>
          <t>Modello di calcolo</t>
        </is>
      </c>
      <c r="C55" s="10" t="inlineStr">
        <is>
          <t>Tiri con il metodo del percorso della fune — Il fattore (r² + 2)/3 vale esattamente r per le taglie 1:1 e 2:1, le sole del software.</t>
        </is>
      </c>
      <c r="D55" s="10" t="inlineStr">
        <is>
          <t>masse per lato, funi di ogni tratto con il fattore (r² + 2)/3, inerzia delle pulegge di rinvio e, in taglia 2:1, delle pulegge di cabina e di contrappeso (termine III); attrito di guide e pulegge trascurato in aderenza</t>
        </is>
      </c>
      <c r="E55" s="10" t="inlineStr">
        <is>
          <t>UNI EN 81-50:2020, 5.11.3</t>
        </is>
      </c>
      <c r="F55" s="10" t="inlineStr">
        <is>
          <t>UNI EN 81-50:2020, testo della norma, letto il 2026-10-06, pp. 43–44</t>
        </is>
      </c>
      <c r="G55" s="10" t="inlineStr">
        <is>
          <t>confermato</t>
        </is>
      </c>
      <c r="H55" s="10" t="inlineStr">
        <is>
          <t>aderenza al caricamento; aderenza in frenatura, in discesa; aderenza in frenatura, in salita; aderenza alla decelerazione reale (avviso); cabina bloccata</t>
        </is>
      </c>
      <c r="I55" s="11" t="n"/>
      <c r="J55" s="11" t="n"/>
      <c r="K55" s="11" t="n"/>
      <c r="L55" s="11" t="n"/>
      <c r="M55" s="11" t="n"/>
      <c r="N55" s="11" t="n"/>
    </row>
    <row r="56" ht="108" customHeight="1">
      <c r="A56" s="10" t="n">
        <v>54</v>
      </c>
      <c r="B56" s="10" t="inlineStr">
        <is>
          <t>Modello di calcolo</t>
        </is>
      </c>
      <c r="C56"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6" s="10" t="inlineStr">
        <is>
          <t>una puleggia per lato, con l’inerzia J_p e il diametro D_p delle pulegge di rinvio: massa ridotta J_p/R_p², con l’accelerazione della cabina divisa per r, nei tiri e nell’inerzia riportata al motore</t>
        </is>
      </c>
      <c r="E56" s="10" t="inlineStr">
        <is>
          <t>UNI EN 81-50:2020, 5.11.3 (termine III)</t>
        </is>
      </c>
      <c r="F56" s="10" t="inlineStr">
        <is>
          <t>UNI EN 81-50:2020, testo della norma, letto il 2026-10-06, pp. 43–44; numero e inerzia delle pulegge: scelta del software</t>
        </is>
      </c>
      <c r="G56" s="10" t="inlineStr">
        <is>
          <t>scelta del software</t>
        </is>
      </c>
      <c r="H56" s="10" t="inlineStr">
        <is>
          <t>aderenza in frenatura, in discesa; aderenza in frenatura, in salita; aderenza alla decelerazione reale (avviso)</t>
        </is>
      </c>
      <c r="I56" s="11" t="n"/>
      <c r="J56" s="11" t="n"/>
      <c r="K56" s="11" t="n"/>
      <c r="L56" s="11" t="n"/>
      <c r="M56" s="11" t="n"/>
      <c r="N56" s="11" t="n"/>
    </row>
    <row r="57" ht="69" customHeight="1">
      <c r="A57" s="10" t="n">
        <v>55</v>
      </c>
      <c r="B57" s="10" t="inlineStr">
        <is>
          <t>Modello di calcolo</t>
        </is>
      </c>
      <c r="C57" s="10" t="inlineStr">
        <is>
          <t>Macchina in basso: tratto tra la macchina e le pulegge in testata — Il testo stampa a in entrambe le edizioni; a 1:1 le due forme coincidono.</t>
        </is>
      </c>
      <c r="D57" s="10" t="inlineStr">
        <is>
          <t>con l’accelerazione a della cabina, come stampato nella norma; nella taglia 2:1 il software mostra anche l’esito con r·a, l’accelerazione fisica di quel tratto: «Attenzione» se supera il limite, mai «Non soddisfatta»</t>
        </is>
      </c>
      <c r="E57" s="10" t="inlineStr">
        <is>
          <t>UNI EN 81-50:2020, 5.11.3 (MSR1)</t>
        </is>
      </c>
      <c r="F57" s="10" t="inlineStr">
        <is>
          <t>UNI EN 81-50:2020, testo della norma, letto il 2026-10-06, p. 44</t>
        </is>
      </c>
      <c r="G57" s="10" t="inlineStr">
        <is>
          <t>confermato</t>
        </is>
      </c>
      <c r="H57" s="10" t="inlineStr">
        <is>
          <t>aderenza in frenatura, in discesa; aderenza in frenatura, in salita; tratto macchina–testata a r·a (avviso)</t>
        </is>
      </c>
      <c r="I57" s="11" t="n"/>
      <c r="J57" s="11" t="n"/>
      <c r="K57" s="11" t="n"/>
      <c r="L57" s="11" t="n"/>
      <c r="M57" s="11" t="n"/>
      <c r="N57" s="11" t="n"/>
    </row>
    <row r="58" ht="82" customHeight="1">
      <c r="A58" s="10" t="n">
        <v>56</v>
      </c>
      <c r="B58" s="10" t="inlineStr">
        <is>
          <t>Modello di calcolo</t>
        </is>
      </c>
      <c r="C58" s="10" t="inlineStr">
        <is>
          <t>Velocità nominale e compensazione</t>
        </is>
      </c>
      <c r="D58" s="10" t="inlineStr">
        <is>
          <t>oltre 1,75 m/s i mezzi di compensazione senza tensionamento vanno guidati vicino all’ansa («Attenzione»); oltre 3 m/s servono funi di compensazione con puleggia tenditrice, che il modello non contiene («Non soddisfatta»: fuori dal campo del software)</t>
        </is>
      </c>
      <c r="E58" s="10" t="inlineStr">
        <is>
          <t>UNI EN 81-20:2020, 5.5.6.1 a)–d)</t>
        </is>
      </c>
      <c r="F58" s="10" t="inlineStr">
        <is>
          <t>UNI EN 81-20:2020, testo della norma, letto il 2026-10-06, p. 76</t>
        </is>
      </c>
      <c r="G58" s="10" t="inlineStr">
        <is>
          <t>confermato</t>
        </is>
      </c>
      <c r="H58" s="10" t="inlineStr">
        <is>
          <t>velocità e compensazione</t>
        </is>
      </c>
      <c r="I58" s="11" t="n"/>
      <c r="J58" s="11" t="n"/>
      <c r="K58" s="11" t="n"/>
      <c r="L58" s="11" t="n"/>
      <c r="M58" s="11" t="n"/>
      <c r="N58" s="11" t="n"/>
    </row>
    <row r="59" ht="121" customHeight="1">
      <c r="A59" s="10" t="n">
        <v>57</v>
      </c>
      <c r="B59" s="10" t="inlineStr">
        <is>
          <t>Modello di calcolo</t>
        </is>
      </c>
      <c r="C59"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59" s="10" t="inlineStr">
        <is>
          <t>non modellati a parte: la loro massa sul lato cabina entra in P</t>
        </is>
      </c>
      <c r="E59" s="10" t="inlineStr">
        <is>
          <t>UNI EN 81-50:2020, 5.11.3</t>
        </is>
      </c>
      <c r="F59" s="10" t="inlineStr">
        <is>
          <t>limite del modello attuale</t>
        </is>
      </c>
      <c r="G59" s="10" t="inlineStr">
        <is>
          <t>scelta del software</t>
        </is>
      </c>
      <c r="H59" s="10" t="inlineStr">
        <is>
          <t>—</t>
        </is>
      </c>
      <c r="I59" s="11" t="n"/>
      <c r="J59" s="11" t="n"/>
      <c r="K59" s="11" t="n"/>
      <c r="L59" s="11" t="n"/>
      <c r="M59" s="11" t="n"/>
      <c r="N59" s="11" t="n"/>
    </row>
    <row r="60" ht="30" customHeight="1">
      <c r="A60" s="10" t="n">
        <v>58</v>
      </c>
      <c r="B60" s="10" t="inlineStr">
        <is>
          <t>Modello di calcolo</t>
        </is>
      </c>
      <c r="C60" s="10" t="inlineStr">
        <is>
          <t>Analisi di sensibilità</t>
        </is>
      </c>
      <c r="D60" s="10" t="inlineStr">
        <is>
          <t>P ±10%; k ±0,05 se il carico di equilibrio non è misurato</t>
        </is>
      </c>
      <c r="E60" s="10" t="inlineStr">
        <is>
          <t>—</t>
        </is>
      </c>
      <c r="F60" s="10" t="inlineStr">
        <is>
          <t>scelta del software (incertezza tipica del rilievo)</t>
        </is>
      </c>
      <c r="G60" s="10" t="inlineStr">
        <is>
          <t>scelta del software</t>
        </is>
      </c>
      <c r="H60" s="10" t="inlineStr">
        <is>
          <t>—</t>
        </is>
      </c>
      <c r="I60" s="11" t="n"/>
      <c r="J60" s="11" t="n"/>
      <c r="K60" s="11" t="n"/>
      <c r="L60" s="11" t="n"/>
      <c r="M60" s="11" t="n"/>
      <c r="N60" s="11" t="n"/>
    </row>
    <row r="61" ht="134" customHeight="1">
      <c r="A61" s="10" t="n">
        <v>59</v>
      </c>
      <c r="B61" s="10" t="inlineStr">
        <is>
          <t>Vano: cabina e portata</t>
        </is>
      </c>
      <c r="C61"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1"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1" s="10" t="inlineStr">
        <is>
          <t>UNI EN 81-20:2020, 5.4.2.1.1 (Prospetto 6)</t>
        </is>
      </c>
      <c r="F61" s="10" t="inlineStr">
        <is>
          <t>UNI EN 81-20:2020, testo della norma, letto il 2026-10-06, pp. 63–64</t>
        </is>
      </c>
      <c r="G61" s="10" t="inlineStr">
        <is>
          <t>confermato</t>
        </is>
      </c>
      <c r="H61" s="10" t="inlineStr">
        <is>
          <t>superficie della cabina per la portata</t>
        </is>
      </c>
      <c r="I61" s="11" t="n"/>
      <c r="J61" s="11" t="n"/>
      <c r="K61" s="11" t="n"/>
      <c r="L61" s="11" t="n"/>
      <c r="M61" s="11" t="n"/>
      <c r="N61" s="11" t="n"/>
    </row>
    <row r="62" ht="95" customHeight="1">
      <c r="A62" s="10" t="n">
        <v>60</v>
      </c>
      <c r="B62" s="10" t="inlineStr">
        <is>
          <t>Vano: cabina e portata</t>
        </is>
      </c>
      <c r="C62" s="10" t="inlineStr">
        <is>
          <t>Numero di passeggeri</t>
        </is>
      </c>
      <c r="D62"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2" s="10" t="inlineStr">
        <is>
          <t>UNI EN 81-20:2020, 5.4.2.3.1 (Prospetto 8)</t>
        </is>
      </c>
      <c r="F62" s="10" t="inlineStr">
        <is>
          <t>UNI EN 81-20:2020, testo della norma, letto il 2026-10-06, p. 66</t>
        </is>
      </c>
      <c r="G62" s="10" t="inlineStr">
        <is>
          <t>confermato</t>
        </is>
      </c>
      <c r="H62" s="10" t="inlineStr">
        <is>
          <t>—</t>
        </is>
      </c>
      <c r="I62" s="11" t="n"/>
      <c r="J62" s="11" t="n"/>
      <c r="K62" s="11" t="n"/>
      <c r="L62" s="11" t="n"/>
      <c r="M62" s="11" t="n"/>
      <c r="N62" s="11" t="n"/>
    </row>
    <row r="63" ht="186" customHeight="1">
      <c r="A63" s="10" t="n">
        <v>61</v>
      </c>
      <c r="B63" s="10" t="inlineStr">
        <is>
          <t>Vano: distanze in pianta</t>
        </is>
      </c>
      <c r="C63"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3" s="10" t="inlineStr">
        <is>
          <t>distanza orizzontale dalla soglia o dal telaio della porta di cabina ≤ 150 mm (qui: profondità della porta di piano + gioco tra le soglie)</t>
        </is>
      </c>
      <c r="E63" s="10" t="inlineStr">
        <is>
          <t>UNI EN 81-20:2020, 5.2.5.3.1</t>
        </is>
      </c>
      <c r="F63" s="10" t="inlineStr">
        <is>
          <t>UNI EN 81-20:2020, testo della norma, letto il 2026-10-06, p. 33</t>
        </is>
      </c>
      <c r="G63" s="10" t="inlineStr">
        <is>
          <t>confermato</t>
        </is>
      </c>
      <c r="H63" s="10" t="inlineStr">
        <is>
          <t>parete di fronte all’entrata</t>
        </is>
      </c>
      <c r="I63" s="11" t="n"/>
      <c r="J63" s="11" t="n"/>
      <c r="K63" s="11" t="n"/>
      <c r="L63" s="11" t="n"/>
      <c r="M63" s="11" t="n"/>
      <c r="N63" s="11" t="n"/>
    </row>
    <row r="64" ht="95" customHeight="1">
      <c r="A64" s="10" t="n">
        <v>62</v>
      </c>
      <c r="B64" s="10" t="inlineStr">
        <is>
          <t>Vano: distanze in pianta</t>
        </is>
      </c>
      <c r="C64" s="10" t="inlineStr">
        <is>
          <t>Gioco tra soglia di cabina e soglia di piano — Non calcolato: tra il bordo d’attacco delle ante di cabina e le porte di piano al massimo 0,12 m (5.3.4.2; 11.2.3 nella UNI EN 81-1:2008), dato del fornitore delle porte.</t>
        </is>
      </c>
      <c r="D64" s="10" t="inlineStr">
        <is>
          <t>distanza orizzontale ≤ 35 mm</t>
        </is>
      </c>
      <c r="E64" s="10" t="inlineStr">
        <is>
          <t>UNI EN 81-20:2020, 5.3.4.1 (figura 3); 11.2.2 nella UNI EN 81-1 (1999, 2008)</t>
        </is>
      </c>
      <c r="F64" s="10" t="inlineStr">
        <is>
          <t>UNI EN 81-20:2020, testo della norma, letto il 2026-10-06, p. 50</t>
        </is>
      </c>
      <c r="G64" s="10" t="inlineStr">
        <is>
          <t>confermato</t>
        </is>
      </c>
      <c r="H64" s="10" t="inlineStr">
        <is>
          <t>gioco tra le soglie</t>
        </is>
      </c>
      <c r="I64" s="11" t="n"/>
      <c r="J64" s="11" t="n"/>
      <c r="K64" s="11" t="n"/>
      <c r="L64" s="11" t="n"/>
      <c r="M64" s="11" t="n"/>
      <c r="N64" s="11" t="n"/>
    </row>
    <row r="65" ht="69" customHeight="1">
      <c r="A65" s="10" t="n">
        <v>63</v>
      </c>
      <c r="B65" s="10" t="inlineStr">
        <is>
          <t>Vano: distanze in pianta</t>
        </is>
      </c>
      <c r="C65" s="10" t="inlineStr">
        <is>
          <t>Distanza tra cabina e contrappeso — il software misura tra le sagome di cabina e contrappeso: pattini e staffe non sono nel modello della pianta</t>
        </is>
      </c>
      <c r="D65" s="10" t="inlineStr">
        <is>
          <t>≥ 50 mm tra la cabina con i suoi componenti e il contrappeso con i suoi</t>
        </is>
      </c>
      <c r="E65" s="10" t="inlineStr">
        <is>
          <t>UNI EN 81-20:2020, 5.2.5.5.1 h)</t>
        </is>
      </c>
      <c r="F65" s="10" t="inlineStr">
        <is>
          <t>UNI EN 81-20:2020, testo della norma, letto il 2026-10-06, p. 35</t>
        </is>
      </c>
      <c r="G65" s="10" t="inlineStr">
        <is>
          <t>confermato</t>
        </is>
      </c>
      <c r="H65" s="10" t="inlineStr">
        <is>
          <t>distanza cabina–contrappeso</t>
        </is>
      </c>
      <c r="I65" s="11" t="n"/>
      <c r="J65" s="11" t="n"/>
      <c r="K65" s="11" t="n"/>
      <c r="L65" s="11" t="n"/>
      <c r="M65" s="11" t="n"/>
      <c r="N65" s="11" t="n"/>
    </row>
    <row r="66" ht="199" customHeight="1">
      <c r="A66" s="10" t="n">
        <v>64</v>
      </c>
      <c r="B66" s="10" t="inlineStr">
        <is>
          <t>Vano: distanze in pianta</t>
        </is>
      </c>
      <c r="C66" s="10" t="inlineStr">
        <is>
          <t>Pareti all’ultimo piano e in testata diverse dal piano principale</t>
        </is>
      </c>
      <c r="D66"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6" s="10" t="inlineStr">
        <is>
          <t>UNI EN 81-20:2020, 5.2.5.3.1 (parete di fronte all’entrata); il resto scelta del software</t>
        </is>
      </c>
      <c r="F66" s="10" t="inlineStr">
        <is>
          <t>scelta del software: il margine di marcia va confermato con l’installatore</t>
        </is>
      </c>
      <c r="G66" s="10" t="inlineStr">
        <is>
          <t>scelta del software</t>
        </is>
      </c>
      <c r="H66" s="10" t="inlineStr">
        <is>
          <t>pareti in testata diverse dal piano principale</t>
        </is>
      </c>
      <c r="I66" s="11" t="n"/>
      <c r="J66" s="11" t="n"/>
      <c r="K66" s="11" t="n"/>
      <c r="L66" s="11" t="n"/>
      <c r="M66" s="11" t="n"/>
      <c r="N66" s="11" t="n"/>
    </row>
    <row r="67" ht="69" customHeight="1">
      <c r="A67" s="10" t="n">
        <v>65</v>
      </c>
      <c r="B67" s="10" t="inlineStr">
        <is>
          <t>Vano: accessibilità (DM 236/1989)</t>
        </is>
      </c>
      <c r="C67" s="10" t="inlineStr">
        <is>
          <t>Edifici residenziali nuovi: cabina e porta minime</t>
        </is>
      </c>
      <c r="D67" s="10" t="inlineStr">
        <is>
          <t>cabina larga 950 mm e profonda 1300 mm, porta di 800 mm sul lato corto; piattaforma davanti alla porta 1,50 × 1,50 m (fuori dal vano: da verificare in sito); pulsanti più alti delle bottoniere tra 1100 e 1400 mm dal pavimento</t>
        </is>
      </c>
      <c r="E67" s="10" t="inlineStr">
        <is>
          <t>DM 236/1989, 8.1.12</t>
        </is>
      </c>
      <c r="F67" s="10" t="inlineStr">
        <is>
          <t>DM 236/1989, 8.1.12, letto per intero su Normattiva il 2026-10-02 (ricerca, cap. 16, §4.1)</t>
        </is>
      </c>
      <c r="G67" s="10" t="inlineStr">
        <is>
          <t>confermato</t>
        </is>
      </c>
      <c r="H67" s="10" t="inlineStr">
        <is>
          <t>cabina minima (DM 236/1989); porta minima (DM 236/1989); porta sul lato corto; pulsanti più alti delle bottoniere (DM 236/1989)</t>
        </is>
      </c>
      <c r="I67" s="11" t="n"/>
      <c r="J67" s="11" t="n"/>
      <c r="K67" s="11" t="n"/>
      <c r="L67" s="11" t="n"/>
      <c r="M67" s="11" t="n"/>
      <c r="N67" s="11" t="n"/>
    </row>
    <row r="68" ht="69" customHeight="1">
      <c r="A68" s="10" t="n">
        <v>66</v>
      </c>
      <c r="B68" s="10" t="inlineStr">
        <is>
          <t>Vano: accessibilità (DM 236/1989)</t>
        </is>
      </c>
      <c r="C68" s="10" t="inlineStr">
        <is>
          <t>Edifici non residenziali nuovi: cabina e porta minime</t>
        </is>
      </c>
      <c r="D68" s="10" t="inlineStr">
        <is>
          <t>cabina larga 1100 mm e profonda 1400 mm, porta di 800 mm sul lato corto; piattaforma davanti alla porta 1,50 × 1,50 m (fuori dal vano: da verificare in sito); pulsanti più alti delle bottoniere tra 1100 e 1400 mm dal pavimento</t>
        </is>
      </c>
      <c r="E68" s="10" t="inlineStr">
        <is>
          <t>DM 236/1989, 8.1.12</t>
        </is>
      </c>
      <c r="F68" s="10" t="inlineStr">
        <is>
          <t>DM 236/1989, 8.1.12, letto per intero su Normattiva il 2026-10-02 (ricerca, cap. 16, §4.1)</t>
        </is>
      </c>
      <c r="G68" s="10" t="inlineStr">
        <is>
          <t>confermato</t>
        </is>
      </c>
      <c r="H68" s="10" t="inlineStr">
        <is>
          <t>cabina minima (DM 236/1989); porta minima (DM 236/1989); porta sul lato corto; pulsanti più alti delle bottoniere (DM 236/1989)</t>
        </is>
      </c>
      <c r="I68" s="11" t="n"/>
      <c r="J68" s="11" t="n"/>
      <c r="K68" s="11" t="n"/>
      <c r="L68" s="11" t="n"/>
      <c r="M68" s="11" t="n"/>
      <c r="N68" s="11" t="n"/>
    </row>
    <row r="69" ht="134" customHeight="1">
      <c r="A69" s="10" t="n">
        <v>67</v>
      </c>
      <c r="B69" s="10" t="inlineStr">
        <is>
          <t>Vano: accessibilità (DM 236/1989)</t>
        </is>
      </c>
      <c r="C69" s="10" t="inlineStr">
        <is>
          <t>Adeguamento di edifici esistenti: cabina e porta minime — Per un ascensore nuovo in un edificio esistente il caso è a) o b) secondo la destinazione; il c) è l’eccezione, scelta dal progettista.</t>
        </is>
      </c>
      <c r="D69"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69" s="10" t="inlineStr">
        <is>
          <t>DM 236/1989, 8.1.12 c)</t>
        </is>
      </c>
      <c r="F69" s="10" t="inlineStr">
        <is>
          <t>DM 236/1989, 8.1.12, letto per intero su Normattiva il 2026-10-02 (ricerca, cap. 16, §4.1)</t>
        </is>
      </c>
      <c r="G69" s="10" t="inlineStr">
        <is>
          <t>confermato</t>
        </is>
      </c>
      <c r="H69" s="10" t="inlineStr">
        <is>
          <t>cabina minima (DM 236/1989); porta minima (DM 236/1989); porta sul lato corto; motivazione del caso c) (DM 236/1989); pulsanti più alti delle bottoniere (DM 236/1989)</t>
        </is>
      </c>
      <c r="I69" s="11" t="n"/>
      <c r="J69" s="11" t="n"/>
      <c r="K69" s="11" t="n"/>
      <c r="L69" s="11" t="n"/>
      <c r="M69" s="11" t="n"/>
      <c r="N69" s="11" t="n"/>
    </row>
    <row r="70" ht="43" customHeight="1">
      <c r="A70" s="10" t="n">
        <v>68</v>
      </c>
      <c r="B70" s="10" t="inlineStr">
        <is>
          <t>Vano: porte</t>
        </is>
      </c>
      <c r="C70" s="10" t="inlineStr">
        <is>
          <t>Ingombro della porta di piano lungo la parete del vano</t>
        </is>
      </c>
      <c r="D70" s="10" t="inlineStr">
        <is>
          <t>telescopica a 2 ante: 1,5·L + 110 mm; centrale a 2 ante: 2·L + 110 mm (L = luce netta)</t>
        </is>
      </c>
      <c r="E70" s="10" t="inlineStr">
        <is>
          <t>dato del fornitore delle porte</t>
        </is>
      </c>
      <c r="F70" s="10" t="inlineStr">
        <is>
          <t>valori tipici: scelta del software da confermare con il fornitore</t>
        </is>
      </c>
      <c r="G70" s="10" t="inlineStr">
        <is>
          <t>scelta del software</t>
        </is>
      </c>
      <c r="H70" s="10" t="inlineStr">
        <is>
          <t>ingombro della porta di piano</t>
        </is>
      </c>
      <c r="I70" s="11" t="n"/>
      <c r="J70" s="11" t="n"/>
      <c r="K70" s="11" t="n"/>
      <c r="L70" s="11" t="n"/>
      <c r="M70" s="11" t="n"/>
      <c r="N70" s="11" t="n"/>
    </row>
    <row r="71" ht="30" customHeight="1">
      <c r="A71" s="10" t="n">
        <v>69</v>
      </c>
      <c r="B71" s="10" t="inlineStr">
        <is>
          <t>Vano: porte</t>
        </is>
      </c>
      <c r="C71" s="10" t="inlineStr">
        <is>
          <t>Larghezza della cabina rispetto alla porta</t>
        </is>
      </c>
      <c r="D71" s="10" t="inlineStr">
        <is>
          <t>larghezza interna ≥ luce della porta + 50 mm; profondità interna ≥ 800 mm</t>
        </is>
      </c>
      <c r="E71" s="10" t="inlineStr">
        <is>
          <t>—</t>
        </is>
      </c>
      <c r="F71" s="10" t="inlineStr">
        <is>
          <t>scelta del software</t>
        </is>
      </c>
      <c r="G71" s="10" t="inlineStr">
        <is>
          <t>scelta del software</t>
        </is>
      </c>
      <c r="H71" s="10" t="inlineStr">
        <is>
          <t>la cabina entra nel vano</t>
        </is>
      </c>
      <c r="I71" s="11" t="n"/>
      <c r="J71" s="11" t="n"/>
      <c r="K71" s="11" t="n"/>
      <c r="L71" s="11" t="n"/>
      <c r="M71" s="11" t="n"/>
      <c r="N71" s="11" t="n"/>
    </row>
    <row r="72" ht="342" customHeight="1">
      <c r="A72" s="10" t="n">
        <v>70</v>
      </c>
      <c r="B72" s="10" t="inlineStr">
        <is>
          <t>Vano: porte</t>
        </is>
      </c>
      <c r="C72" s="10" t="inlineStr">
        <is>
          <t>Vano porta di piano e operatore della porta di cabina</t>
        </is>
      </c>
      <c r="D72"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2" s="10" t="inlineStr">
        <is>
          <t>dato del fornitore delle porte</t>
        </is>
      </c>
      <c r="F72"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2" s="10" t="inlineStr">
        <is>
          <t>stima</t>
        </is>
      </c>
      <c r="H72" s="10" t="inlineStr">
        <is>
          <t>ingombro della porta di piano; ingombro della seconda porta di piano; operatori delle porte adiacenti</t>
        </is>
      </c>
      <c r="I72" s="11" t="n"/>
      <c r="J72" s="11" t="n"/>
      <c r="K72" s="11" t="n"/>
      <c r="L72" s="11" t="n"/>
      <c r="M72" s="11" t="n"/>
      <c r="N72" s="11" t="n"/>
    </row>
    <row r="73" ht="134" customHeight="1">
      <c r="A73" s="10" t="n">
        <v>71</v>
      </c>
      <c r="B73" s="10" t="inlineStr">
        <is>
          <t>Vano: porte</t>
        </is>
      </c>
      <c r="C73"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3"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3" s="10" t="inlineStr">
        <is>
          <t>UNI EN 81-20:2020, 5.3.2.2</t>
        </is>
      </c>
      <c r="F73" s="10" t="inlineStr">
        <is>
          <t>UNI EN 81-20:2020, testo della norma, letto il 2026-10-06, p. 49</t>
        </is>
      </c>
      <c r="G73" s="10" t="inlineStr">
        <is>
          <t>confermato</t>
        </is>
      </c>
      <c r="H73" s="10" t="inlineStr">
        <is>
          <t>disassamento della porta di piano A; disassamento della porta di piano B</t>
        </is>
      </c>
      <c r="I73" s="11" t="n"/>
      <c r="J73" s="11" t="n"/>
      <c r="K73" s="11" t="n"/>
      <c r="L73" s="11" t="n"/>
      <c r="M73" s="11" t="n"/>
      <c r="N73" s="11" t="n"/>
    </row>
    <row r="74" ht="108" customHeight="1">
      <c r="A74" s="10" t="n">
        <v>72</v>
      </c>
      <c r="B74" s="10" t="inlineStr">
        <is>
          <t>Vano: porte</t>
        </is>
      </c>
      <c r="C74" s="10" t="inlineStr">
        <is>
          <t>Bottoniera di piano</t>
        </is>
      </c>
      <c r="D74"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4" s="10" t="inlineStr">
        <is>
          <t>DM 236/1989, 8.1.12 (pulsanti più alti tra 1,10 e 1,40 m); UNI EN 81-70:2005, prospetto 2 (sul pianerottolo il pulsante più alto a non oltre 1,10 m, ogni pulsante ad almeno 0,90 m e ad almeno 0,50 m da un angolo fra pareti: da verificare in sito)</t>
        </is>
      </c>
      <c r="F74" s="10" t="inlineStr">
        <is>
          <t>scelta del software</t>
        </is>
      </c>
      <c r="G74" s="10" t="inlineStr">
        <is>
          <t>scelta del software</t>
        </is>
      </c>
      <c r="H74" s="10" t="inlineStr">
        <is>
          <t>—</t>
        </is>
      </c>
      <c r="I74" s="11" t="n"/>
      <c r="J74" s="11" t="n"/>
      <c r="K74" s="11" t="n"/>
      <c r="L74" s="11" t="n"/>
      <c r="M74" s="11" t="n"/>
      <c r="N74" s="11" t="n"/>
    </row>
    <row r="75" ht="186" customHeight="1">
      <c r="A75" s="10" t="n">
        <v>73</v>
      </c>
      <c r="B75" s="10" t="inlineStr">
        <is>
          <t>Vano: porte</t>
        </is>
      </c>
      <c r="C75" s="10" t="inlineStr">
        <is>
          <t>Imbotti della porta di piano (sostituzione con una luce più piccola) — Montanti e pannelli accanto alla porta più larghi di 150 mm che chiudono l’apertura vanno con la prova del pendolo della porta (UNI EN 81-20:2020, 5.3.5.3.4): la copre il fornitore.</t>
        </is>
      </c>
      <c r="D75"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5" s="10" t="inlineStr">
        <is>
          <t>dato del fornitore delle porte (imbotti su misura)</t>
        </is>
      </c>
      <c r="F75" s="10" t="inlineStr">
        <is>
          <t>scelta del software</t>
        </is>
      </c>
      <c r="G75" s="10" t="inlineStr">
        <is>
          <t>scelta del software</t>
        </is>
      </c>
      <c r="H75" s="10" t="inlineStr">
        <is>
          <t>—</t>
        </is>
      </c>
      <c r="I75" s="11" t="n"/>
      <c r="J75" s="11" t="n"/>
      <c r="K75" s="11" t="n"/>
      <c r="L75" s="11" t="n"/>
      <c r="M75" s="11" t="n"/>
      <c r="N75" s="11" t="n"/>
    </row>
    <row r="76" ht="316" customHeight="1">
      <c r="A76" s="10" t="n">
        <v>74</v>
      </c>
      <c r="B76" s="10" t="inlineStr">
        <is>
          <t>Vano: porte</t>
        </is>
      </c>
      <c r="C76" s="10" t="inlineStr">
        <is>
          <t>Telaio proprio delle porte di piano</t>
        </is>
      </c>
      <c r="D76"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6" s="10" t="inlineStr">
        <is>
          <t>dato del fornitore delle porte</t>
        </is>
      </c>
      <c r="F76"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6" s="10" t="inlineStr">
        <is>
          <t>scelta del software</t>
        </is>
      </c>
      <c r="H76" s="10" t="inlineStr">
        <is>
          <t>le ante della porta di piano dietro il suo telaio</t>
        </is>
      </c>
      <c r="I76" s="11" t="n"/>
      <c r="J76" s="11" t="n"/>
      <c r="K76" s="11" t="n"/>
      <c r="L76" s="11" t="n"/>
      <c r="M76" s="11" t="n"/>
      <c r="N76" s="11" t="n"/>
    </row>
    <row r="77" ht="199" customHeight="1">
      <c r="A77" s="10" t="n">
        <v>75</v>
      </c>
      <c r="B77" s="10" t="inlineStr">
        <is>
          <t>Vano: ingombri tipici</t>
        </is>
      </c>
      <c r="C77"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77"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77" s="10" t="inlineStr">
        <is>
          <t>dati del costruttore di guide, porte e cabina</t>
        </is>
      </c>
      <c r="F77" s="10" t="inlineStr">
        <is>
          <t>valori tipici: scelta del software</t>
        </is>
      </c>
      <c r="G77" s="10" t="inlineStr">
        <is>
          <t>scelta del software</t>
        </is>
      </c>
      <c r="H77" s="10" t="inlineStr">
        <is>
          <t>la cabina entra nel vano</t>
        </is>
      </c>
      <c r="I77" s="11" t="n"/>
      <c r="J77" s="11" t="n"/>
      <c r="K77" s="11" t="n"/>
      <c r="L77" s="11" t="n"/>
      <c r="M77" s="11" t="n"/>
      <c r="N77" s="11" t="n"/>
    </row>
    <row r="78" ht="108" customHeight="1">
      <c r="A78" s="10" t="n">
        <v>76</v>
      </c>
      <c r="B78" s="10" t="inlineStr">
        <is>
          <t>Vano: ingombri tipici</t>
        </is>
      </c>
      <c r="C78" s="10" t="inlineStr">
        <is>
          <t>Contrappeso laterale</t>
        </is>
      </c>
      <c r="D78" s="10" t="inlineStr">
        <is>
          <t>tra la parete e la guida della cabina, centrato sull’asse delle guide di cabina, con le sue guide alle estremità (pattini 20 mm) e la guida di cabina su una staffa a ponte; a 40 mm dalle zone delle porte; lunghezza in pianta da 400 a 900 mm (sotto 400 mm: «Attenzione»); con il contrappeso sul fondo, al massimo la larghezza tra le guide della cabina</t>
        </is>
      </c>
      <c r="E78" s="10" t="inlineStr">
        <is>
          <t>—</t>
        </is>
      </c>
      <c r="F78" s="10" t="inlineStr">
        <is>
          <t>scelta del software</t>
        </is>
      </c>
      <c r="G78" s="10" t="inlineStr">
        <is>
          <t>scelta del software</t>
        </is>
      </c>
      <c r="H78" s="10" t="inlineStr">
        <is>
          <t>lunghezza del contrappeso</t>
        </is>
      </c>
      <c r="I78" s="11" t="n"/>
      <c r="J78" s="11" t="n"/>
      <c r="K78" s="11" t="n"/>
      <c r="L78" s="11" t="n"/>
      <c r="M78" s="11" t="n"/>
      <c r="N78" s="11" t="n"/>
    </row>
    <row r="79" ht="147" customHeight="1">
      <c r="A79" s="10" t="n">
        <v>77</v>
      </c>
      <c r="B79" s="10" t="inlineStr">
        <is>
          <t>Vano: ingombri tipici</t>
        </is>
      </c>
      <c r="C79" s="10" t="inlineStr">
        <is>
          <t>Arcata a zaino (due accessi adiacenti a 90°)</t>
        </is>
      </c>
      <c r="D79"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79" s="10" t="inlineStr">
        <is>
          <t>—</t>
        </is>
      </c>
      <c r="F79" s="10" t="inlineStr">
        <is>
          <t>scelta del software (principio: cataloghi di arcate a zaino); disposizione da confermare con il fornitore dell’arcata</t>
        </is>
      </c>
      <c r="G79" s="10" t="inlineStr">
        <is>
          <t>scelta del software</t>
        </is>
      </c>
      <c r="H79" s="10" t="inlineStr">
        <is>
          <t>—</t>
        </is>
      </c>
      <c r="I79" s="11" t="n"/>
      <c r="J79" s="11" t="n"/>
      <c r="K79" s="11" t="n"/>
      <c r="L79" s="11" t="n"/>
      <c r="M79" s="11" t="n"/>
      <c r="N79" s="11" t="n"/>
    </row>
    <row r="80" ht="212" customHeight="1">
      <c r="A80" s="10" t="n">
        <v>78</v>
      </c>
      <c r="B80" s="10" t="inlineStr">
        <is>
          <t>Vano: ingombri tipici</t>
        </is>
      </c>
      <c r="C80" s="10" t="inlineStr">
        <is>
          <t>Nicchie nelle pareti del vano</t>
        </is>
      </c>
      <c r="D80"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0" s="10" t="inlineStr">
        <is>
          <t>—</t>
        </is>
      </c>
      <c r="F80" s="10" t="inlineStr">
        <is>
          <t>scelta del software; la resistenza della parete con la nicchia va verificata dal progettista</t>
        </is>
      </c>
      <c r="G80" s="10" t="inlineStr">
        <is>
          <t>scelta del software</t>
        </is>
      </c>
      <c r="H80" s="10" t="inlineStr">
        <is>
          <t>nicchie nelle pareti</t>
        </is>
      </c>
      <c r="I80" s="11" t="n"/>
      <c r="J80" s="11" t="n"/>
      <c r="K80" s="11" t="n"/>
      <c r="L80" s="11" t="n"/>
      <c r="M80" s="11" t="n"/>
      <c r="N80" s="11" t="n"/>
    </row>
    <row r="81" ht="329" customHeight="1">
      <c r="A81" s="10" t="n">
        <v>79</v>
      </c>
      <c r="B81" s="10" t="inlineStr">
        <is>
          <t>Vano: ingombri tipici</t>
        </is>
      </c>
      <c r="C81" s="10" t="inlineStr">
        <is>
          <t>Staffe delle guide del contrappeso (catalogo Panev)</t>
        </is>
      </c>
      <c r="D81"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1" s="10" t="inlineStr">
        <is>
          <t>catalogo staffe Panev 2026, pp. 20-62</t>
        </is>
      </c>
      <c r="F81" s="10" t="inlineStr">
        <is>
          <t>catalogo del costruttore (panev/docs/catalogo-staffe-panev-2026.pdf); le corse dell’SC lontano dalla parete lette sui disegni di montaggio (pp. 41-55)</t>
        </is>
      </c>
      <c r="G81" s="10" t="inlineStr">
        <is>
          <t>confermato</t>
        </is>
      </c>
      <c r="H81" s="10" t="inlineStr">
        <is>
          <t>staffe del catalogo per le guide del contrappeso</t>
        </is>
      </c>
      <c r="I81" s="11" t="n"/>
      <c r="J81" s="11" t="n"/>
      <c r="K81" s="11" t="n"/>
      <c r="L81" s="11" t="n"/>
      <c r="M81" s="11" t="n"/>
      <c r="N81" s="11" t="n"/>
    </row>
    <row r="82" ht="407" customHeight="1">
      <c r="A82" s="10" t="n">
        <v>80</v>
      </c>
      <c r="B82" s="10" t="inlineStr">
        <is>
          <t>Vano: ingombri tipici</t>
        </is>
      </c>
      <c r="C82" s="10" t="inlineStr">
        <is>
          <t>Staffe delle porte di piano (catalogo Panev)</t>
        </is>
      </c>
      <c r="D82"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2" s="10" t="inlineStr">
        <is>
          <t>catalogo staffe Panev 2026, pp. 14-18 (coppie), p. 05 (taglio della piastra) e p. 04 (soglia o elemento portante della porta di piano)</t>
        </is>
      </c>
      <c r="F82" s="10" t="inlineStr">
        <is>
          <t>catalogo del costruttore (panev/docs/catalogo-staffe-panev-2026.pdf); il passo, il numero minimo, il montaggio capovolto sopra la porta e lo spostamento sono scelta del software (il montaggio sopra la porta va confermato con il costruttore della porta)</t>
        </is>
      </c>
      <c r="G82" s="10" t="inlineStr">
        <is>
          <t>scelta del software</t>
        </is>
      </c>
      <c r="H82" s="10" t="inlineStr">
        <is>
          <t>staffe Panev sopra le porte di piano: muro tra il vano della porta e la soglia del piano sopra</t>
        </is>
      </c>
      <c r="I82" s="11" t="n"/>
      <c r="J82" s="11" t="n"/>
      <c r="K82" s="11" t="n"/>
      <c r="L82" s="11" t="n"/>
      <c r="M82" s="11" t="n"/>
      <c r="N82" s="11" t="n"/>
    </row>
    <row r="83" ht="355" customHeight="1">
      <c r="A83" s="10" t="n">
        <v>81</v>
      </c>
      <c r="B83" s="10" t="inlineStr">
        <is>
          <t>Vano: ingombri tipici</t>
        </is>
      </c>
      <c r="C83"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3" s="10" t="inlineStr">
        <is>
          <t>per velocità il più piccolo PFB che la regge: LK200 (Ø 200, fune 6) fino a 1,48 m/s, LK250 fino a 1,74, LK300 fino a 2,93, R12BF fino a 4,00; oppure il modello scelto se regge la velocità: PFB (LX, LK, R1, R3LR, R5, R6, R10BF), Bode (GB 7 fino a 2,98 m/s, GB 8 fino a 1,29), Dynatech (VEGA 200 fino a 2,40), Wittur (OL20 fino a 1,75, OL35 fino a 3,00, EOS fino a 2,50, OL100 fino a 10,00) o Montanari (RQ-A 200, 250 e 300, RC 200 e 300, NOR fino a 1,50 m/s, RG 200 fino a 0,30).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3" s="10" t="inlineStr">
        <is>
          <t>dati del fornitore del limitatore; dalla norma solo lo scatto ≥ 115 % della velocità nominale (UNI EN 81-20:2020, 5.6.2.2.1.1 a))</t>
        </is>
      </c>
      <c r="F83"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3" s="10" t="inlineStr">
        <is>
          <t>stima</t>
        </is>
      </c>
      <c r="H83" s="10" t="inlineStr">
        <is>
          <t>—</t>
        </is>
      </c>
      <c r="I83" s="11" t="n"/>
      <c r="J83" s="11" t="n"/>
      <c r="K83" s="11" t="n"/>
      <c r="L83" s="11" t="n"/>
      <c r="M83" s="11" t="n"/>
      <c r="N83" s="11" t="n"/>
    </row>
    <row r="84" ht="290" customHeight="1">
      <c r="A84" s="10" t="n">
        <v>82</v>
      </c>
      <c r="B84" s="10" t="inlineStr">
        <is>
          <t>Vano: ingombri tipici</t>
        </is>
      </c>
      <c r="C84" s="10" t="inlineStr">
        <is>
          <t>Posizione del limitatore di velocità e della sua fune — con l’arcata a zaino, o senza una parete laterale libera, il software non mette il limitatore: la verifica della fune resta «Attenzione» senza valore e il limitatore va posizionato a mano</t>
        </is>
      </c>
      <c r="D84" s="10" t="inlineStr">
        <is>
          <t>la fune scorre a piombo su una parete laterale senza porte né contrappeso, nello spazio tra la cabina e la parete accanto alla guida di cabina: lontana almeno 50 mm dalla cabina, dalle pareti e dalla guida con la sua staffa e il montante dell’arcata (preso largo 60 mm per parte dall’asse della guida); il ramo agganciato alla cabina entro 400 mm dall’asse della guida, dove arriva la leva del paracadute. Il limitatore nel locale sta sopra la sua fune, fuori dall’ingombro dell’argano con il suo basamento, del quadro e dell’interruttore generale, dentro il locale, con accanto una superficie libera di 500 × 600 mm per la manutenzione. Lato, distanza dalla parete e ramo agganciato si scelgono a mano; altrimenti il software mette la fune a metà dello spazio accanto alla cabina, 145 mm dietro l’asse della guida, sull’ultima parete libera — o sull’altra parete libera quando solo lì il limitatore resta fuori dall’ingombro dell’argano nel locale (l’argano girato con il motore verso la cabina può arrivare sopra la fune)</t>
        </is>
      </c>
      <c r="E84" s="10" t="inlineStr">
        <is>
          <t>nessuna distanza della fune del limitatore nella norma (UNI EN 81-20:2020, 5.6.2.2.1); 50 mm come tra cabina e contrappeso in UNI EN 81-1:2008, 11.3; con la balaustra sul tetto 100 mm dentro il bordo, i 0,10 m di 5.4.7.4 d) sono rispettati; superficie libera per la manutenzione delle parti in movimento: UNI EN 81-20:2020, 5.2.6.3.2.1 b)</t>
        </is>
      </c>
      <c r="F84" s="10" t="inlineStr">
        <is>
          <t>scelta del software (50, 60 e 400 mm); UNI EN 81-20:2020, testo della norma, letto il 2026-10-06, pp. 43, 71–72, 82–83; UNI EN 81-1:2008, testo della norma, letto il 2026-10-06, p. 67</t>
        </is>
      </c>
      <c r="G84" s="10" t="inlineStr">
        <is>
          <t>scelta del software</t>
        </is>
      </c>
      <c r="H84" s="10" t="inlineStr">
        <is>
          <t>fune del limitatore lontana da cabina, pareti e guida; ramo della fune del limitatore entro la leva del paracadute; limitatore fuori dall’ingombro di argano, quadro e interruttore generale; superficie libera accanto al limitatore</t>
        </is>
      </c>
      <c r="I84" s="11" t="n"/>
      <c r="J84" s="11" t="n"/>
      <c r="K84" s="11" t="n"/>
      <c r="L84" s="11" t="n"/>
      <c r="M84" s="11" t="n"/>
      <c r="N84" s="11" t="n"/>
    </row>
    <row r="85" ht="108" customHeight="1">
      <c r="A85" s="10" t="n">
        <v>83</v>
      </c>
      <c r="B85" s="10" t="inlineStr">
        <is>
          <t>Vano: ingombri tipici</t>
        </is>
      </c>
      <c r="C85" s="10" t="inlineStr">
        <is>
          <t>Pulegge del limitatore e diametro della fune — un modello con la fune più grossa del rapporto (fune «in deroga» del costruttore) non passa: si sceglie un altro modello o la fune che il rapporto ammette, salvo una deroga documentata dal certificato del costruttore</t>
        </is>
      </c>
      <c r="D85" s="10" t="inlineStr">
        <is>
          <t>diametro primitivo delle pulegge del limitatore almeno 30 volte il diametro nominale della sua fune (dai dati del modello: diametro della puleggia e fune)</t>
        </is>
      </c>
      <c r="E85" s="10" t="inlineStr">
        <is>
          <t>UNI EN 81-20:2020, 5.6.2.2.1.3 c)</t>
        </is>
      </c>
      <c r="F85" s="10" t="inlineStr">
        <is>
          <t>UNI EN 81-20:2020, testo della norma, letto il 2026-10-06, p. 83</t>
        </is>
      </c>
      <c r="G85" s="10" t="inlineStr">
        <is>
          <t>confermato</t>
        </is>
      </c>
      <c r="H85" s="10" t="inlineStr">
        <is>
          <t>pulegge del limitatore: diametro sul diametro della fune</t>
        </is>
      </c>
      <c r="I85" s="11" t="n"/>
      <c r="J85" s="11" t="n"/>
      <c r="K85" s="11" t="n"/>
      <c r="L85" s="11" t="n"/>
      <c r="M85" s="11" t="n"/>
      <c r="N85" s="11" t="n"/>
    </row>
    <row r="86" ht="82" customHeight="1">
      <c r="A86" s="10" t="n">
        <v>84</v>
      </c>
      <c r="B86" s="10" t="inlineStr">
        <is>
          <t>Vano: sezione, spazi di rifugio e ammortizzatori</t>
        </is>
      </c>
      <c r="C86" s="10" t="inlineStr">
        <is>
          <t>Spazi di rifugio sul tetto di cabina e in fossa</t>
        </is>
      </c>
      <c r="D86"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86" s="10" t="inlineStr">
        <is>
          <t>UNI EN 81-20:2020, 5.2.5.7.1 (Prospetto 3) e 5.2.5.8.1 (Prospetto 4)</t>
        </is>
      </c>
      <c r="F86" s="10" t="inlineStr">
        <is>
          <t>UNI EN 81-20:2020, testo della norma, letto il 2026-10-06, pp. 37–40</t>
        </is>
      </c>
      <c r="G86" s="10" t="inlineStr">
        <is>
          <t>confermato</t>
        </is>
      </c>
      <c r="H86" s="10" t="inlineStr">
        <is>
          <t>spazio di rifugio in testata; spazio di rifugio in fossa</t>
        </is>
      </c>
      <c r="I86" s="11" t="n"/>
      <c r="J86" s="11" t="n"/>
      <c r="K86" s="11" t="n"/>
      <c r="L86" s="11" t="n"/>
      <c r="M86" s="11" t="n"/>
      <c r="N86" s="11" t="n"/>
    </row>
    <row r="87" ht="95" customHeight="1">
      <c r="A87" s="10" t="n">
        <v>85</v>
      </c>
      <c r="B87" s="10" t="inlineStr">
        <is>
          <t>Vano: sezione, spazi di rifugio e ammortizzatori</t>
        </is>
      </c>
      <c r="C87" s="10" t="inlineStr">
        <is>
          <t>Posizione più alta della cabina — vale per gli ascensori a frizione; le riduzioni di 5.2.5.6.1.2 (rallentamento controllato) e 5.2.5.6.1.3 (puleggia tenditrice con antirimbalzo) non sono usate: la verifica è più severa</t>
        </is>
      </c>
      <c r="D87" s="10" t="inlineStr">
        <is>
          <t>contrappeso sugli ammortizzatori completamente compressi, più il salto 0,035·v² m (v velocità nominale)</t>
        </is>
      </c>
      <c r="E87" s="10" t="inlineStr">
        <is>
          <t>UNI EN 81-20:2020, 5.2.5.6.1.1 (Prospetto 2)</t>
        </is>
      </c>
      <c r="F87" s="10" t="inlineStr">
        <is>
          <t>UNI EN 81-20:2020, testo della norma, letto il 2026-10-06, p. 36</t>
        </is>
      </c>
      <c r="G87" s="10" t="inlineStr">
        <is>
          <t>confermato</t>
        </is>
      </c>
      <c r="H87" s="10" t="inlineStr">
        <is>
          <t>spazio di rifugio in testata; distanze libere dal soffitto</t>
        </is>
      </c>
      <c r="I87" s="11" t="n"/>
      <c r="J87" s="11" t="n"/>
      <c r="K87" s="11" t="n"/>
      <c r="L87" s="11" t="n"/>
      <c r="M87" s="11" t="n"/>
      <c r="N87" s="11" t="n"/>
    </row>
    <row r="88" ht="147" customHeight="1">
      <c r="A88" s="10" t="n">
        <v>86</v>
      </c>
      <c r="B88" s="10" t="inlineStr">
        <is>
          <t>Vano: sezione, spazi di rifugio e ammortizzatori</t>
        </is>
      </c>
      <c r="C88"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88" s="10" t="inlineStr">
        <is>
          <t>≥ 500 mm sopra le apparecchiature sul tetto di cabina (operatore); ≥ 100 mm sopra pattini, attacchi delle funi e traversa dell’arcata; ≥ 300 mm sopra il corrimano della balaustra</t>
        </is>
      </c>
      <c r="E88" s="10" t="inlineStr">
        <is>
          <t>UNI EN 81-20:2020, 5.2.5.7.2 a)–c)</t>
        </is>
      </c>
      <c r="F88" s="10" t="inlineStr">
        <is>
          <t>UNI EN 81-20:2020, testo della norma, letto il 2026-10-06, p. 38</t>
        </is>
      </c>
      <c r="G88" s="10" t="inlineStr">
        <is>
          <t>da verificare</t>
        </is>
      </c>
      <c r="H88" s="10" t="inlineStr">
        <is>
          <t>distanze libere dal soffitto</t>
        </is>
      </c>
      <c r="I88" s="11" t="n"/>
      <c r="J88" s="11" t="n"/>
      <c r="K88" s="11" t="n"/>
      <c r="L88" s="11" t="n"/>
      <c r="M88" s="11" t="n"/>
      <c r="N88" s="11" t="n"/>
    </row>
    <row r="89" ht="82" customHeight="1">
      <c r="A89" s="10" t="n">
        <v>87</v>
      </c>
      <c r="B89" s="10" t="inlineStr">
        <is>
          <t>Vano: sezione, spazi di rifugio e ammortizzatori</t>
        </is>
      </c>
      <c r="C89" s="10" t="inlineStr">
        <is>
          <t>Traversa dell’arcata sotto il soffitto — La b) nomina la traversa delle porte e le parti delle porte a scorrimento verticale; quella dell’arcata non è nominata. Da concordare con l’organismo.</t>
        </is>
      </c>
      <c r="D89" s="10" t="inlineStr">
        <is>
          <t>≥ 100 mm come parte di b); sotto 500 mm «Attenzione»: se l’organismo la considera un’apparecchiatura vale a) (500 mm)</t>
        </is>
      </c>
      <c r="E89" s="10" t="inlineStr">
        <is>
          <t>UNI EN 81-20:2020, 5.2.5.7.2 a)–b); UNI EN 81-1:2008, 5.7.1.1 c)</t>
        </is>
      </c>
      <c r="F89" s="10" t="inlineStr">
        <is>
          <t>UNI EN 81-20:2020, testo della norma, letto il 2026-10-06, p. 38; UNI EN 81-1:2008, testo della norma, letto il 2026-10-06, p. 26</t>
        </is>
      </c>
      <c r="G89" s="10" t="inlineStr">
        <is>
          <t>da verificare</t>
        </is>
      </c>
      <c r="H89" s="10" t="inlineStr">
        <is>
          <t>traversa dell’arcata sotto il soffitto</t>
        </is>
      </c>
      <c r="I89" s="11" t="n"/>
      <c r="J89" s="11" t="n"/>
      <c r="K89" s="11" t="n"/>
      <c r="L89" s="11" t="n"/>
      <c r="M89" s="11" t="n"/>
      <c r="N89" s="11" t="n"/>
    </row>
    <row r="90" ht="108" customHeight="1">
      <c r="A90" s="10" t="n">
        <v>88</v>
      </c>
      <c r="B90" s="10" t="inlineStr">
        <is>
          <t>Vano: sezione, spazi di rifugio e ammortizzatori</t>
        </is>
      </c>
      <c r="C90" s="10" t="inlineStr">
        <is>
          <t>Parte più alta della cabina sotto ciò che pende sopra — fino alla versione 1.17.0 del motore del progetto la puleggia di cabina era verificata a 100 mm; i 100 mm della traversa sono la stessa lettura di spazi.testata.parti</t>
        </is>
      </c>
      <c r="D90"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90" s="10" t="inlineStr">
        <is>
          <t>UNI EN 81-20:2020, 5.2.5.7.2 a) e b)</t>
        </is>
      </c>
      <c r="F90" s="10" t="inlineStr">
        <is>
          <t>UNI EN 81-20:2020, testo della norma, letto il 2026-10-06, p. 38</t>
        </is>
      </c>
      <c r="G90" s="10" t="inlineStr">
        <is>
          <t>confermato</t>
        </is>
      </c>
      <c r="H90" s="10" t="inlineStr">
        <is>
          <t>parte più alta della cabina sotto ciò che pende sopra</t>
        </is>
      </c>
      <c r="I90" s="11" t="n"/>
      <c r="J90" s="11" t="n"/>
      <c r="K90" s="11" t="n"/>
      <c r="L90" s="11" t="n"/>
      <c r="M90" s="11" t="n"/>
      <c r="N90" s="11" t="n"/>
    </row>
    <row r="91" ht="134" customHeight="1">
      <c r="A91" s="10" t="n">
        <v>89</v>
      </c>
      <c r="B91" s="10" t="inlineStr">
        <is>
          <t>Vano: sezione, spazi di rifugio e ammortizzatori</t>
        </is>
      </c>
      <c r="C91" s="10" t="inlineStr">
        <is>
          <t>Ammortizzatori e spazio di rifugio in fossa, in pianta</t>
        </is>
      </c>
      <c r="D91"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91" s="10" t="inlineStr">
        <is>
          <t>UNI EN 81-20:2020, 5.2.5.8.1</t>
        </is>
      </c>
      <c r="F91" s="10" t="inlineStr">
        <is>
          <t>scelta del software sul modello della fossa (posizioni tipiche, da confermare con i dati del fornitore degli ammortizzatori)</t>
        </is>
      </c>
      <c r="G91" s="10" t="inlineStr">
        <is>
          <t>scelta del software</t>
        </is>
      </c>
      <c r="H91" s="10" t="inlineStr">
        <is>
          <t>ammortizzatori fissati a mano: sotto cabina e contrappeso, fuori dal rifugio</t>
        </is>
      </c>
      <c r="I91" s="11" t="n"/>
      <c r="J91" s="11" t="n"/>
      <c r="K91" s="11" t="n"/>
      <c r="L91" s="11" t="n"/>
      <c r="M91" s="11" t="n"/>
      <c r="N91" s="11" t="n"/>
    </row>
    <row r="92" ht="82" customHeight="1">
      <c r="A92" s="10" t="n">
        <v>90</v>
      </c>
      <c r="B92" s="10" t="inlineStr">
        <is>
          <t>Vano: sezione, spazi di rifugio e ammortizzatori</t>
        </is>
      </c>
      <c r="C92" s="10" t="inlineStr">
        <is>
          <t>Distanze in fossa con la cabina sugli ammortizzatori compressi</t>
        </is>
      </c>
      <c r="D92"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92" s="10" t="inlineStr">
        <is>
          <t>UNI EN 81-20:2020, 5.2.5.8.2 a) e 5.4.5.1–5.4.5.2</t>
        </is>
      </c>
      <c r="F92" s="10" t="inlineStr">
        <is>
          <t>UNI EN 81-20:2020, testo della norma, letto il 2026-10-06, pp. 40–41, 69</t>
        </is>
      </c>
      <c r="G92" s="10" t="inlineStr">
        <is>
          <t>confermato</t>
        </is>
      </c>
      <c r="H92" s="10" t="inlineStr">
        <is>
          <t>spazio di rifugio in fossa; grembiule sugli ammortizzatori compressi</t>
        </is>
      </c>
      <c r="I92" s="11" t="n"/>
      <c r="J92" s="11" t="n"/>
      <c r="K92" s="11" t="n"/>
      <c r="L92" s="11" t="n"/>
      <c r="M92" s="11" t="n"/>
      <c r="N92" s="11" t="n"/>
    </row>
    <row r="93" ht="108" customHeight="1">
      <c r="A93" s="10" t="n">
        <v>91</v>
      </c>
      <c r="B93" s="10" t="inlineStr">
        <is>
          <t>Vano: sezione, spazi di rifugio e ammortizzatori</t>
        </is>
      </c>
      <c r="C93" s="10" t="inlineStr">
        <is>
          <t>Balaustra sul tetto di cabina — fino alla versione 2.12.0 del motore del vano il software misurava i 500 mm dal bordo del tetto; la norma vuole la balaustra entro 150 mm dal bordo: se è più interna, la distanza cresce e può servire l’altezza maggiore</t>
        </is>
      </c>
      <c r="D93"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93" s="10" t="inlineStr">
        <is>
          <t>UNI EN 81-20:2020, 5.4.7.2 b) e 5.4.7.4 b)–c)</t>
        </is>
      </c>
      <c r="F93" s="10" t="inlineStr">
        <is>
          <t>UNI EN 81-20:2020, testo della norma, letto il 2026-10-06, pp. 70–72</t>
        </is>
      </c>
      <c r="G93" s="10" t="inlineStr">
        <is>
          <t>confermato</t>
        </is>
      </c>
      <c r="H93" s="10" t="inlineStr">
        <is>
          <t>balaustra sul tetto di cabina</t>
        </is>
      </c>
      <c r="I93" s="11" t="n"/>
      <c r="J93" s="11" t="n"/>
      <c r="K93" s="11" t="n"/>
      <c r="L93" s="11" t="n"/>
      <c r="M93" s="11" t="n"/>
      <c r="N93" s="11" t="n"/>
    </row>
    <row r="94" ht="121" customHeight="1">
      <c r="A94" s="10" t="n">
        <v>92</v>
      </c>
      <c r="B94" s="10" t="inlineStr">
        <is>
          <t>Vano: sezione, spazi di rifugio e ammortizzatori</t>
        </is>
      </c>
      <c r="C94"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94"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94" s="10" t="inlineStr">
        <is>
          <t>UNI EN 81-20:2020, 5.2.5.7.1 (prospetto 3) e 5.2.5.7.3; UNI EN 81-1:2008, 8.13.2</t>
        </is>
      </c>
      <c r="F94" s="10" t="inlineStr">
        <is>
          <t>UNI EN 81-20:2020, testo della norma, letto il 2026-10-06, pp. 38–39; UNI EN 81-1:2008, testo della norma, letto il 2026-10-06, p. 52</t>
        </is>
      </c>
      <c r="G94" s="10" t="inlineStr">
        <is>
          <t>confermato</t>
        </is>
      </c>
      <c r="H94" s="10" t="inlineStr">
        <is>
          <t>spazio di rifugio sul tetto di cabina; spazio di rifugio in testata</t>
        </is>
      </c>
      <c r="I94" s="11" t="n"/>
      <c r="J94" s="11" t="n"/>
      <c r="K94" s="11" t="n"/>
      <c r="L94" s="11" t="n"/>
      <c r="M94" s="11" t="n"/>
      <c r="N94" s="11" t="n"/>
    </row>
    <row r="95" ht="134" customHeight="1">
      <c r="A95" s="10" t="n">
        <v>93</v>
      </c>
      <c r="B95" s="10" t="inlineStr">
        <is>
          <t>Vano: sezione, spazi di rifugio e ammortizzatori</t>
        </is>
      </c>
      <c r="C95" s="10" t="inlineStr">
        <is>
          <t>Spazio di rifugio sul tetto: traversa dell’arcata e operatori delle porte — fino alla versione 2.17.0 del motore del vano la verifica misurava il rifugio sull’intero tetto e il disegno lo metteva sopra la traversa; non contati: la puleggia di cabina della taglia 2:1 (verifica della testata del progetto) e il corrimano della balaustra</t>
        </is>
      </c>
      <c r="D95" s="10" t="inlineStr">
        <is>
          <t>la traversa dell’arcata centrale attraversa il tetto sull’asse delle guide, profonda 210 mm (105 mm per parte) e alta 170 mm sotto la sommità dell’arcata: dove il suo lato inferiore sta sopra il tetto meno dell’altezza del rifugio, la pianta del rifugio sta tutta davanti o tutta dietro la traversa; l’operatore di ogni porta di cabina occupa 150 mm del tetto dal lato del suo accesso; la verifica dà il margine nel posto migliore e il disegno vi mette il rifugio</t>
        </is>
      </c>
      <c r="E95" s="10" t="inlineStr">
        <is>
          <t>UNI EN 81-20:2020, 5.2.5.7.1 (prospetto 3)</t>
        </is>
      </c>
      <c r="F95" s="10" t="inlineStr">
        <is>
          <t>misure dell’arcata e dell’operatore del disegno del software (tipiche, da confermare con il fornitore dell’arcata e delle porte)</t>
        </is>
      </c>
      <c r="G95" s="10" t="inlineStr">
        <is>
          <t>stima</t>
        </is>
      </c>
      <c r="H95" s="10" t="inlineStr">
        <is>
          <t>spazio di rifugio sul tetto di cabina</t>
        </is>
      </c>
      <c r="I95" s="11" t="n"/>
      <c r="J95" s="11" t="n"/>
      <c r="K95" s="11" t="n"/>
      <c r="L95" s="11" t="n"/>
      <c r="M95" s="11" t="n"/>
      <c r="N95" s="11" t="n"/>
    </row>
    <row r="96" ht="212" customHeight="1">
      <c r="A96" s="10" t="n">
        <v>94</v>
      </c>
      <c r="B96" s="10" t="inlineStr">
        <is>
          <t>Vano: sezione, spazi di rifugio e ammortizzatori</t>
        </is>
      </c>
      <c r="C96"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96" s="10" t="inlineStr">
        <is>
          <t>luce netta in altezza delle porte di piano e di cabina ≥ 2000 mm; altezza libera interna della cabina ≥ 2000 mm</t>
        </is>
      </c>
      <c r="E96" s="10" t="inlineStr">
        <is>
          <t>UNI EN 81-20:2020, 5.3.2.1 e 5.4.1</t>
        </is>
      </c>
      <c r="F96" s="10" t="inlineStr">
        <is>
          <t>UNI EN 81-20:2020, testo della norma, letto il 2026-10-06, pp. 49, 63; 2 m anche in DM 587/1987 (UNI EN 81-1), 7.3.1, 8.1.1 e 8.1.2</t>
        </is>
      </c>
      <c r="G96" s="10" t="inlineStr">
        <is>
          <t>confermato</t>
        </is>
      </c>
      <c r="H96" s="10" t="inlineStr">
        <is>
          <t>altezza libera degli accessi; altezza libera interna della cabina</t>
        </is>
      </c>
      <c r="I96" s="11" t="n"/>
      <c r="J96" s="11" t="n"/>
      <c r="K96" s="11" t="n"/>
      <c r="L96" s="11" t="n"/>
      <c r="M96" s="11" t="n"/>
      <c r="N96" s="11" t="n"/>
    </row>
    <row r="97" ht="160" customHeight="1">
      <c r="A97" s="10" t="n">
        <v>95</v>
      </c>
      <c r="B97" s="10" t="inlineStr">
        <is>
          <t>Vano: sezione, spazi di rifugio e ammortizzatori</t>
        </is>
      </c>
      <c r="C97" s="10" t="inlineStr">
        <is>
          <t>Corsa guidata in testata (contrappeso e cabina)</t>
        </is>
      </c>
      <c r="D97"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97" s="10" t="inlineStr">
        <is>
          <t>UNI EN 81-20:2020, 5.2.5.6.2 e 5.2.5.6.1.1 (Prospetto 2: cabina sugli ammortizzatori compressi più 0,035·v²); stesso valore in UNI EN 81-1 (1999, 2008), 5.7.1.2</t>
        </is>
      </c>
      <c r="F97" s="10" t="inlineStr">
        <is>
          <t>UNI EN 81-20:2020, testo della norma, letto il 2026-10-06, p. 36; UNI EN 81-1:2008, testo della norma, letto il 2026-10-06, p. 27</t>
        </is>
      </c>
      <c r="G97" s="10" t="inlineStr">
        <is>
          <t>confermato</t>
        </is>
      </c>
      <c r="H97" s="10" t="inlineStr">
        <is>
          <t>corsa guidata del contrappeso in testata; corsa guidata della cabina in testata</t>
        </is>
      </c>
      <c r="I97" s="11" t="n"/>
      <c r="J97" s="11" t="n"/>
      <c r="K97" s="11" t="n"/>
      <c r="L97" s="11" t="n"/>
      <c r="M97" s="11" t="n"/>
      <c r="N97" s="11" t="n"/>
    </row>
    <row r="98" ht="95" customHeight="1">
      <c r="A98" s="10" t="n">
        <v>96</v>
      </c>
      <c r="B98" s="10" t="inlineStr">
        <is>
          <t>Vano: sezione, spazi di rifugio e ammortizzatori</t>
        </is>
      </c>
      <c r="C98" s="10" t="inlineStr">
        <is>
          <t>Schermo del contrappeso in fossa — non verificati: il bordo inferiore dello schermo a non più di 300 mm dal fondo della fossa (5.2.5.5.1 c)) e la protezione dello spazio oltre 300 mm tra guide del contrappeso e parete (e))</t>
        </is>
      </c>
      <c r="D98" s="10" t="inlineStr">
        <is>
          <t>dal punto più basso del contrappeso sugli ammortizzatori compressi fino ad almeno 2000 mm sopra il pavimento della fossa (altezza dello schermo modificabile sul progetto, mai sotto questo valore)</t>
        </is>
      </c>
      <c r="E98" s="10" t="inlineStr">
        <is>
          <t>UNI EN 81-20:2020, 5.2.5.5.1 b)</t>
        </is>
      </c>
      <c r="F98" s="10" t="inlineStr">
        <is>
          <t>UNI EN 81-20:2020, testo della norma, letto il 2026-10-06, p. 35</t>
        </is>
      </c>
      <c r="G98" s="10" t="inlineStr">
        <is>
          <t>confermato</t>
        </is>
      </c>
      <c r="H98" s="10" t="inlineStr">
        <is>
          <t>protezione del contrappeso in fossa</t>
        </is>
      </c>
      <c r="I98" s="11" t="n"/>
      <c r="J98" s="11" t="n"/>
      <c r="K98" s="11" t="n"/>
      <c r="L98" s="11" t="n"/>
      <c r="M98" s="11" t="n"/>
      <c r="N98" s="11" t="n"/>
    </row>
    <row r="99" ht="95" customHeight="1">
      <c r="A99" s="10" t="n">
        <v>97</v>
      </c>
      <c r="B99" s="10" t="inlineStr">
        <is>
          <t>Vano: sezione, spazi di rifugio e ammortizzatori</t>
        </is>
      </c>
      <c r="C99" s="10" t="inlineStr">
        <is>
          <t>Ammortizzatori ad accumulo di energia lineari (molle)</t>
        </is>
      </c>
      <c r="D99" s="10" t="inlineStr">
        <is>
          <t>ammessi fino a 1 m/s; corsa ≥ 0,135·v² m e comunque ≥ 65 mm; extracorsa della cabina e del contrappeso ≥ 0 (nessun minimo nella norma)</t>
        </is>
      </c>
      <c r="E99" s="10" t="inlineStr">
        <is>
          <t>UNI EN 81-20:2020, 5.8.1.5 (fino a 1 m/s) e 5.8.2.1.1.1 (corsa); nessuna extracorsa minima in metri: l’interruttore di extracorsa interviene prima che la cabina o il contrappeso tocchino gli ammortizzatori (5.12.2.1)</t>
        </is>
      </c>
      <c r="F99" s="10" t="inlineStr">
        <is>
          <t>UNI EN 81-20:2020, testo della norma, letto il 2026-10-06, pp. 98, 131</t>
        </is>
      </c>
      <c r="G99" s="10" t="inlineStr">
        <is>
          <t>confermato</t>
        </is>
      </c>
      <c r="H99" s="10" t="inlineStr">
        <is>
          <t>tipo di ammortizzatori per la velocità; corsa degli ammortizzatori di cabina; corsa dell’ammortizzatore del contrappeso; extracorsa di cabina e contrappeso</t>
        </is>
      </c>
      <c r="I99" s="11" t="n"/>
      <c r="J99" s="11" t="n"/>
      <c r="K99" s="11" t="n"/>
      <c r="L99" s="11" t="n"/>
      <c r="M99" s="11" t="n"/>
      <c r="N99" s="11" t="n"/>
    </row>
    <row r="100" ht="121" customHeight="1">
      <c r="A100" s="10" t="n">
        <v>98</v>
      </c>
      <c r="B100" s="10" t="inlineStr">
        <is>
          <t>Vano: sezione, spazi di rifugio e ammortizzatori</t>
        </is>
      </c>
      <c r="C100" s="10" t="inlineStr">
        <is>
          <t>Ammortizzatori ad accumulo di energia non lineari (tamponi in poliuretano) — il tampone tipico alto 80 mm è un dato di catalogo, non della norma: va sostituito con quello montato</t>
        </is>
      </c>
      <c r="D100"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100" s="10" t="inlineStr">
        <is>
          <t>UNI EN 81-20:2020, 5.8.1.5, 5.8.1.7, 5.8.2.1.2.1 e 5.8.2.1.2.2 (compresso al 90 %); UNI EN 81-50:2020, 5.5.4 (esame di tipo)</t>
        </is>
      </c>
      <c r="F100" s="10" t="inlineStr">
        <is>
          <t>UNI EN 81-20:2020, testo della norma, letto il 2026-10-06, pp. 98–99; UNI EN 81-50:2020, testo della norma, letto il 2026-10-06, p. 24; il tampone tipico dai cataloghi P+S Diepocell (wwlift.de) e ACLA AUTAN XL (acla.de), estratti di ricerca del 1° ottobre 2026</t>
        </is>
      </c>
      <c r="G100" s="10" t="inlineStr">
        <is>
          <t>confermato</t>
        </is>
      </c>
      <c r="H100" s="10" t="inlineStr">
        <is>
          <t>tipo di ammortizzatori per la velocità; corsa degli ammortizzatori di cabina; corsa dell’ammortizzatore del contrappeso</t>
        </is>
      </c>
      <c r="I100" s="11" t="n"/>
      <c r="J100" s="11" t="n"/>
      <c r="K100" s="11" t="n"/>
      <c r="L100" s="11" t="n"/>
      <c r="M100" s="11" t="n"/>
      <c r="N100" s="11" t="n"/>
    </row>
    <row r="101" ht="95" customHeight="1">
      <c r="A101" s="10" t="n">
        <v>99</v>
      </c>
      <c r="B101" s="10" t="inlineStr">
        <is>
          <t>Vano: sezione, spazi di rifugio e ammortizzatori</t>
        </is>
      </c>
      <c r="C101" s="10" t="inlineStr">
        <is>
          <t>Ammortizzatori a dissipazione di energia (idraulici) — gli ammortizzatori Oleo sono dati di catalogo, non della norma: vanno sostituiti con quelli montati</t>
        </is>
      </c>
      <c r="D101"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t>
        </is>
      </c>
      <c r="E101" s="10" t="inlineStr">
        <is>
          <t>UNI EN 81-20:2020, 5.8.1.6 e 5.8.2.2.1 (corsa); la corsa ridotta di 5.8.2.2.2 non è usata</t>
        </is>
      </c>
      <c r="F101" s="10" t="inlineStr">
        <is>
          <t>UNI EN 81-20:2020, testo della norma, letto il 2026-10-06, p. 99; gli ammortizzatori tipici dal catalogo Oleo LSB e SEB (oleo.co.uk), estratti di ricerca del 1° ottobre 2026</t>
        </is>
      </c>
      <c r="G101" s="10" t="inlineStr">
        <is>
          <t>confermato</t>
        </is>
      </c>
      <c r="H101" s="10" t="inlineStr">
        <is>
          <t>tipo di ammortizzatori per la velocità; corsa degli ammortizzatori di cabina; corsa dell’ammortizzatore del contrappeso</t>
        </is>
      </c>
      <c r="I101" s="11" t="n"/>
      <c r="J101" s="11" t="n"/>
      <c r="K101" s="11" t="n"/>
      <c r="L101" s="11" t="n"/>
      <c r="M101" s="11" t="n"/>
      <c r="N101" s="11" t="n"/>
    </row>
    <row r="102" ht="433" customHeight="1">
      <c r="A102" s="10" t="n">
        <v>100</v>
      </c>
      <c r="B102" s="10" t="inlineStr">
        <is>
          <t>Locale del macchinario</t>
        </is>
      </c>
      <c r="C102"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non verificato: lo spazio di 0,30 m sopra le parti rotanti (5.2.6.3.2.3). Con la modifica di un impianto esistente (UNI 10411-1/-11:2024, 9.2) la superficie davanti al quadro entra nell’esito anche quando cambia solo la macchina, che le può stare davanti; l’altezza e la porta del locale restano «esistente» (la 9.2 ammette l’altezza attuale: le condizioni sono tra i punti da verificare in sito). Con la macchina in basso le stesse verifiche valgono per il suo locale, accanto al vano o sotto la fossa, con l’argano come ciò che sta sul pavimento; un locale sopra il vano non ha la macchina (con i rinvii è il locale delle pulegge, locale.pulegge)</t>
        </is>
      </c>
      <c r="D102"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sul lato più libero, fino a muri, quadro, limitatore e interruttore generale); percorsi dalla porta alle superfici libere larghi ≥ 500 mm (il software chiede 500 mm ovunque, anche dove la norma ammette 0,40 m) e alti ≥ 1800 mm; porta di accesso ≥ 600 × 2000 mm, che non si apre verso l’interno del locale; aperture nella soletta sopra il vano ridotte al minimo, con manicotti o bordi che sporgono almeno 50 mm dal pavimento</t>
        </is>
      </c>
      <c r="E102" s="10" t="inlineStr">
        <is>
          <t>UNI EN 81-20:2020, 5.2.6.3.2.1 (2,10 m e superfici libere), 5.2.6.3.2.2 (percorsi: 0,50 m di larghezza, 1,80 m di altezza), 5.2.3.2 a) (porta), 5.2.3.3 a) (verso di apertura) e 5.2.6.3.3 (aperture)</t>
        </is>
      </c>
      <c r="F102" s="10" t="inlineStr">
        <is>
          <t>UNI EN 81-20:2020, testo della norma, letto il 2026-10-06, pp. 29–30, 43; le superfici libere anche in UNI EN 81-1:1999, 6.3.2.1 (edizione 2008: 6.3.3.1)</t>
        </is>
      </c>
      <c r="G102" s="10" t="inlineStr">
        <is>
          <t>confermato</t>
        </is>
      </c>
      <c r="H102" s="10" t="inlineStr">
        <is>
          <t>altezza del locale macchina; superficie libera davanti al quadro; superficie libera accanto all’argano; percorsi dalla porta alle superfici libere; porta del locale macchina</t>
        </is>
      </c>
      <c r="I102" s="11" t="n"/>
      <c r="J102" s="11" t="n"/>
      <c r="K102" s="11" t="n"/>
      <c r="L102" s="11" t="n"/>
      <c r="M102" s="11" t="n"/>
      <c r="N102" s="11" t="n"/>
    </row>
    <row r="103" ht="121" customHeight="1">
      <c r="A103" s="10" t="n">
        <v>101</v>
      </c>
      <c r="B103" s="10" t="inlineStr">
        <is>
          <t>Locale del macchinario</t>
        </is>
      </c>
      <c r="C103" s="10" t="inlineStr">
        <is>
          <t>Locale del macchinario esistente nella modifica — nella nota del foglio della sostituzione; nell’esito l’altezza e la porta restano «esistente», la superficie davanti al quadro entra quando cambia la macchina</t>
        </is>
      </c>
      <c r="D103" s="10" t="inlineStr">
        <is>
          <t>con la macchina nuova il locale segue la UNI EN 81-20 5.2.6.3 attorno alle apparecchiature sostituite o aggiunte; l’altezza libera esistente sulle zone di lavoro può restare sotto 2100 mm se non si riduce; con la UNI 10411-1, sotto 2000 mm zone segnalate, materiale ammortizzante al soffitto e almeno 1800 mm liberi sotto di esso (UNI EN 81-21:2022, 5.9); con la UNI 10411-11 resta l’altezza esistente</t>
        </is>
      </c>
      <c r="E103" s="10" t="inlineStr">
        <is>
          <t>UNI 10411-1:2024, 9.1–9.2; UNI 10411-11:2024, 9.2; UNI EN 81-21:2022, 5.9</t>
        </is>
      </c>
      <c r="F103" s="10" t="inlineStr">
        <is>
          <t>UNI 10411-1:2024, testo della norma, letto il 2026-10-06, p. 9; UNI 10411-11:2024, testo della norma, letto il 2026-10-06, p. 9; UNI EN 81-21:2022, testo della norma, letto il 2026-10-06, p. 23</t>
        </is>
      </c>
      <c r="G103" s="10" t="inlineStr">
        <is>
          <t>confermato</t>
        </is>
      </c>
      <c r="H103" s="10" t="inlineStr">
        <is>
          <t>—</t>
        </is>
      </c>
      <c r="I103" s="11" t="n"/>
      <c r="J103" s="11" t="n"/>
      <c r="K103" s="11" t="n"/>
      <c r="L103" s="11" t="n"/>
      <c r="M103" s="11" t="n"/>
      <c r="N103" s="11" t="n"/>
    </row>
    <row r="104" ht="212" customHeight="1">
      <c r="A104" s="10" t="n">
        <v>102</v>
      </c>
      <c r="B104" s="10" t="inlineStr">
        <is>
          <t>Locale del macchinario</t>
        </is>
      </c>
      <c r="C104" s="10" t="inlineStr">
        <is>
          <t>Locale delle pulegge di rinvio (macchina in basso) — con la macchina in basso e i rinvii in un locale sopra il vano, il software verifica l’altezza e la porta di quel locale con questi valori e lo spazio sopra le pulegge, con i loro assi dove li mette il software (impianto.basso.schema; avvertimento: non serve con le pulegge protette); non verifica la superficie libera. Fino a LIFT 1.23.0 quel locale era verificato come un locale del macchinario (2100 mm, porta 600 × 2000 mm, quadro) e il locale della macchina in basso solo per l’ingombro</t>
        </is>
      </c>
      <c r="D104" s="10" t="inlineStr">
        <is>
          <t>percorsi alti almeno 1500 mm fino alle apparecchiature, una superficie libera di 500 × 600 mm dove si lavora, almeno 300 mm liberi sopra le pulegge non protette; porta di accesso ≥ 600 × 1400 mm, che non si apre verso l’interno; un dispositivo di arresto presso ogni accesso; aperture sopra il vano con manicotti o bordi di almeno 50 mm; né quadro né interruttore generale, che stanno nel locale della macchina</t>
        </is>
      </c>
      <c r="E104" s="10" t="inlineStr">
        <is>
          <t>UNI EN 81-20:2020, 5.2.6.7.1 (altezza e superfici), 5.2.6.7.2 (aperture), 5.2.3.2 b) (porta), 5.2.1.5.2 c) (arresto) e 5.10.5.1.2 (interruttore generale)</t>
        </is>
      </c>
      <c r="F104" s="10" t="inlineStr">
        <is>
          <t>UNI EN 81-20:2020, testo della norma, letto il 2026-10-06, pp. 26, 29, 49</t>
        </is>
      </c>
      <c r="G104" s="10" t="inlineStr">
        <is>
          <t>confermato</t>
        </is>
      </c>
      <c r="H104" s="10" t="inlineStr">
        <is>
          <t>altezza libera del locale delle pulegge; porta del locale delle pulegge; spazio libero sopra le pulegge non protette</t>
        </is>
      </c>
      <c r="I104" s="11" t="n"/>
      <c r="J104" s="11" t="n"/>
      <c r="K104" s="11" t="n"/>
      <c r="L104" s="11" t="n"/>
      <c r="M104" s="11" t="n"/>
      <c r="N104" s="11" t="n"/>
    </row>
    <row r="105" ht="95" customHeight="1">
      <c r="A105" s="10" t="n">
        <v>103</v>
      </c>
      <c r="B105" s="10" t="inlineStr">
        <is>
          <t>Locale del macchinario</t>
        </is>
      </c>
      <c r="C105" s="10" t="inlineStr">
        <is>
          <t>Il quadro di manovra fuori dall’ingombro dell’argano</t>
        </is>
      </c>
      <c r="D105"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05" s="10" t="inlineStr">
        <is>
          <t>—</t>
        </is>
      </c>
      <c r="F105" s="10" t="inlineStr">
        <is>
          <t>geometria del progetto: la pianta del locale, il quadro inserito o posto dal software, gli ingombri dell’argano, del basamento, del rinvio e del limitatore come li disegna la pianta del locale</t>
        </is>
      </c>
      <c r="G105" s="10" t="inlineStr">
        <is>
          <t>derivazione</t>
        </is>
      </c>
      <c r="H105" s="10" t="inlineStr">
        <is>
          <t>quadro di manovra fuori dall’ingombro di argano, limitatore e interruttore generale</t>
        </is>
      </c>
      <c r="I105" s="11" t="n"/>
      <c r="J105" s="11" t="n"/>
      <c r="K105" s="11" t="n"/>
      <c r="L105" s="11" t="n"/>
      <c r="M105" s="11" t="n"/>
      <c r="N105" s="11" t="n"/>
    </row>
    <row r="106" ht="238" customHeight="1">
      <c r="A106" s="10" t="n">
        <v>104</v>
      </c>
      <c r="B106" s="10" t="inlineStr">
        <is>
          <t>Locale del macchinario</t>
        </is>
      </c>
      <c r="C106" s="10" t="inlineStr">
        <is>
          <t>Dove il software mette il quadro di manovra</t>
        </is>
      </c>
      <c r="D106"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06"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06" s="10" t="inlineStr">
        <is>
          <t>UNI EN 81-20:2020, testo della norma, letto il 2026-10-06, pp. 43, 117, 129; la vicinanza alla porta, la distanza laterale e il passo sono scelte del software</t>
        </is>
      </c>
      <c r="G106" s="10" t="inlineStr">
        <is>
          <t>scelta del software</t>
        </is>
      </c>
      <c r="H106" s="10" t="inlineStr">
        <is>
          <t>—</t>
        </is>
      </c>
      <c r="I106" s="11" t="n"/>
      <c r="J106" s="11" t="n"/>
      <c r="K106" s="11" t="n"/>
      <c r="L106" s="11" t="n"/>
      <c r="M106" s="11" t="n"/>
      <c r="N106" s="11" t="n"/>
    </row>
    <row r="107" ht="69" customHeight="1">
      <c r="A107" s="10" t="n">
        <v>105</v>
      </c>
      <c r="B107" s="10" t="inlineStr">
        <is>
          <t>Locale del macchinario</t>
        </is>
      </c>
      <c r="C107" s="10" t="inlineStr">
        <is>
          <t>Illuminazione del vano e del locale del macchinario</t>
        </is>
      </c>
      <c r="D107" s="10" t="inlineStr">
        <is>
          <t>vano: luce fissa, almeno 50 lux a un metro dal tetto di cabina e dal fondo della fossa, 20 lux nel resto; locale del macchinario: almeno 200 lux al pavimento dove si lavora e 50 lux sui percorsi; 50 lux anche sull’accesso al macchinario</t>
        </is>
      </c>
      <c r="E107" s="10" t="inlineStr">
        <is>
          <t>UNI EN 81-20:2020, 5.2.1.4.1 a)–c), 5.2.1.4.2 e 5.2.2.2</t>
        </is>
      </c>
      <c r="F107" s="10" t="inlineStr">
        <is>
          <t>UNI EN 81-20:2020, testo della norma, letto il 2026-10-06, p. 25</t>
        </is>
      </c>
      <c r="G107" s="10" t="inlineStr">
        <is>
          <t>confermato</t>
        </is>
      </c>
      <c r="H107" s="10" t="inlineStr">
        <is>
          <t>—</t>
        </is>
      </c>
      <c r="I107" s="11" t="n"/>
      <c r="J107" s="11" t="n"/>
      <c r="K107" s="11" t="n"/>
      <c r="L107" s="11" t="n"/>
      <c r="M107" s="11" t="n"/>
      <c r="N107" s="11" t="n"/>
    </row>
    <row r="108" ht="43" customHeight="1">
      <c r="A108" s="10" t="n">
        <v>106</v>
      </c>
      <c r="B108" s="10" t="inlineStr">
        <is>
          <t>Locale del macchinario</t>
        </is>
      </c>
      <c r="C108" s="10" t="inlineStr">
        <is>
          <t>Temperatura dei locali del macchinario e degli armadi</t>
        </is>
      </c>
      <c r="D108" s="10" t="inlineStr">
        <is>
          <t>temperatura ambiente mantenuta tra +5 °C e +40 °C: ipotesi della norma, da garantire nell’edificio</t>
        </is>
      </c>
      <c r="E108" s="10" t="inlineStr">
        <is>
          <t>UNI EN 81-20:2020, 0.4.16 (ipotesi della norma, vale anche per il vano)</t>
        </is>
      </c>
      <c r="F108" s="10" t="inlineStr">
        <is>
          <t>UNI EN 81-20:2020, testo della norma, letto il 2026-10-06, p. 14</t>
        </is>
      </c>
      <c r="G108" s="10" t="inlineStr">
        <is>
          <t>confermato</t>
        </is>
      </c>
      <c r="H108" s="10" t="inlineStr">
        <is>
          <t>—</t>
        </is>
      </c>
      <c r="I108" s="11" t="n"/>
      <c r="J108" s="11" t="n"/>
      <c r="K108" s="11" t="n"/>
      <c r="L108" s="11" t="n"/>
      <c r="M108" s="11" t="n"/>
      <c r="N108" s="11" t="n"/>
    </row>
    <row r="109" ht="251" customHeight="1">
      <c r="A109" s="10" t="n">
        <v>107</v>
      </c>
      <c r="B109" s="10" t="inlineStr">
        <is>
          <t>Locale del macchinario</t>
        </is>
      </c>
      <c r="C109" s="10" t="inlineStr">
        <is>
          <t>Basamento dell’argano</t>
        </is>
      </c>
      <c r="D109" s="10" t="inlineStr">
        <is>
          <t>su spessori di livellamento sotto gli appoggi (l’asse della puleggia dove lo mette il software), su telaio di tre profilati sul pavimento, uno sotto ogni ferro del telaio dell’argano (locale.telaio; tipico UPN 200, alto quanto il profilato come i telai bassi universali), su tre putrelle da muro a muro, una sotto ogni ferro, che possono stare sollevate dal pavimento (tipiche IPE 200, appoggio nei muri 150 mm), su piastre d’acciaio sotto gli appoggi (tipiche 20 mm) o su plinto in calcestruzzo (tipico 250 mm) in un blocco per parte delle funi, o — con un rinvio — sul telaio con rinvio (locale.rinvio); tamponi antivibranti di 30 mm sotto gli appoggi, salvo sugli spessori e sul telaio con rinvio (antivibranti sotto le gambe); telaio e plinto 100 mm oltre il telaio dell’argano a ogni estremità; l’altezza del basamento porta l’asse della puleggia, che il calcolo (tratto di fune oltre la corsa) e il 3D seguono</t>
        </is>
      </c>
      <c r="E109" s="10" t="inlineStr">
        <is>
          <t>UNI EN 81-20:2020, 5.2.1.8 (carichi sull’edificio); scelta del costruttore</t>
        </is>
      </c>
      <c r="F109" s="10" t="inlineStr">
        <is>
          <t>telaio basso universale per argano alto 200 mm (lift-store.it); tamponi antivibranti 25–30 mm (catalogo Donati); piastre di 20 mm e plinto di 250–300 mm nella pratica di installazione (fonti estere, da confermare); estratti di ricerca del 1° ottobre 2026</t>
        </is>
      </c>
      <c r="G109" s="10" t="inlineStr">
        <is>
          <t>scelta del software</t>
        </is>
      </c>
      <c r="H109" s="10" t="inlineStr">
        <is>
          <t>—</t>
        </is>
      </c>
      <c r="I109" s="11" t="n"/>
      <c r="J109" s="11" t="n"/>
      <c r="K109" s="11" t="n"/>
      <c r="L109" s="11" t="n"/>
      <c r="M109" s="11" t="n"/>
      <c r="N109" s="11" t="n"/>
    </row>
    <row r="110" ht="355" customHeight="1">
      <c r="A110" s="10" t="n">
        <v>108</v>
      </c>
      <c r="B110" s="10" t="inlineStr">
        <is>
          <t>Locale del macchinario</t>
        </is>
      </c>
      <c r="C110" s="10" t="inlineStr">
        <is>
          <t>Telaio sotto l’argano — fino a LIFT 1.24.0, ROOM 1.8.0 e SHAFT 2.18.0 il telaio aveva due soli ferri, sotto le file di fori, con la puleggia a sbalzo oltre di essi</t>
        </is>
      </c>
      <c r="D110" s="10" t="inlineStr">
        <is>
          <t>il telaio ha sempre tre ferri sopra e la puleggia sta fra i ferri, così il carico delle funi cade fra gli appoggi e il telaio non si ribalta: un ferro sotto ogni fila di fori dei piedi e, se nessuna fila (il supporto esterno) sta oltre la puleggia, un terzo ferro oltre di essa, distante dal suo piano quanto la fila più vicina sta prima (come i supporti esterni dei costruttori) e con l’ala almeno 20 mm oltre la faccia esterna della puleggia; le traverse alle estremità stanno almeno 20 mm oltre il bordo della puleggia, così le funi scendono dentro il telaio; antivibranti alle estremità di ogni ferro, il telaio 40 mm oltre l’argano a ogni estremità; l’argano generico del software ha lo stesso telaio (ferri a −160, +160 e +520 mm dal piano della vite, la puleggia a 340 mm, alla puleggia Ø 560); sotto l’argano di catalogo il telaio è alto quanto serve per tenere l’asse della puleggia dove lo tiene l’argano generico, almeno 80 mm e con il bordo della puleggia 30 mm sopra il suo piano d’appoggio (gli argani compatti hanno la puleggia a sbalzo, sotto il piano dei piedi); se l’argano non lo permette l’asse sale e il calcolo segue; con la macchina in basso accanto al vano la puleggia passa il muro: il telaio resta nel locale con i soli ferri sotto i piedi</t>
        </is>
      </c>
      <c r="E110" s="10" t="inlineStr">
        <is>
          <t>regola del committente (Panev): il telaio ha tre ferri sopra e la puleggia fra i ferri, altrimenti si ribalterebbe</t>
        </is>
      </c>
      <c r="F110" s="10" t="inlineStr">
        <is>
          <t>quote dei piedi, dei fori e dell’asse della puleggia dalle schede tecniche del costruttore; i supporti esterni dei costruttori a catalogo (SICOR MR35, Montanari M73S, M75S, M95, M98, Sassi MF94, MB94, MB95, GEM HW134L, HW135L-VF, HW140CL, FAER P58F, P60F, P68F, P70F, P80F) stanno oltre la puleggia da 0,84 a 1,26 volte la distanza della fila prima; altezza e terzo ferro scelti dal software, da adattare al telaio fornito</t>
        </is>
      </c>
      <c r="G110" s="10" t="inlineStr">
        <is>
          <t>scelta del software</t>
        </is>
      </c>
      <c r="H110" s="10" t="inlineStr">
        <is>
          <t>—</t>
        </is>
      </c>
      <c r="I110" s="11" t="n"/>
      <c r="J110" s="11" t="n"/>
      <c r="K110" s="11" t="n"/>
      <c r="L110" s="11" t="n"/>
      <c r="M110" s="11" t="n"/>
      <c r="N110" s="11" t="n"/>
    </row>
    <row r="111" ht="407" customHeight="1">
      <c r="A111" s="10" t="n">
        <v>109</v>
      </c>
      <c r="B111" s="10" t="inlineStr">
        <is>
          <t>Locale del macchinario</t>
        </is>
      </c>
      <c r="C111" s="10" t="inlineStr">
        <is>
          <t>Puleggia di rinvio nel locale del macchinario</t>
        </is>
      </c>
      <c r="D111"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sotto i ferri del telaio dell’argano — le due laterali sotto i ferri esterni, oppure, se così il telaio è più stretto di 655 mm (o di quello del costruttore), largo 655 mm (o quanto quello del costruttore) e centrato sui ferri; una trave propria sotto ogni ferro che le laterali non portano: ogni appoggio dell’argano sta su una trave —, 100 mm oltre l’argano e il rinvio a ogni estremità, il rinvio appeso fra le travi; con un argano SICOR che ha il suo telaio a catalogo (SV110 e SH110B XTE0517/XTE0516, SH130 e SH130G XTE3022/XTE3023, SH140 XTE6026/XTE6027, SH160 XTE5708, SH190 XTE3988) le quote del costruttore: asse del rinvio, asse della puleggia (A), piano del telaio (A − B), calata del contrappeso entro L max dall’asse della puleggia (verifica di avvertimento: oltre, telaio su misura); h del calcolo = asse della puleggia − asse del rinvio, dx dalla pianta; con un altro basamento scelto il rinvio sta su un supporto proprio sul pavimento, alla stessa altezza; una h inserita a mano che porta il rinvio sotto il pavimento è segnalata</t>
        </is>
      </c>
      <c r="E111" s="10" t="inlineStr">
        <is>
          <t>regola del committente (Panev): il rinvio sta nel telaio del locale macchina, mai nel vano; UNI EN 81-20:2020, 5.2.1.8 (carichi sull’edificio)</t>
        </is>
      </c>
      <c r="F111"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11" s="10" t="inlineStr">
        <is>
          <t>scelta del software</t>
        </is>
      </c>
      <c r="H111" s="10" t="inlineStr">
        <is>
          <t>calata del contrappeso nel telaio con rinvio del costruttore</t>
        </is>
      </c>
      <c r="I111" s="11" t="n"/>
      <c r="J111" s="11" t="n"/>
      <c r="K111" s="11" t="n"/>
      <c r="L111" s="11" t="n"/>
      <c r="M111" s="11" t="n"/>
      <c r="N111" s="11" t="n"/>
    </row>
    <row r="112" ht="381" customHeight="1">
      <c r="A112" s="10" t="n">
        <v>110</v>
      </c>
      <c r="B112" s="10" t="inlineStr">
        <is>
          <t>Locale del macchinario</t>
        </is>
      </c>
      <c r="C112" s="10" t="inlineStr">
        <is>
          <t>L’argano dentro il locale del macchinario — fino a LIFT 1.25.0, ROOM 1.9.0 e SHAFT 2.19.0 l’argano stava sempre con il motore verso il contrappeso, anche quando così entrava nel muro, e l’ingombro non contava quanto il telaio o il plinto sporgono oltre il telaio dell’argano</t>
        </is>
      </c>
      <c r="D112" s="10" t="inlineStr">
        <is>
          <t>l’argano sul suo basamento — con il telaio del rinvio o con il supporto del rinvio — sta dentro il locale in pianta e sotto il soffitto: la distanza minima dai muri e dal soffitto non è negativa; nell’ingombro in pianta il telaio dell’argano e quanto il basamento sporge oltre di esso (i profilati di un telaio e i blocchi di un plinto per tutta la loro lunghezza; le putrelle appoggiano nei muri); ingombri dalle quote del costruttore per gli argani disegnati com’è, dall’argano generico del software (scalato alla puleggia) per gli altri. L’argano sta lungo la linea delle calate con la puleggia sopra le funi e il motore verso il contrappeso; quando solo così sta dentro il locale, o ne esce di meno, il software lo gira di 180° attorno all’asse verticale della puleggia (motore verso la calata della cabina, riduttore sull’altro lato della linea delle calate), non sul telaio con rinvio del costruttore, che la porta come la monta lui; il verso si può scegliere a mano (girato a mano sul telaio del costruttore, da confermare con il costruttore). La puleggia di rinvio sul suo supporto sotto l’argano libera il basamento dell’argano sopra di essa (solo le putrelle sollevate la scavalcano); con la macchina in basso l’argano — corpo e puleggia — sta dentro il suo locale, accanto al vano o sotto di esso, con le misure date sui disegni o quelle del software</t>
        </is>
      </c>
      <c r="E112" s="10" t="inlineStr">
        <is>
          <t>—</t>
        </is>
      </c>
      <c r="F112" s="10" t="inlineStr">
        <is>
          <t>geometria del progetto: la pianta e l’altezza del locale inserite, gli ingombri dell’argano e del basamento; il verso dell’argano: scelta del software</t>
        </is>
      </c>
      <c r="G112" s="10" t="inlineStr">
        <is>
          <t>derivazione</t>
        </is>
      </c>
      <c r="H112" s="10" t="inlineStr">
        <is>
          <t>argano dentro il locale (muri e soffitto); puleggia di rinvio sul suo supporto sotto l’argano</t>
        </is>
      </c>
      <c r="I112" s="11" t="n"/>
      <c r="J112" s="11" t="n"/>
      <c r="K112" s="11" t="n"/>
      <c r="L112" s="11" t="n"/>
      <c r="M112" s="11" t="n"/>
      <c r="N112" s="11" t="n"/>
    </row>
    <row r="113" ht="238" customHeight="1">
      <c r="A113" s="10" t="n">
        <v>111</v>
      </c>
      <c r="B113" s="10" t="inlineStr">
        <is>
          <t>Locale del macchinario</t>
        </is>
      </c>
      <c r="C113" s="10" t="inlineStr">
        <is>
          <t>Verifica delle putrelle sotto l’argano — verifica semplice a carico concentrato in mezzeria su trave appoggiata; gli appoggi nei muri e la muratura vanno verificati dal progettista; fino a LIFT 1.24.0 e ROOM 1.8.0 le putrelle erano due, sotto le file di fori con la puleggia a sbalzo oltre di esse</t>
        </is>
      </c>
      <c r="D113" s="10" t="inlineStr">
        <is>
          <t>una putrella sotto ogni ferro del telaio dell’argano (tre, la puleggia fra il secondo e il terzo: locale.telaio), lungo la linea delle calate da muro a muro; il carico dell’argano (il suo peso al centro del suo ingombro più il carico statico sull’asse per il coefficiente dinamico, sulle calate delle funi nel piano della puleggia) cade fra le putrelle esterne e si ripartisce tra le tre linearmente (telaio rigido su putrelle di pari rigidezza); ognuna porta la sua parte come forza concentrata in mezzeria (a favore di sicurezza), più il proprio peso, sulla luce tra i centri degli appoggi nei muri (luce libera più 150 mm): σ = M/Wel,y ≤ fyk/γM0 con acciaio S275 (fyk 275 MPa) e γM0 = 1,05; freccia elastica f = F·L³/(48·E·I) + 5·q·L⁴/(384·E·I) ≤ 1/1500 della luce libera con E = 210000 MPa, sulla putrella più caricata; proprietà dei profili EN 10365</t>
        </is>
      </c>
      <c r="E113"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13" s="10" t="inlineStr">
        <is>
          <t>NTC 2018 (DM 17/01/2018); catalogo dei profilati ArcelorMittal (EN 10365) confrontato con due tabelle indipendenti; IPE 330, 360 e 400 dalle tabelle EN 10365 di eurocodeapplied.com e dalla scheda tecnica degli IPE di STAD, concordi, lette il 7 ottobre 2026; DPR 1497/1963 letto per intero (research/argano-geared, cap. 15, §1.1)</t>
        </is>
      </c>
      <c r="G113" s="10" t="inlineStr">
        <is>
          <t>da verificare</t>
        </is>
      </c>
      <c r="H113" s="10" t="inlineStr">
        <is>
          <t>tensione nelle putrelle sotto l’argano; freccia delle putrelle sotto l’argano</t>
        </is>
      </c>
      <c r="I113" s="11" t="n"/>
      <c r="J113" s="11" t="n"/>
      <c r="K113" s="11" t="n"/>
      <c r="L113" s="11" t="n"/>
      <c r="M113" s="11" t="n"/>
      <c r="N113" s="11" t="n"/>
    </row>
    <row r="114" ht="147" customHeight="1">
      <c r="A114" s="10" t="n">
        <v>112</v>
      </c>
      <c r="B114" s="10" t="inlineStr">
        <is>
          <t>Locale del macchinario</t>
        </is>
      </c>
      <c r="C114" s="10" t="inlineStr">
        <is>
          <t>Sostituzione dell’argano: calate esistenti e calate della nuova macchina</t>
        </is>
      </c>
      <c r="D114"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14" s="10" t="inlineStr">
        <is>
          <t>—</t>
        </is>
      </c>
      <c r="F114" s="10" t="inlineStr">
        <is>
          <t>tolleranza scelta dal software per il rilievo in sito (le funi a qualche metro dal basamento): da confermare con l’installatore</t>
        </is>
      </c>
      <c r="G114" s="10" t="inlineStr">
        <is>
          <t>scelta del software</t>
        </is>
      </c>
      <c r="H114" s="10" t="inlineStr">
        <is>
          <t>sostituzione: calate della nuova macchina sulle calate esistenti</t>
        </is>
      </c>
      <c r="I114" s="11" t="n"/>
      <c r="J114" s="11" t="n"/>
      <c r="K114" s="11" t="n"/>
      <c r="L114" s="11" t="n"/>
      <c r="M114" s="11" t="n"/>
      <c r="N114" s="11" t="n"/>
    </row>
    <row r="115" ht="472" customHeight="1">
      <c r="A115" s="10" t="n">
        <v>113</v>
      </c>
      <c r="B115" s="10" t="inlineStr">
        <is>
          <t>Locale del macchinario</t>
        </is>
      </c>
      <c r="C115" s="10" t="inlineStr">
        <is>
          <t>Putrelle HEB sui muri del vano sotto l’argano — verifica semplice di trave appoggiata con il carico nella risultante; gli appoggi nei muri del vano, la muratura sotto di essi, il fissaggio dell’argano alle putrelle, il collegamento tra le due putrelle e lo sbalzo del telaio oltre di esse vanno verificati dal progettista</t>
        </is>
      </c>
      <c r="D115" s="10" t="inlineStr">
        <is>
          <t>quando la soletta tra il locale e il vano non ha una verifica strutturale, il basamento dell’argano (i suoi piedi, le estremità del telaio, le gambe del telaio con il rinvio, il supporto del rinvio) poggia su due putrelle HEB 120, HEB 140 o HEB 160 che scavalcano il vano da muro a muro, lungo la sua larghezza o la sua profondità, con un appoggio di 200 mm in ognuno dei due muri del vano; le due putrelle stanno sotto i piedi più esterni del basamento (le gambe del telaio con il rinvio), e sotto il nostro telaio basso, che le attraversa, il più lontane possibile tra loro sotto il telaio entro i muri del vano: il telaio può sporgere oltre di esse. Ognuna è una trave appoggiata tra i centri degli appoggi (luce libera più 200 mm) che porta la sua parte del carico dell’argano (il suo peso più il carico statico sull’asse per il coefficiente dinamico, nella risultante del peso dell’argano e delle due calate) per la regola della leva, più il proprio peso: σ = M/Wel,y ≤ fyk/γM0 e freccia ≤ 1/1500 della luce libera come per le putrelle sotto l’argano; la risultante tra le due putrelle, i piedi sulle ali delle putrelle (un telaio che le attraversa solo entro la loro lunghezza), le funi che attraversano la soletta (anche quella del limitatore) ad almeno 50 mm dalle putrelle, i muri del vano spessi almeno quanto l’appoggio e le due putrelle sopra i muri che le portano, entro le loro facce esterne (sotto piedi oltre il vano una putrella non poggia su nulla e la verifica non passa). Delle sei scelte (due direzioni, tre profili) il software prende le putrelle più corte che passano le verifiche, poi le più leggere — le più facili da portare nel locale, anche con l’argano girato; profilo e direzione si scelgono a mano</t>
        </is>
      </c>
      <c r="E115" s="10" t="inlineStr">
        <is>
          <t>UNI EN 81-20:2020, 5.2.1.8.1 e appendice E.1 (carichi sull’edificio); NTC 2018, §4.2.4.1.1 (γM0), Tab. 11.3.IX (S275), §11.3.4.1 (E); DPR 1497/1963, art. 5.1–5.2 (freccia ≤ 1/1500 della luce libera); proprietà dei profili EN 10365</t>
        </is>
      </c>
      <c r="F115" s="10" t="inlineStr">
        <is>
          <t>scelta del committente (putrelle HEB 120/140/160 sui muri del vano quando manca la verifica della soletta); scelta del software (appoggio di 200 mm, 50 mm dalle funi, le più corte e poi le più leggere); UNI EN 81-20:2020, testo della norma, letto il 2026-10-06, pp. 26, 148</t>
        </is>
      </c>
      <c r="G115" s="10" t="inlineStr">
        <is>
          <t>scelta del software</t>
        </is>
      </c>
      <c r="H115" s="10" t="inlineStr">
        <is>
          <t>tensione nelle putrelle HEB sui muri del vano; freccia delle putrelle HEB sui muri del vano; basamento dell’argano sulle putrelle HEB; funi lontane dalle putrelle HEB; appoggio delle putrelle HEB nei muri del vano</t>
        </is>
      </c>
      <c r="I115" s="11" t="n"/>
      <c r="J115" s="11" t="n"/>
      <c r="K115" s="11" t="n"/>
      <c r="L115" s="11" t="n"/>
      <c r="M115" s="11" t="n"/>
      <c r="N115" s="11" t="n"/>
    </row>
    <row r="116" ht="147" customHeight="1">
      <c r="A116" s="10" t="n">
        <v>114</v>
      </c>
      <c r="B116" s="10" t="inlineStr">
        <is>
          <t>Carichi sull’edificio e spinte sulle guide</t>
        </is>
      </c>
      <c r="C116"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16"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16" s="10" t="inlineStr">
        <is>
          <t>UNI EN 81-20:2020, 5.2.1.8.4–5.2.1.8.6, 5.7.2.3.5 e Prospetto 14 (k1)</t>
        </is>
      </c>
      <c r="F116" s="10" t="inlineStr">
        <is>
          <t>UNI EN 81-20:2020, testo della norma, letto il 2026-10-06, pp. 27, 94–96</t>
        </is>
      </c>
      <c r="G116" s="10" t="inlineStr">
        <is>
          <t>confermato</t>
        </is>
      </c>
      <c r="H116" s="10" t="inlineStr">
        <is>
          <t>—</t>
        </is>
      </c>
      <c r="I116" s="11" t="n"/>
      <c r="J116" s="11" t="n"/>
      <c r="K116" s="11" t="n"/>
      <c r="L116" s="11" t="n"/>
      <c r="M116" s="11" t="n"/>
      <c r="N116" s="11" t="n"/>
    </row>
    <row r="117" ht="108" customHeight="1">
      <c r="A117" s="10" t="n">
        <v>115</v>
      </c>
      <c r="B117" s="10" t="inlineStr">
        <is>
          <t>Carichi sull’edificio e spinte sulle guide</t>
        </is>
      </c>
      <c r="C117" s="10" t="inlineStr">
        <is>
          <t>Spinte sulle guide di cabina — h, la distanza tra i pattini, è una stima del software (l’ingombro verticale dell’arcata)</t>
        </is>
      </c>
      <c r="D117"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17" s="10" t="inlineStr">
        <is>
          <t>UNI EN 81-50:2020, appendice C (informativa), C.2.1.1 e C.2.2.1; UNI EN 81-20:2020, 5.7.2.3.4 (portata su 3/4 della superficie: 1/8) e Prospetto 14 (k1; k2 = 1,2)</t>
        </is>
      </c>
      <c r="F117" s="10" t="inlineStr">
        <is>
          <t>UNI EN 81-50:2020, testo della norma, letto il 2026-10-06, pp. 77–79; UNI EN 81-20:2020, testo della norma, letto il 2026-10-06, pp. 94–96</t>
        </is>
      </c>
      <c r="G117" s="10" t="inlineStr">
        <is>
          <t>confermato</t>
        </is>
      </c>
      <c r="H117" s="10" t="inlineStr">
        <is>
          <t>—</t>
        </is>
      </c>
      <c r="I117" s="11" t="n"/>
      <c r="J117" s="11" t="n"/>
      <c r="K117" s="11" t="n"/>
      <c r="L117" s="11" t="n"/>
      <c r="M117" s="11" t="n"/>
      <c r="N117" s="11" t="n"/>
    </row>
    <row r="118" ht="108" customHeight="1">
      <c r="A118" s="10" t="n">
        <v>116</v>
      </c>
      <c r="B118" s="10" t="inlineStr">
        <is>
          <t>Carichi sull’edificio e spinte sulle guide</t>
        </is>
      </c>
      <c r="C118" s="10" t="inlineStr">
        <is>
          <t>Carico della macchina sulla soletta</t>
        </is>
      </c>
      <c r="D118" s="10" t="inlineStr">
        <is>
          <t>carico statico sull’asse (cabina, portata, contrappeso, funi, cavi; in taglia 2:1 la metà di cabina, portata e contrappeso) × 2 come coefficiente dinamico; sulla soletta anche la massa di macchina e telaio</t>
        </is>
      </c>
      <c r="E118" s="10" t="inlineStr">
        <is>
          <t>UNI EN 81-20:2020, 5.2.1.8.1 e appendice E.1 (informativa: l’effetto dinamico delle masse in moto con un fattore 2); il DPR 1497/1963, art. 5.1, per gli impianti costruiti secondo esso chiedeva 1,5 volte il carico statico delle funi</t>
        </is>
      </c>
      <c r="F118" s="10" t="inlineStr">
        <is>
          <t>UNI EN 81-20:2020, testo della norma, letto il 2026-10-06, pp. 26, 148</t>
        </is>
      </c>
      <c r="G118" s="10" t="inlineStr">
        <is>
          <t>confermato</t>
        </is>
      </c>
      <c r="H118" s="10" t="inlineStr">
        <is>
          <t>—</t>
        </is>
      </c>
      <c r="I118" s="11" t="n"/>
      <c r="J118" s="11" t="n"/>
      <c r="K118" s="11" t="n"/>
      <c r="L118" s="11" t="n"/>
      <c r="M118" s="11" t="n"/>
      <c r="N118" s="11" t="n"/>
    </row>
    <row r="119" ht="43" customHeight="1">
      <c r="A119" s="10" t="n">
        <v>117</v>
      </c>
      <c r="B119" s="10" t="inlineStr">
        <is>
          <t>Carichi sull’edificio e spinte sulle guide</t>
        </is>
      </c>
      <c r="C119" s="10" t="inlineStr">
        <is>
          <t>Massa dei cavi flessibili</t>
        </is>
      </c>
      <c r="D119" s="10" t="inlineStr">
        <is>
          <t>0,5 kg/m per metà della corsa più 3 m (cavo piatto 24G0,75), sul basamento dell’argano, nella relazione e nel foglio 1</t>
        </is>
      </c>
      <c r="E119" s="10" t="inlineStr">
        <is>
          <t>—</t>
        </is>
      </c>
      <c r="F119" s="10" t="inlineStr">
        <is>
          <t>schede dei costruttori di cavi piatti (0,48–0,57 kg/m)</t>
        </is>
      </c>
      <c r="G119" s="10" t="inlineStr">
        <is>
          <t>stima</t>
        </is>
      </c>
      <c r="H119" s="10" t="inlineStr">
        <is>
          <t>—</t>
        </is>
      </c>
      <c r="I119" s="11" t="n"/>
      <c r="J119" s="11" t="n"/>
      <c r="K119" s="11" t="n"/>
      <c r="L119" s="11" t="n"/>
      <c r="M119" s="11" t="n"/>
      <c r="N119" s="11" t="n"/>
    </row>
    <row r="120" ht="121" customHeight="1">
      <c r="A120" s="10" t="n">
        <v>118</v>
      </c>
      <c r="B120" s="10" t="inlineStr">
        <is>
          <t>Carichi sull’edificio e spinte sulle guide</t>
        </is>
      </c>
      <c r="C120" s="10" t="inlineStr">
        <is>
          <t>Numero e posizione delle staffe delle guide — il passo delle staffe va confermato con la verifica delle guide (UNI EN 81-50:2020, 5.10), che usa la distanza tra le staffe</t>
        </is>
      </c>
      <c r="D120"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Il passo inserito nei dati dell’impianto sostituisce i 2000 mm</t>
        </is>
      </c>
      <c r="E120" s="10" t="inlineStr">
        <is>
          <t>regola di montaggio indicata dal committente</t>
        </is>
      </c>
      <c r="F120" s="10" t="inlineStr">
        <is>
          <t>scelta del committente</t>
        </is>
      </c>
      <c r="G120" s="10" t="inlineStr">
        <is>
          <t>scelta del software</t>
        </is>
      </c>
      <c r="H120" s="10" t="inlineStr">
        <is>
          <t>—</t>
        </is>
      </c>
      <c r="I120" s="11" t="n"/>
      <c r="J120" s="11" t="n"/>
      <c r="K120" s="11" t="n"/>
      <c r="L120" s="11" t="n"/>
      <c r="M120" s="11" t="n"/>
      <c r="N120" s="11" t="n"/>
    </row>
    <row r="121" ht="82" customHeight="1">
      <c r="A121" s="10" t="n">
        <v>119</v>
      </c>
      <c r="B121" s="10" t="inlineStr">
        <is>
          <t>Carichi sull’edificio e spinte sulle guide</t>
        </is>
      </c>
      <c r="C121" s="10" t="inlineStr">
        <is>
          <t>Lunghezze stimate nel foglio dei dati</t>
        </is>
      </c>
      <c r="D121" s="10" t="inlineStr">
        <is>
          <t>guide dal pavimento della fossa fino a 50 mm sotto la soletta del vano; fune del limitatore: due volte l’altezza dalla fossa al limitatore, posto 800 mm sopra il pavimento del locale; funi di sospensione: taglia × (corsa + 2 × tratto oltre la corsa), più deviazione o rinvii</t>
        </is>
      </c>
      <c r="E121" s="10" t="inlineStr">
        <is>
          <t>—</t>
        </is>
      </c>
      <c r="F121" s="10" t="inlineStr">
        <is>
          <t>stima del software, da sostituire con le misure di cantiere</t>
        </is>
      </c>
      <c r="G121" s="10" t="inlineStr">
        <is>
          <t>stima</t>
        </is>
      </c>
      <c r="H121" s="10" t="inlineStr">
        <is>
          <t>—</t>
        </is>
      </c>
      <c r="I121" s="11" t="n"/>
      <c r="J121" s="11" t="n"/>
      <c r="K121" s="11" t="n"/>
      <c r="L121" s="11" t="n"/>
      <c r="M121" s="11" t="n"/>
      <c r="N121" s="11" t="n"/>
    </row>
    <row r="122" ht="329" customHeight="1">
      <c r="A122" s="10" t="n">
        <v>120</v>
      </c>
      <c r="B122" s="10" t="inlineStr">
        <is>
          <t>Carichi sull’edificio e spinte sulle guide</t>
        </is>
      </c>
      <c r="C122"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La flessione della suola è quella dei pattini a rotelle (5.10.5 ha una formula a parte per quelli a scorrimento; il tipo di pattino non è un dato del software).</t>
        </is>
      </c>
      <c r="D122"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22" s="10" t="inlineStr">
        <is>
          <t>UNI EN 81-50:2020, 5.10.2–5.10.6; UNI EN 81-20:2020, 5.7.2.3.5, 5.7.2.3.6, 5.7.4.5 (Prospetto 15), 5.7.4.6 e Prospetto 14; UNI EN 81-1:2008, G.2.5 (l’uso non indicato)</t>
        </is>
      </c>
      <c r="F122" s="10" t="inlineStr">
        <is>
          <t>UNI EN 81-50:2020, testo della norma, letto il 2026-10-06, pp. 35–39; UNI EN 81-20:2020, testo della norma, letto il 2026-10-06, pp. 94–97; Rm 370 è scelta del software (il valore più basso)</t>
        </is>
      </c>
      <c r="G122" s="10" t="inlineStr">
        <is>
          <t>confermato</t>
        </is>
      </c>
      <c r="H122" s="10" t="inlineStr">
        <is>
          <t>tensioni nelle guide di cabina; flessione della suola delle guide di cabina; frecce delle guide di cabina</t>
        </is>
      </c>
      <c r="I122" s="11" t="n"/>
      <c r="J122" s="11" t="n"/>
      <c r="K122" s="11" t="n"/>
      <c r="L122" s="11" t="n"/>
      <c r="M122" s="11" t="n"/>
      <c r="N122" s="11" t="n"/>
    </row>
    <row r="123" ht="147" customHeight="1">
      <c r="A123" s="10" t="n">
        <v>121</v>
      </c>
      <c r="B123" s="10" t="inlineStr">
        <is>
          <t>Carichi sull’edificio e spinte sulle guide</t>
        </is>
      </c>
      <c r="C123" s="10" t="inlineStr">
        <is>
          <t>Sezioni delle guide di cabina</t>
        </is>
      </c>
      <c r="D123" s="10" t="inlineStr">
        <is>
          <t>area, momenti d’inerzia e moduli di resistenza minimi attorno all’asse parallelo alla suola (x) e all’asse di simmetria (y), spessore c del collo tra lama e suola, per ogni profilo del software; raggi d’inerzia calcolati come √(I/A)</t>
        </is>
      </c>
      <c r="E123" s="10" t="inlineStr">
        <is>
          <t>ISO 7465:2007 (ora ISO 8100-33:2022); EN 10055:1995 per il T 70×70×8 laminato</t>
        </is>
      </c>
      <c r="F123"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23" s="10" t="inlineStr">
        <is>
          <t>da verificare</t>
        </is>
      </c>
      <c r="H123" s="10" t="inlineStr">
        <is>
          <t>—</t>
        </is>
      </c>
      <c r="I123" s="11" t="n"/>
      <c r="J123" s="11" t="n"/>
      <c r="K123" s="11" t="n"/>
      <c r="L123" s="11" t="n"/>
      <c r="M123" s="11" t="n"/>
      <c r="N123" s="11" t="n"/>
    </row>
    <row r="124" ht="69" customHeight="1">
      <c r="A124" s="10" t="n">
        <v>122</v>
      </c>
      <c r="B124" s="10" t="inlineStr">
        <is>
          <t>Carichi sull’edificio e spinte sulle guide</t>
        </is>
      </c>
      <c r="C124" s="10" t="inlineStr">
        <is>
          <t>Tipo di paracadute per la velocità nominale</t>
        </is>
      </c>
      <c r="D124" s="10" t="inlineStr">
        <is>
          <t>istantaneo (anche a rulli imprigionati) fino a 0,63 m/s; oltre, progressivo (la UNI EN 81-20 non ha più l’istantaneo con effetto ammortizzato fino a 1 m/s); il tipo viene dai dati dell’impianto (se manca: progressivo, con la nota sul foglio)</t>
        </is>
      </c>
      <c r="E124" s="10" t="inlineStr">
        <is>
          <t>UNI EN 81-20:2020, 5.6.2.1.2.1; la regola precedente in UNI EN 81-1 (1999, 2008), 9.8.2.1</t>
        </is>
      </c>
      <c r="F124" s="10" t="inlineStr">
        <is>
          <t>UNI EN 81-20:2020, testo della norma, letto il 2026-10-06, p. 81; UNI EN 81-1:2008, testo della norma, letto il 2026-10-06, p. 58</t>
        </is>
      </c>
      <c r="G124" s="10" t="inlineStr">
        <is>
          <t>confermato</t>
        </is>
      </c>
      <c r="H124" s="10" t="inlineStr">
        <is>
          <t>tipo di paracadute per la velocità</t>
        </is>
      </c>
      <c r="I124" s="11" t="n"/>
      <c r="J124" s="11" t="n"/>
      <c r="K124" s="11" t="n"/>
      <c r="L124" s="11" t="n"/>
      <c r="M124" s="11" t="n"/>
      <c r="N124" s="11" t="n"/>
    </row>
    <row r="125" ht="43" customHeight="1">
      <c r="A125" s="10" t="n">
        <v>123</v>
      </c>
      <c r="B125" s="10" t="inlineStr">
        <is>
          <t>Vano: limiti del progetto</t>
        </is>
      </c>
      <c r="C125" s="10" t="inlineStr">
        <is>
          <t>Dimensioni proposte della cabina</t>
        </is>
      </c>
      <c r="D125" s="10" t="inlineStr">
        <is>
          <t>la cabina più grande che entra nel vano, a passi di 10 mm, con superficie entro il limite della portata; a parità di superficie, la più profonda</t>
        </is>
      </c>
      <c r="E125" s="10" t="inlineStr">
        <is>
          <t>—</t>
        </is>
      </c>
      <c r="F125" s="10" t="inlineStr">
        <is>
          <t>scelta del software</t>
        </is>
      </c>
      <c r="G125" s="10" t="inlineStr">
        <is>
          <t>scelta del software</t>
        </is>
      </c>
      <c r="H125" s="10" t="inlineStr">
        <is>
          <t>—</t>
        </is>
      </c>
      <c r="I125" s="11" t="n"/>
      <c r="J125" s="11" t="n"/>
      <c r="K125" s="11" t="n"/>
      <c r="L125" s="11" t="n"/>
      <c r="M125" s="11" t="n"/>
      <c r="N125" s="11" t="n"/>
    </row>
    <row r="126" ht="225" customHeight="1">
      <c r="A126" s="10" t="n">
        <v>124</v>
      </c>
      <c r="B126" s="10" t="inlineStr">
        <is>
          <t>Vano: limiti del progetto</t>
        </is>
      </c>
      <c r="C126" s="10" t="inlineStr">
        <is>
          <t>Quote della pianta fissate a mano</t>
        </is>
      </c>
      <c r="D126"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26" s="10" t="inlineStr">
        <is>
          <t>—</t>
        </is>
      </c>
      <c r="F126" s="10" t="inlineStr">
        <is>
          <t>scelta del software</t>
        </is>
      </c>
      <c r="G126" s="10" t="inlineStr">
        <is>
          <t>scelta del software</t>
        </is>
      </c>
      <c r="H126" s="10" t="inlineStr">
        <is>
          <t>quote fissate a mano: ingombri al loro posto; quote fissate a mano: porte dentro la cabina; ammortizzatori fissati a mano: sotto cabina e contrappeso, fuori dal rifugio</t>
        </is>
      </c>
      <c r="I126" s="11" t="n"/>
      <c r="J126" s="11" t="n"/>
      <c r="K126" s="11" t="n"/>
      <c r="L126" s="11" t="n"/>
      <c r="M126" s="11" t="n"/>
      <c r="N126" s="11" t="n"/>
    </row>
    <row r="127" ht="82" customHeight="1">
      <c r="A127" s="10" t="n">
        <v>125</v>
      </c>
      <c r="B127" s="10" t="inlineStr">
        <is>
          <t>Vano: limiti del progetto</t>
        </is>
      </c>
      <c r="C127" s="10" t="inlineStr">
        <is>
          <t>Limiti del modello del vano</t>
        </is>
      </c>
      <c r="D127" s="10" t="inlineStr">
        <is>
          <t>pianta, sezione A-A e locale macchina da un modello semplificato: arcata, operatori delle porte, ammortizzatori e macchina hanno posizioni e ingombri tipici, da sostituire con i dati dei fornitori; il rilievo dal disegno CAD va controllato in cantiere</t>
        </is>
      </c>
      <c r="E127" s="10" t="inlineStr">
        <is>
          <t>—</t>
        </is>
      </c>
      <c r="F127" s="10" t="inlineStr">
        <is>
          <t>limite del modello attuale</t>
        </is>
      </c>
      <c r="G127" s="10" t="inlineStr">
        <is>
          <t>scelta del software</t>
        </is>
      </c>
      <c r="H127" s="10" t="inlineStr">
        <is>
          <t>—</t>
        </is>
      </c>
      <c r="I127" s="11" t="n"/>
      <c r="J127" s="11" t="n"/>
      <c r="K127" s="11" t="n"/>
      <c r="L127" s="11" t="n"/>
      <c r="M127" s="11" t="n"/>
      <c r="N127" s="11" t="n"/>
    </row>
    <row r="128" ht="238" customHeight="1">
      <c r="A128" s="10" t="n">
        <v>126</v>
      </c>
      <c r="B128" s="10" t="inlineStr">
        <is>
          <t>Vano: limiti del progetto</t>
        </is>
      </c>
      <c r="C128" s="10" t="inlineStr">
        <is>
          <t>Verifiche che il software non calcola</t>
        </is>
      </c>
      <c r="D128" s="10" t="inlineStr">
        <is>
          <t>da fare a parte, con i dati dei fornitori: sollecitazioni e frecce delle staffe e delle guide del contrappeso (UNI EN 81-50:2020, 5.10: il software verifica le guide di cabina, sul foglio 1 delle tavole); puleggia del contrappeso in taglia 2:1 sotto il soffitto; paracadute del contrappeso con spazi accessibili sotto il vano; distanza tra le parti fisse più alte della fossa e quelle più basse della cabina sugli ammortizzatori; sporgenze nel vano oltre 150 mm senza balaustra; locale della macchina in basso (dimensioni e spazi di manovra: il software non lo disegna); movimento incontrollato della cabina (UCM) e velocità eccessiva in salita con la nuova macchina; muro sotto la soglia di piano (5.2.5.3.2 a)); le soluzioni della UNI EN 81-21:2022 per testata, fossa, locale e porte ridotti (le verifiche in sezione seguono solo la UNI EN 81-20:2020)</t>
        </is>
      </c>
      <c r="E128" s="10" t="inlineStr">
        <is>
          <t>UNI EN 81-20:2020: guide e staffe 5.7.2–5.7.4 (con UNI EN 81-50:2020, 5.10); distanze in testata 5.2.5.7.2; spazi accessibili sotto il vano 5.2.5.4; parti fisse in fossa 5.2.5.8.2; sporgenze oltre 0,15 m 5.2.5.2.2.2; locale del macchinario 5.2.6.3; velocità eccessiva in salita 5.6.6; movimento incontrollato 5.6.7</t>
        </is>
      </c>
      <c r="F128" s="10" t="inlineStr">
        <is>
          <t>UNI EN 81-20:2020, testo della norma, letto il 2026-10-06, pp. 31–43, 89–97; analisi delle lacune del 2026-10-03</t>
        </is>
      </c>
      <c r="G128" s="10" t="inlineStr">
        <is>
          <t>scelta del software</t>
        </is>
      </c>
      <c r="H128" s="10" t="inlineStr">
        <is>
          <t>—</t>
        </is>
      </c>
      <c r="I128" s="11" t="n"/>
      <c r="J128" s="11" t="n"/>
      <c r="K128" s="11" t="n"/>
      <c r="L128" s="11" t="n"/>
      <c r="M128" s="11" t="n"/>
      <c r="N128" s="11" t="n"/>
    </row>
    <row r="129" ht="56" customHeight="1">
      <c r="A129" s="10" t="n">
        <v>127</v>
      </c>
      <c r="B129" s="10" t="inlineStr">
        <is>
          <t>Impianto: valori calcolati dai dati inseriti una volta</t>
        </is>
      </c>
      <c r="C129" s="10" t="inlineStr">
        <is>
          <t>Corsa</t>
        </is>
      </c>
      <c r="D129" s="10" t="inlineStr">
        <is>
          <t>somma delle altezze tra i piani, dal più basso al più alto</t>
        </is>
      </c>
      <c r="E129" s="10" t="inlineStr">
        <is>
          <t>—</t>
        </is>
      </c>
      <c r="F129" s="10" t="inlineStr">
        <is>
          <t>dati dei piani inseriti</t>
        </is>
      </c>
      <c r="G129" s="10" t="inlineStr">
        <is>
          <t>derivazione</t>
        </is>
      </c>
      <c r="H129" s="10" t="inlineStr">
        <is>
          <t>—</t>
        </is>
      </c>
      <c r="I129" s="11" t="n"/>
      <c r="J129" s="11" t="n"/>
      <c r="K129" s="11" t="n"/>
      <c r="L129" s="11" t="n"/>
      <c r="M129" s="11" t="n"/>
      <c r="N129" s="11" t="n"/>
    </row>
    <row r="130" ht="56" customHeight="1">
      <c r="A130" s="10" t="n">
        <v>128</v>
      </c>
      <c r="B130" s="10" t="inlineStr">
        <is>
          <t>Impianto: valori calcolati dai dati inseriti una volta</t>
        </is>
      </c>
      <c r="C130" s="10" t="inlineStr">
        <is>
          <t>Portata e velocità — In una modifica il confronto con i carichi documentati è nella voce impianto.variazione.carico.</t>
        </is>
      </c>
      <c r="D130" s="10" t="inlineStr">
        <is>
          <t>la portata inserita, oppure quella della cabina più grande che entra nel vano (Tabella 6); la velocità è una sola per il vano e per la macchina</t>
        </is>
      </c>
      <c r="E130" s="10" t="inlineStr">
        <is>
          <t>UNI EN 81-20:2020, 5.4.2.1</t>
        </is>
      </c>
      <c r="F130" s="10" t="inlineStr">
        <is>
          <t>progetto del vano</t>
        </is>
      </c>
      <c r="G130" s="10" t="inlineStr">
        <is>
          <t>derivazione</t>
        </is>
      </c>
      <c r="H130" s="10" t="inlineStr">
        <is>
          <t>—</t>
        </is>
      </c>
      <c r="I130" s="11" t="n"/>
      <c r="J130" s="11" t="n"/>
      <c r="K130" s="11" t="n"/>
      <c r="L130" s="11" t="n"/>
      <c r="M130" s="11" t="n"/>
      <c r="N130" s="11" t="n"/>
    </row>
    <row r="131" ht="212" customHeight="1">
      <c r="A131" s="10" t="n">
        <v>129</v>
      </c>
      <c r="B131" s="10" t="inlineStr">
        <is>
          <t>Impianto: valori calcolati dai dati inseriti una volta</t>
        </is>
      </c>
      <c r="C131"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t>
        </is>
      </c>
      <c r="D131"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31" s="10" t="inlineStr">
        <is>
          <t>UNI 10411-1:2024, 6.1 (prospetti 1 e 2); UNI 10411-11:2024, 6.1 e 6.2</t>
        </is>
      </c>
      <c r="F131" s="10" t="inlineStr">
        <is>
          <t>UNI 10411-1:2024, testo della norma, letto il 2026-10-06, p. 7; UNI 10411-11:2024, testo della norma, letto il 2026-10-06, pp. 7–8</t>
        </is>
      </c>
      <c r="G131" s="10" t="inlineStr">
        <is>
          <t>confermato</t>
        </is>
      </c>
      <c r="H131" s="10" t="inlineStr">
        <is>
          <t>—</t>
        </is>
      </c>
      <c r="I131" s="11" t="n"/>
      <c r="J131" s="11" t="n"/>
      <c r="K131" s="11" t="n"/>
      <c r="L131" s="11" t="n"/>
      <c r="M131" s="11" t="n"/>
      <c r="N131" s="11" t="n"/>
    </row>
    <row r="132" ht="108" customHeight="1">
      <c r="A132" s="10" t="n">
        <v>130</v>
      </c>
      <c r="B132" s="10" t="inlineStr">
        <is>
          <t>Impianto: valori calcolati dai dati inseriti una volta</t>
        </is>
      </c>
      <c r="C132" s="10" t="inlineStr">
        <is>
          <t>Modifica: UNI 10411-1 o UNI 10411-11 — la data dal DPR 162/1999 è una lettura dell’articolo 19 (messa in servizio secondo le regole precedenti fino al 30 giugno 1999)</t>
        </is>
      </c>
      <c r="D132"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32" s="10" t="inlineStr">
        <is>
          <t>UNI 10411-11:2024, 1 e 3.3–3.4; UNI 10411-1:2024, 1; DPR 162/1999, art. 7 c.2, art. 16 c.1 e c.3, art. 19 c.1</t>
        </is>
      </c>
      <c r="F132" s="10" t="inlineStr">
        <is>
          <t>UNI 10411-1:2024, testo della norma, letto il 2026-10-06, p. 5; UNI 10411-11:2024, testo della norma, letto il 2026-10-06, pp. 5–6; DPR 162/1999 (testo su Normattiva)</t>
        </is>
      </c>
      <c r="G132" s="10" t="inlineStr">
        <is>
          <t>confermato</t>
        </is>
      </c>
      <c r="H132" s="10" t="inlineStr">
        <is>
          <t>—</t>
        </is>
      </c>
      <c r="I132" s="11" t="n"/>
      <c r="J132" s="11" t="n"/>
      <c r="K132" s="11" t="n"/>
      <c r="L132" s="11" t="n"/>
      <c r="M132" s="11" t="n"/>
      <c r="N132" s="11" t="n"/>
    </row>
    <row r="133" ht="316" customHeight="1">
      <c r="A133" s="10" t="n">
        <v>131</v>
      </c>
      <c r="B133" s="10" t="inlineStr">
        <is>
          <t>Impianto: valori calcolati dai dati inseriti una volta</t>
        </is>
      </c>
      <c r="C133"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t>
        </is>
      </c>
      <c r="D133"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33" s="10" t="inlineStr">
        <is>
          <t>DPR 162/1999 e s.m.i.; UNI 10411-1:2024; UNI 10411-11:2024; UNI EN 81-20:2020; UNI EN 81-50:2020</t>
        </is>
      </c>
      <c r="F133" s="10" t="inlineStr">
        <is>
          <t>UNI 10411-1:2024, testo della norma, letto il 2026-10-06, pp. 5, 13–14; UNI 10411-11:2024, testo della norma, letto il 2026-10-06, pp. 5, 12; schema ICIM delle verifiche (la verifica straordinaria si limita di norma alle modifiche); ricerca, capitoli 2.4 e 6.6</t>
        </is>
      </c>
      <c r="G133" s="10" t="inlineStr">
        <is>
          <t>scelta del software</t>
        </is>
      </c>
      <c r="H133" s="10" t="inlineStr">
        <is>
          <t>—</t>
        </is>
      </c>
      <c r="I133" s="11" t="n"/>
      <c r="J133" s="11" t="n"/>
      <c r="K133" s="11" t="n"/>
      <c r="L133" s="11" t="n"/>
      <c r="M133" s="11" t="n"/>
      <c r="N133" s="11" t="n"/>
    </row>
    <row r="134" ht="264" customHeight="1">
      <c r="A134" s="10" t="n">
        <v>132</v>
      </c>
      <c r="B134" s="10" t="inlineStr">
        <is>
          <t>Impianto: valori calcolati dai dati inseriti una volta</t>
        </is>
      </c>
      <c r="C134"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34"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34" s="10" t="inlineStr">
        <is>
          <t>DPR 162/1999 e s.m.i., art. 2 c.1 lett. cc), art. 12 c.4, art. 14 c.3; UNI 10411-1:2024; UNI 10411-11:2024; UNI EN 81-21:2022 (scopo)</t>
        </is>
      </c>
      <c r="F134" s="10" t="inlineStr">
        <is>
          <t>indicazione del cliente (5 ottobre 2026): prassi di lasciare l’arcata; ricerca, capitolo 16 §3.2 e §5.3</t>
        </is>
      </c>
      <c r="G134" s="10" t="inlineStr">
        <is>
          <t>prassi di cantiere</t>
        </is>
      </c>
      <c r="H134" s="10" t="inlineStr">
        <is>
          <t>—</t>
        </is>
      </c>
      <c r="I134" s="11" t="n"/>
      <c r="J134" s="11" t="n"/>
      <c r="K134" s="11" t="n"/>
      <c r="L134" s="11" t="n"/>
      <c r="M134" s="11" t="n"/>
      <c r="N134" s="11" t="n"/>
    </row>
    <row r="135" ht="69" customHeight="1">
      <c r="A135" s="10" t="n">
        <v>133</v>
      </c>
      <c r="B135" s="10" t="inlineStr">
        <is>
          <t>Impianto: valori calcolati dai dati inseriti una volta</t>
        </is>
      </c>
      <c r="C135" s="10" t="inlineStr">
        <is>
          <t>Massa della cabina non inserita — va sostituita con la massa del libretto o con quella ricavata dalla prova di bilanciamento; la sensibilità ±10% ne mostra l’effetto</t>
        </is>
      </c>
      <c r="D135" s="10" t="inlineStr">
        <is>
          <t>P = 1,1·Q arrotondata per eccesso a 10 kg: valore di partenza per far girare il calcolo</t>
        </is>
      </c>
      <c r="E135" s="10" t="inlineStr">
        <is>
          <t>ricerca, capitoli 3 e 6 (origine della massa della cabina)</t>
        </is>
      </c>
      <c r="F135" s="10" t="inlineStr">
        <is>
          <t>scelta del software, senza fonte</t>
        </is>
      </c>
      <c r="G135" s="10" t="inlineStr">
        <is>
          <t>stima</t>
        </is>
      </c>
      <c r="H135" s="10" t="inlineStr">
        <is>
          <t>—</t>
        </is>
      </c>
      <c r="I135" s="11" t="n"/>
      <c r="J135" s="11" t="n"/>
      <c r="K135" s="11" t="n"/>
      <c r="L135" s="11" t="n"/>
      <c r="M135" s="11" t="n"/>
      <c r="N135" s="11" t="n"/>
    </row>
    <row r="136" ht="108" customHeight="1">
      <c r="A136" s="10" t="n">
        <v>134</v>
      </c>
      <c r="B136" s="10" t="inlineStr">
        <is>
          <t>Impianto: valori calcolati dai dati inseriti una volta</t>
        </is>
      </c>
      <c r="C136" s="10" t="inlineStr">
        <is>
          <t>Fune oltre la corsa (L0)</t>
        </is>
      </c>
      <c r="D136" s="10" t="inlineStr">
        <is>
          <t>dalla sommità dell’arcata con la cabina all’ultimo piano fino all’asse della puleggia: testata − sommità dell’arcata + soletta del locale + asse della puleggia a 0,9·D sul pavimento del locale; con la puleggia di rinvio, l’asse sul basamento o sul telaio che la porta (voce locale.rinvio); macchina in basso o senza locale: fino al soffitto del vano</t>
        </is>
      </c>
      <c r="E136" s="10" t="inlineStr">
        <is>
          <t>—</t>
        </is>
      </c>
      <c r="F136" s="10" t="inlineStr">
        <is>
          <t>dati verticali del vano; altezza dell’asse scelta dal software</t>
        </is>
      </c>
      <c r="G136" s="10" t="inlineStr">
        <is>
          <t>scelta del software</t>
        </is>
      </c>
      <c r="H136" s="10" t="inlineStr">
        <is>
          <t>—</t>
        </is>
      </c>
      <c r="I136" s="11" t="n"/>
      <c r="J136" s="11" t="n"/>
      <c r="K136" s="11" t="n"/>
      <c r="L136" s="11" t="n"/>
      <c r="M136" s="11" t="n"/>
      <c r="N136" s="11" t="n"/>
    </row>
    <row r="137" ht="147" customHeight="1">
      <c r="A137" s="10" t="n">
        <v>135</v>
      </c>
      <c r="B137" s="10" t="inlineStr">
        <is>
          <t>Impianto: valori calcolati dai dati inseriti una volta</t>
        </is>
      </c>
      <c r="C137" s="10" t="inlineStr">
        <is>
          <t>Distanza orizzontale della puleggia di rinvio (dx)</t>
        </is>
      </c>
      <c r="D137" s="10" t="inlineStr">
        <is>
          <t>calata tra la fune di cabina e quella del contrappeso in pianta − D/2 − Dp/2 (rinvio semplice: la fune scende dal lato esterno della puleggia di rinvio); se la fune deve rientrare, − D/2 + Dp/2 (rinvio inverso: dal lato interno); con taglia 2:1 la calata è minore di Dp, perché le funi salgono dal lato interno delle pulegge di cabina e di contrappeso. La puleggia di frizione sopra la cabina, il rinvio sopra il contrappeso; se nessuna delle due geometrie torna con l’angolo di avvolgimento, la distanza va misurata sull’impianto</t>
        </is>
      </c>
      <c r="E137" s="10" t="inlineStr">
        <is>
          <t>ricerca, capitolo 5.3</t>
        </is>
      </c>
      <c r="F137" s="10" t="inlineStr">
        <is>
          <t>pianta del vano</t>
        </is>
      </c>
      <c r="G137" s="10" t="inlineStr">
        <is>
          <t>derivazione</t>
        </is>
      </c>
      <c r="H137" s="10" t="inlineStr">
        <is>
          <t>—</t>
        </is>
      </c>
      <c r="I137" s="11" t="n"/>
      <c r="J137" s="11" t="n"/>
      <c r="K137" s="11" t="n"/>
      <c r="L137" s="11" t="n"/>
      <c r="M137" s="11" t="n"/>
      <c r="N137" s="11" t="n"/>
    </row>
    <row r="138" ht="160" customHeight="1">
      <c r="A138" s="10" t="n">
        <v>136</v>
      </c>
      <c r="B138" s="10" t="inlineStr">
        <is>
          <t>Impianto: valori calcolati dai dati inseriti una volta</t>
        </is>
      </c>
      <c r="C138"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38" s="10" t="inlineStr">
        <is>
          <t>senza rinvio le due calate scendono dai due lati della puleggia di frizione: la loro distanza in pianta (dall’asse della cabina a quello del contrappeso, meno Dp con la taglia 2:1)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38" s="10" t="inlineStr">
        <is>
          <t>ricerca, capitolo 5.3 (angolo di avvolgimento del tiro diretto)</t>
        </is>
      </c>
      <c r="F138" s="10" t="inlineStr">
        <is>
          <t>geometria delle funi</t>
        </is>
      </c>
      <c r="G138" s="10" t="inlineStr">
        <is>
          <t>derivazione</t>
        </is>
      </c>
      <c r="H138" s="10" t="inlineStr">
        <is>
          <t>—</t>
        </is>
      </c>
      <c r="I138" s="11" t="n"/>
      <c r="J138" s="11" t="n"/>
      <c r="K138" s="11" t="n"/>
      <c r="L138" s="11" t="n"/>
      <c r="M138" s="11" t="n"/>
      <c r="N138" s="11" t="n"/>
    </row>
    <row r="139" ht="56" customHeight="1">
      <c r="A139" s="10" t="n">
        <v>137</v>
      </c>
      <c r="B139" s="10" t="inlineStr">
        <is>
          <t>Impianto: valori calcolati dai dati inseriti una volta</t>
        </is>
      </c>
      <c r="C139" s="10" t="inlineStr">
        <is>
          <t>Macchina in basso: altezza fino alle pulegge in alto (Hv)</t>
        </is>
      </c>
      <c r="D139" s="10" t="inlineStr">
        <is>
          <t>dall’asse dei rinvii in testata all’asse della puleggia di frizione, secondo lo schema delle funi (impianto.basso.schema); la puleggia ha l’asse a 0,9·D sul pavimento del suo locale</t>
        </is>
      </c>
      <c r="E139" s="10" t="inlineStr">
        <is>
          <t>ricerca, capitolo 5; funi con la macchina in basso, capitolo 2.6</t>
        </is>
      </c>
      <c r="F139" s="10" t="inlineStr">
        <is>
          <t>dati verticali del vano</t>
        </is>
      </c>
      <c r="G139" s="10" t="inlineStr">
        <is>
          <t>derivazione</t>
        </is>
      </c>
      <c r="H139" s="10" t="inlineStr">
        <is>
          <t>—</t>
        </is>
      </c>
      <c r="I139" s="11" t="n"/>
      <c r="J139" s="11" t="n"/>
      <c r="K139" s="11" t="n"/>
      <c r="L139" s="11" t="n"/>
      <c r="M139" s="11" t="n"/>
      <c r="N139" s="11" t="n"/>
    </row>
    <row r="140" ht="381" customHeight="1">
      <c r="A140" s="10" t="n">
        <v>138</v>
      </c>
      <c r="B140" s="10" t="inlineStr">
        <is>
          <t>Impianto: valori calcolati dai dati inseriti una volta</t>
        </is>
      </c>
      <c r="C140"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t>
        </is>
      </c>
      <c r="D140"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larghezza, profondità, altezza e porta del locale si cambiano sui suoi disegni (accanto al vano resta il lato al muro, sotto il vano l’angolo più vicino all’origine; sotto il vano la sua altezza abbassa la macchina) e la macchina deve restarci dentro. I due rami alla macchina salgono dietro il contrappeso a 50 mm dalla parete e dal contrappeso, la puleggia con il piano parallelo alla parete; per lato un rinvio a 180° se il ramo dista dalla calata in pianta non più di Dp, altrimenti due rinvii a 90° con un tratto orizzontale. Il calcolo conta due rinvii per la macchina in basso: gli altri entrano come flessioni semplici aggiuntive (nps)</t>
        </is>
      </c>
      <c r="E140" s="10" t="inlineStr">
        <is>
          <t>ricerca, funi con la macchina in basso, capitoli 2–5; DPR 1497/1963 artt. 5–9, 33</t>
        </is>
      </c>
      <c r="F140" s="10" t="inlineStr">
        <is>
          <t>geometria ricostruita dal software</t>
        </is>
      </c>
      <c r="G140" s="10" t="inlineStr">
        <is>
          <t>scelta del software</t>
        </is>
      </c>
      <c r="H140" s="10" t="inlineStr">
        <is>
          <t>—</t>
        </is>
      </c>
      <c r="I140" s="11" t="n"/>
      <c r="J140" s="11" t="n"/>
      <c r="K140" s="11" t="n"/>
      <c r="L140" s="11" t="n"/>
      <c r="M140" s="11" t="n"/>
      <c r="N140" s="11" t="n"/>
    </row>
    <row r="141" ht="251" customHeight="1">
      <c r="A141" s="10" t="n">
        <v>139</v>
      </c>
      <c r="B141" s="10" t="inlineStr">
        <is>
          <t>Impianto: valori calcolati dai dati inseriti una volta</t>
        </is>
      </c>
      <c r="C141" s="10" t="inlineStr">
        <is>
          <t>Macchina proposta dal catalogo di un costruttore — la tolleranza sul rapporto è una scelta del software: la velocità reale con l’inverter deve restare entro il 5 % sopra la nominale (UNI EN 81-20:2020, 5.9.2.4; buona pratica non oltre l'8 % sotto);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t>
        </is>
      </c>
      <c r="D141" s="10" t="inlineStr">
        <is>
          <t>tra le opzioni del dimensionamento solo quelle che un argano del costruttore scelto accetta: puleggia nella gamma del modello, carico statico sull’albero non oltre quello del catalogo, motore non oltre il più grande del catalogo, portata dichiarata; il rapporto è quello del catalogo più vicino al rapporto ideale, se la velocità che dà non si scosta da quella nominale più del 10 % (l’inverter adatta la frequenza); il calcolo usa quel rapporto, il carico statico ammesso e la massa del catalogo; i disegni e il 3D mostrano l’argano SICOR com’è (ingombri, piedi e fori, asse della puleggia, P ed E della scheda), sul telaio del software</t>
        </is>
      </c>
      <c r="E141" s="10" t="inlineStr">
        <is>
          <t>ricerca, capitolo 12 (catalogo degli argani)</t>
        </is>
      </c>
      <c r="F141" s="10" t="inlineStr">
        <is>
          <t>SICOR: schede tecniche 2025 e modelli CAD scaricati da sicoritaly.com il 2 ottobre 2026 (solo le quote); Sassi, Montanari, GEM, FAER: estratti delle pagine dei costruttori e dei rivenditori, 1° ottobre 2026</t>
        </is>
      </c>
      <c r="G141" s="10" t="inlineStr">
        <is>
          <t>scelta del software</t>
        </is>
      </c>
      <c r="H141" s="10" t="inlineStr">
        <is>
          <t>—</t>
        </is>
      </c>
      <c r="I141" s="11" t="n"/>
      <c r="J141" s="11" t="n"/>
      <c r="K141" s="11" t="n"/>
      <c r="L141" s="11" t="n"/>
      <c r="M141" s="11" t="n"/>
      <c r="N141" s="11" t="n"/>
    </row>
    <row r="142" ht="134" customHeight="1">
      <c r="A142" s="10" t="n">
        <v>140</v>
      </c>
      <c r="B142" s="10" t="inlineStr">
        <is>
          <t>Impianto: valori calcolati dai dati inseriti una volta</t>
        </is>
      </c>
      <c r="C142"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42" s="10" t="inlineStr">
        <is>
          <t>la prima opzione del dimensionamento (capitolo 8): puleggia, funi, rapporto, gola, motore e freno che passano ogni verifica; con le ipotesi del gruppo (poli, giri, rendimenti, inerzie) inserite</t>
        </is>
      </c>
      <c r="E142" s="10" t="inlineStr">
        <is>
          <t>ricerca, capitolo 8</t>
        </is>
      </c>
      <c r="F142" s="10" t="inlineStr">
        <is>
          <t>motore di calcolo</t>
        </is>
      </c>
      <c r="G142" s="10" t="inlineStr">
        <is>
          <t>scelta del software</t>
        </is>
      </c>
      <c r="H142" s="10" t="inlineStr">
        <is>
          <t>—</t>
        </is>
      </c>
      <c r="I142" s="11" t="n"/>
      <c r="J142" s="11" t="n"/>
      <c r="K142" s="11" t="n"/>
      <c r="L142" s="11" t="n"/>
      <c r="M142" s="11" t="n"/>
      <c r="N142" s="11" t="n"/>
    </row>
    <row r="143" ht="69" customHeight="1">
      <c r="A143" s="10" t="n">
        <v>141</v>
      </c>
      <c r="B143" s="10" t="inlineStr">
        <is>
          <t>Simulazione nel tempo (3D e grafici)</t>
        </is>
      </c>
      <c r="C143" s="10" t="inlineStr">
        <is>
          <t>Forze nella simulazione — agli estremi della corsa e alle accelerazioni della verifica i valori coincidono con quelli della verifica (test automatico)</t>
        </is>
      </c>
      <c r="D143" s="10" t="inlineStr">
        <is>
          <t>tiri delle funi, T1/T2, e^(f·α), coppie e decelerazione del freno con le stesse funzioni della verifica (modello delle funi del motore di calcolo), valutate istante per istante con la posizione e l’accelerazione della cabina</t>
        </is>
      </c>
      <c r="E143" s="10" t="inlineStr">
        <is>
          <t>UNI EN 81-50:2020, 5.11 (aderenza); ricerca, capitolo 4</t>
        </is>
      </c>
      <c r="F143" s="10" t="inlineStr">
        <is>
          <t>motore di calcolo (src/calc/model.ts)</t>
        </is>
      </c>
      <c r="G143" s="10" t="inlineStr">
        <is>
          <t>derivazione</t>
        </is>
      </c>
      <c r="H143" s="10" t="inlineStr">
        <is>
          <t>—</t>
        </is>
      </c>
      <c r="I143" s="11" t="n"/>
      <c r="J143" s="11" t="n"/>
      <c r="K143" s="11" t="n"/>
      <c r="L143" s="11" t="n"/>
      <c r="M143" s="11" t="n"/>
      <c r="N143" s="11" t="n"/>
    </row>
    <row r="144" ht="56" customHeight="1">
      <c r="A144" s="10" t="n">
        <v>142</v>
      </c>
      <c r="B144" s="10" t="inlineStr">
        <is>
          <t>Simulazione nel tempo (3D e grafici)</t>
        </is>
      </c>
      <c r="C144" s="10" t="inlineStr">
        <is>
          <t>Profilo del moto tra i piani — accelerazione e strappo sono dati di progetto dell’azionamento, non limiti normativi</t>
        </is>
      </c>
      <c r="D144" s="10" t="inlineStr">
        <is>
          <t>profilo a strappo limitato: velocità nominale, accelerazione di progetto e strappo 1 m/s³; se il tragitto è corto, la velocità più alta che ci sta</t>
        </is>
      </c>
      <c r="E144" s="10" t="inlineStr">
        <is>
          <t>ISO 18738-1:2012 (misura della qualità di marcia, nessun limite)</t>
        </is>
      </c>
      <c r="F144" s="10" t="inlineStr">
        <is>
          <t>scelta del software</t>
        </is>
      </c>
      <c r="G144" s="10" t="inlineStr">
        <is>
          <t>scelta del software</t>
        </is>
      </c>
      <c r="H144" s="10" t="inlineStr">
        <is>
          <t>—</t>
        </is>
      </c>
      <c r="I144" s="11" t="n"/>
      <c r="J144" s="11" t="n"/>
      <c r="K144" s="11" t="n"/>
      <c r="L144" s="11" t="n"/>
      <c r="M144" s="11" t="n"/>
      <c r="N144" s="11" t="n"/>
    </row>
    <row r="145" ht="69" customHeight="1">
      <c r="A145" s="10" t="n">
        <v>143</v>
      </c>
      <c r="B145" s="10" t="inlineStr">
        <is>
          <t>Simulazione nel tempo (3D e grafici)</t>
        </is>
      </c>
      <c r="C145" s="10" t="inlineStr">
        <is>
          <t>Limite di aderenza mostrato durante la marcia</t>
        </is>
      </c>
      <c r="D145" s="10" t="inlineStr">
        <is>
          <t>e^(f·α) con il coefficiente d’attrito della frenatura (μ ridotto con la velocità delle funi): il confronto è indicativo (oltre il limite: avviso, non verifica fallita), la verifica resta quella dei casi della norma</t>
        </is>
      </c>
      <c r="E145" s="10" t="inlineStr">
        <is>
          <t>UNI EN 81-50:2020, 5.11.1 e 5.11.2.3.2 (μ della frenatura)</t>
        </is>
      </c>
      <c r="F145" s="10" t="inlineStr">
        <is>
          <t>scelta del software</t>
        </is>
      </c>
      <c r="G145" s="10" t="inlineStr">
        <is>
          <t>scelta del software</t>
        </is>
      </c>
      <c r="H145" s="10" t="inlineStr">
        <is>
          <t>—</t>
        </is>
      </c>
      <c r="I145" s="11" t="n"/>
      <c r="J145" s="11" t="n"/>
      <c r="K145" s="11" t="n"/>
      <c r="L145" s="11" t="n"/>
      <c r="M145" s="11" t="n"/>
      <c r="N145" s="11" t="n"/>
    </row>
    <row r="146" ht="108" customHeight="1">
      <c r="A146" s="10" t="n">
        <v>144</v>
      </c>
      <c r="B146" s="10" t="inlineStr">
        <is>
          <t>Simulazione nel tempo (3D e grafici)</t>
        </is>
      </c>
      <c r="C146" s="10" t="inlineStr">
        <is>
          <t>Tempi delle porte — La norma non dà tempi: per le porte automatiche orizzontali dà l’energia cinetica (≤ 10 J, ≤ 4 J con il dispositivo di protezione escluso) e la forza contro la chiusura (≤ 150 N) (UNI EN 81-20:2020, 5.3.6.2.2.1), dati del fornitore delle porte.</t>
        </is>
      </c>
      <c r="D146" s="10" t="inlineStr">
        <is>
          <t>apertura 2,5 s, chiusura 3 s, sosta a porte aperte 3 s, partenza 0,5 s dopo la chiusura</t>
        </is>
      </c>
      <c r="E146" s="10" t="inlineStr">
        <is>
          <t>—</t>
        </is>
      </c>
      <c r="F146" s="10" t="inlineStr">
        <is>
          <t>scelta del software (solo animazione)</t>
        </is>
      </c>
      <c r="G146" s="10" t="inlineStr">
        <is>
          <t>scelta del software</t>
        </is>
      </c>
      <c r="H146" s="10" t="inlineStr">
        <is>
          <t>—</t>
        </is>
      </c>
      <c r="I146" s="11" t="n"/>
      <c r="J146" s="11" t="n"/>
      <c r="K146" s="11" t="n"/>
      <c r="L146" s="11" t="n"/>
      <c r="M146" s="11" t="n"/>
      <c r="N146" s="11" t="n"/>
    </row>
    <row r="147" ht="212" customHeight="1">
      <c r="A147" s="10" t="n">
        <v>145</v>
      </c>
      <c r="B147" s="10" t="inlineStr">
        <is>
          <t>Simulazione nel tempo (3D e grafici)</t>
        </is>
      </c>
      <c r="C147"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t>
        </is>
      </c>
      <c r="D147"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la cabina e il contrappeso si separano all’urto</t>
        </is>
      </c>
      <c r="E147" s="10" t="inlineStr">
        <is>
          <t>UNI EN 81-20:2020, 5.8.2.1.1.1–5.8.2.1.1.2 (urto al 115 %; corsa piena con un carico statico tra 2,5 e 4 volte: il software prende 4), 5.8.2.1.2.2 (90 %), 5.8.2.2.1 e 5.8.2.2.3 a)</t>
        </is>
      </c>
      <c r="F147" s="10" t="inlineStr">
        <is>
          <t>UNI EN 81-20:2020, testo della norma, letto il 2026-10-06, pp. 98–99</t>
        </is>
      </c>
      <c r="G147" s="10" t="inlineStr">
        <is>
          <t>scelta del software</t>
        </is>
      </c>
      <c r="H147" s="10" t="inlineStr">
        <is>
          <t>—</t>
        </is>
      </c>
      <c r="I147" s="11" t="n"/>
      <c r="J147" s="11" t="n"/>
      <c r="K147" s="11" t="n"/>
      <c r="L147" s="11" t="n"/>
      <c r="M147" s="11" t="n"/>
      <c r="N147" s="11" t="n"/>
    </row>
    <row r="148" ht="82" customHeight="1">
      <c r="A148" s="10" t="n">
        <v>146</v>
      </c>
      <c r="B148" s="10" t="inlineStr">
        <is>
          <t>Simulazione nel tempo (3D e grafici)</t>
        </is>
      </c>
      <c r="C148" s="10" t="inlineStr">
        <is>
          <t>Cabina bloccata: rotazione in salita — La simulazione mostra il contrappeso sugli ammortizzatori con la cabina in alto; la norma chiede anche la cabina vuota in basso, che il calcolo verifica (tr_stall).</t>
        </is>
      </c>
      <c r="D148" s="10" t="inlineStr">
        <is>
          <t>la macchina gira in salita a 0,3 m/s finché il contrappeso poggia sui suoi ammortizzatori; poi le funi devono slittare (T1/T2 ≥ e^(f·α), μ della cabina bloccata)</t>
        </is>
      </c>
      <c r="E148" s="10" t="inlineStr">
        <is>
          <t>UNI EN 81-50:2020, 5.11.2.2.3</t>
        </is>
      </c>
      <c r="F148" s="10" t="inlineStr">
        <is>
          <t>motore di calcolo; velocità scelta dal software</t>
        </is>
      </c>
      <c r="G148" s="10" t="inlineStr">
        <is>
          <t>scelta del software</t>
        </is>
      </c>
      <c r="H148" s="10" t="inlineStr">
        <is>
          <t>—</t>
        </is>
      </c>
      <c r="I148" s="11" t="n"/>
      <c r="J148" s="11" t="n"/>
      <c r="K148" s="11" t="n"/>
      <c r="L148" s="11" t="n"/>
      <c r="M148" s="11" t="n"/>
      <c r="N148" s="11" t="n"/>
    </row>
    <row r="149" ht="43" customHeight="1">
      <c r="A149" s="10" t="n">
        <v>147</v>
      </c>
      <c r="B149" s="10" t="inlineStr">
        <is>
          <t>Simulazione nel tempo (3D e grafici)</t>
        </is>
      </c>
      <c r="C149" s="10" t="inlineStr">
        <is>
          <t>Passo di campionamento</t>
        </is>
      </c>
      <c r="D149" s="10" t="inlineStr">
        <is>
          <t>0,02 s; tra due campioni i valori sono interpolati linearmente</t>
        </is>
      </c>
      <c r="E149" s="10" t="inlineStr">
        <is>
          <t>—</t>
        </is>
      </c>
      <c r="F149" s="10" t="inlineStr">
        <is>
          <t>scelta del software</t>
        </is>
      </c>
      <c r="G149" s="10" t="inlineStr">
        <is>
          <t>scelta del software</t>
        </is>
      </c>
      <c r="H149" s="10" t="inlineStr">
        <is>
          <t>—</t>
        </is>
      </c>
      <c r="I149" s="11" t="n"/>
      <c r="J149" s="11" t="n"/>
      <c r="K149" s="11" t="n"/>
      <c r="L149" s="11" t="n"/>
      <c r="M149" s="11" t="n"/>
      <c r="N149" s="11" t="n"/>
    </row>
    <row r="150" ht="56" customHeight="1">
      <c r="A150" s="10" t="n">
        <v>148</v>
      </c>
      <c r="B150" s="10" t="inlineStr">
        <is>
          <t>Collaudo: adempimenti del DPR 162/1999 (impianto nuovo)</t>
        </is>
      </c>
      <c r="C150" s="10" t="inlineStr">
        <is>
          <t>DPR 162/1999, art. 4-bis</t>
        </is>
      </c>
      <c r="D150" s="10" t="inlineStr">
        <is>
          <t>progetto, fabbricazione, installazione e prove conformi all’All. I; documentazione tecnica e dichiarazione di conformità conservate per 10 anni</t>
        </is>
      </c>
      <c r="E150" s="10" t="inlineStr">
        <is>
          <t>DPR 162/1999, art. 4-bis</t>
        </is>
      </c>
      <c r="F150" s="10" t="inlineStr">
        <is>
          <t>ricerca, cap. 16 (testi ufficiali e schede UNI, 2026-10-02)</t>
        </is>
      </c>
      <c r="G150" s="10" t="inlineStr">
        <is>
          <t>confermato</t>
        </is>
      </c>
      <c r="H150" s="10" t="inlineStr">
        <is>
          <t>—</t>
        </is>
      </c>
      <c r="I150" s="11" t="n"/>
      <c r="J150" s="11" t="n"/>
      <c r="K150" s="11" t="n"/>
      <c r="L150" s="11" t="n"/>
      <c r="M150" s="11" t="n"/>
      <c r="N150" s="11" t="n"/>
    </row>
    <row r="151" ht="56" customHeight="1">
      <c r="A151" s="10" t="n">
        <v>149</v>
      </c>
      <c r="B151" s="10" t="inlineStr">
        <is>
          <t>Collaudo: adempimenti del DPR 162/1999 (impianto nuovo)</t>
        </is>
      </c>
      <c r="C151" s="10" t="inlineStr">
        <is>
          <t>DPR 162/1999 e s.m.i., artt. 6-bis e 7 c.3</t>
        </is>
      </c>
      <c r="D151" s="10" t="inlineStr">
        <is>
          <t>procedura con un organismo notificato (ascensore modello con esame UE del tipo, All. IV B, più All. V, X o XII; oppure All. VIII o XI); marcatura CE in cabina con il numero dell’organismo</t>
        </is>
      </c>
      <c r="E151" s="10" t="inlineStr">
        <is>
          <t>DPR 162/1999 e s.m.i., artt. 6-bis e 7 c.3</t>
        </is>
      </c>
      <c r="F151" s="10" t="inlineStr">
        <is>
          <t>ricerca, cap. 16 (testi ufficiali e schede UNI, 2026-10-02)</t>
        </is>
      </c>
      <c r="G151" s="10" t="inlineStr">
        <is>
          <t>confermato</t>
        </is>
      </c>
      <c r="H151" s="10" t="inlineStr">
        <is>
          <t>—</t>
        </is>
      </c>
      <c r="I151" s="11" t="n"/>
      <c r="J151" s="11" t="n"/>
      <c r="K151" s="11" t="n"/>
      <c r="L151" s="11" t="n"/>
      <c r="M151" s="11" t="n"/>
      <c r="N151" s="11" t="n"/>
    </row>
    <row r="152" ht="56" customHeight="1">
      <c r="A152" s="10" t="n">
        <v>150</v>
      </c>
      <c r="B152" s="10" t="inlineStr">
        <is>
          <t>Collaudo: adempimenti del DPR 162/1999 (impianto nuovo)</t>
        </is>
      </c>
      <c r="C152" s="10" t="inlineStr">
        <is>
          <t>DPR 162/1999 e s.m.i., art. 12 c.1–3</t>
        </is>
      </c>
      <c r="D152" s="10" t="inlineStr">
        <is>
          <t>comunicazione al Comune entro 60 giorni dalla dichiarazione di conformità (oltre: con il verbale di una verifica straordinaria di attivazione); matricola entro 30 giorni</t>
        </is>
      </c>
      <c r="E152" s="10" t="inlineStr">
        <is>
          <t>DPR 162/1999 e s.m.i., art. 12 c.1–3</t>
        </is>
      </c>
      <c r="F152" s="10" t="inlineStr">
        <is>
          <t>ricerca, cap. 16 (testi ufficiali e schede UNI, 2026-10-02)</t>
        </is>
      </c>
      <c r="G152" s="10" t="inlineStr">
        <is>
          <t>confermato</t>
        </is>
      </c>
      <c r="H152" s="10" t="inlineStr">
        <is>
          <t>—</t>
        </is>
      </c>
      <c r="I152" s="11" t="n"/>
      <c r="J152" s="11" t="n"/>
      <c r="K152" s="11" t="n"/>
      <c r="L152" s="11" t="n"/>
      <c r="M152" s="11" t="n"/>
      <c r="N152" s="11" t="n"/>
    </row>
    <row r="153" ht="56" customHeight="1">
      <c r="A153" s="10" t="n">
        <v>151</v>
      </c>
      <c r="B153" s="10" t="inlineStr">
        <is>
          <t>Collaudo: adempimenti del DPR 162/1999 (impianto nuovo)</t>
        </is>
      </c>
      <c r="C153" s="10" t="inlineStr">
        <is>
          <t>DPR 162/1999, artt. 13, 15 c.4 e 16 c.3</t>
        </is>
      </c>
      <c r="D153" s="10" t="inlineStr">
        <is>
          <t>verifiche periodiche ogni 2 anni; controllo dei dispositivi di sicurezza, delle funi e dell’isolamento almeno ogni 6 mesi; targa in cabina</t>
        </is>
      </c>
      <c r="E153" s="10" t="inlineStr">
        <is>
          <t>DPR 162/1999, artt. 13, 15 c.4 e 16 c.3</t>
        </is>
      </c>
      <c r="F153" s="10" t="inlineStr">
        <is>
          <t>ricerca, cap. 16 (testi ufficiali e schede UNI, 2026-10-02)</t>
        </is>
      </c>
      <c r="G153" s="10" t="inlineStr">
        <is>
          <t>confermato</t>
        </is>
      </c>
      <c r="H153" s="10" t="inlineStr">
        <is>
          <t>—</t>
        </is>
      </c>
      <c r="I153" s="11" t="n"/>
      <c r="J153" s="11" t="n"/>
      <c r="K153" s="11" t="n"/>
      <c r="L153" s="11" t="n"/>
      <c r="M153" s="11" t="n"/>
      <c r="N153" s="11" t="n"/>
    </row>
    <row r="154" ht="43" customHeight="1">
      <c r="A154" s="10" t="n">
        <v>152</v>
      </c>
      <c r="B154" s="10" t="inlineStr">
        <is>
          <t>Collaudo: adempimenti del DPR 162/1999 (modifica)</t>
        </is>
      </c>
      <c r="C154" s="10" t="inlineStr">
        <is>
          <t>DPR 162/1999, art. 2 c.1 lett. cc)</t>
        </is>
      </c>
      <c r="D154" s="10" t="inlineStr">
        <is>
          <t>la modifica è costruttiva: la sostituzione del macchinario ne è il caso n. 5)</t>
        </is>
      </c>
      <c r="E154" s="10" t="inlineStr">
        <is>
          <t>DPR 162/1999, art. 2 c.1 lett. cc)</t>
        </is>
      </c>
      <c r="F154" s="10" t="inlineStr">
        <is>
          <t>ricerca, cap. 16 (testi ufficiali e schede UNI, 2026-10-02)</t>
        </is>
      </c>
      <c r="G154" s="10" t="inlineStr">
        <is>
          <t>confermato</t>
        </is>
      </c>
      <c r="H154" s="10" t="inlineStr">
        <is>
          <t>—</t>
        </is>
      </c>
      <c r="I154" s="11" t="n"/>
      <c r="J154" s="11" t="n"/>
      <c r="K154" s="11" t="n"/>
      <c r="L154" s="11" t="n"/>
      <c r="M154" s="11" t="n"/>
      <c r="N154" s="11" t="n"/>
    </row>
    <row r="155" ht="43" customHeight="1">
      <c r="A155" s="10" t="n">
        <v>153</v>
      </c>
      <c r="B155" s="10" t="inlineStr">
        <is>
          <t>Collaudo: adempimenti del DPR 162/1999 (modifica)</t>
        </is>
      </c>
      <c r="C155" s="10" t="inlineStr">
        <is>
          <t>DPR 162/1999, art. 12 c.4</t>
        </is>
      </c>
      <c r="D155" s="10" t="inlineStr">
        <is>
          <t>prima della comunicazione, adeguamento della parte modificata o sostituita e delle altre parti interessate</t>
        </is>
      </c>
      <c r="E155" s="10" t="inlineStr">
        <is>
          <t>DPR 162/1999, art. 12 c.4</t>
        </is>
      </c>
      <c r="F155" s="10" t="inlineStr">
        <is>
          <t>ricerca, cap. 16 (testi ufficiali e schede UNI, 2026-10-02)</t>
        </is>
      </c>
      <c r="G155" s="10" t="inlineStr">
        <is>
          <t>confermato</t>
        </is>
      </c>
      <c r="H155" s="10" t="inlineStr">
        <is>
          <t>—</t>
        </is>
      </c>
      <c r="I155" s="11" t="n"/>
      <c r="J155" s="11" t="n"/>
      <c r="K155" s="11" t="n"/>
      <c r="L155" s="11" t="n"/>
      <c r="M155" s="11" t="n"/>
      <c r="N155" s="11" t="n"/>
    </row>
    <row r="156" ht="43" customHeight="1">
      <c r="A156" s="10" t="n">
        <v>154</v>
      </c>
      <c r="B156" s="10" t="inlineStr">
        <is>
          <t>Collaudo: adempimenti del DPR 162/1999 (modifica)</t>
        </is>
      </c>
      <c r="C156" s="10" t="inlineStr">
        <is>
          <t>DPR 162/1999, art. 12 c.4–5</t>
        </is>
      </c>
      <c r="D156" s="10" t="inlineStr">
        <is>
          <t>comunicazione al Comune e al soggetto delle verifiche periodiche; l’impianto non resta in esercizio senza le comunicazioni aggiornate</t>
        </is>
      </c>
      <c r="E156" s="10" t="inlineStr">
        <is>
          <t>DPR 162/1999, art. 12 c.4–5</t>
        </is>
      </c>
      <c r="F156" s="10" t="inlineStr">
        <is>
          <t>ricerca, cap. 16 (testi ufficiali e schede UNI, 2026-10-02)</t>
        </is>
      </c>
      <c r="G156" s="10" t="inlineStr">
        <is>
          <t>confermato</t>
        </is>
      </c>
      <c r="H156" s="10" t="inlineStr">
        <is>
          <t>—</t>
        </is>
      </c>
      <c r="I156" s="11" t="n"/>
      <c r="J156" s="11" t="n"/>
      <c r="K156" s="11" t="n"/>
      <c r="L156" s="11" t="n"/>
      <c r="M156" s="11" t="n"/>
      <c r="N156" s="11" t="n"/>
    </row>
    <row r="157" ht="69" customHeight="1">
      <c r="A157" s="10" t="n">
        <v>155</v>
      </c>
      <c r="B157" s="10" t="inlineStr">
        <is>
          <t>Collaudo: adempimenti del DPR 162/1999 (modifica)</t>
        </is>
      </c>
      <c r="C157" s="10" t="inlineStr">
        <is>
          <t>DPR 162/1999 e s.m.i., art. 14 c.3; schema ICIM SCI 162 rev. 02</t>
        </is>
      </c>
      <c r="D157" s="10" t="inlineStr">
        <is>
          <t>verifica straordinaria da uno dei soggetti dell’art. 13 c.1 (la legge); secondo lo schema ICIM è di norma limitata ai controlli sulle modifiche, con la documentazione delle modifiche e dei componenti sostituiti</t>
        </is>
      </c>
      <c r="E157" s="10" t="inlineStr">
        <is>
          <t>DPR 162/1999 e s.m.i., art. 14 c.3; schema ICIM SCI 162 rev. 02</t>
        </is>
      </c>
      <c r="F157" s="10" t="inlineStr">
        <is>
          <t>ricerca, cap. 16 (testi ufficiali e schede UNI, 2026-10-02)</t>
        </is>
      </c>
      <c r="G157" s="10" t="inlineStr">
        <is>
          <t>confermato</t>
        </is>
      </c>
      <c r="H157" s="10" t="inlineStr">
        <is>
          <t>—</t>
        </is>
      </c>
      <c r="I157" s="11" t="n"/>
      <c r="J157" s="11" t="n"/>
      <c r="K157" s="11" t="n"/>
      <c r="L157" s="11" t="n"/>
      <c r="M157" s="11" t="n"/>
      <c r="N157" s="11" t="n"/>
    </row>
    <row r="158" ht="82" customHeight="1">
      <c r="A158" s="10" t="n">
        <v>156</v>
      </c>
      <c r="B158" s="10" t="inlineStr">
        <is>
          <t>Collaudo: adempimenti del DPR 162/1999 (modifica)</t>
        </is>
      </c>
      <c r="C158" s="10" t="inlineStr">
        <is>
          <t>UNI 10411-1:2024 e UNI 10411-11:2024, 25</t>
        </is>
      </c>
      <c r="D158"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158" s="10" t="inlineStr">
        <is>
          <t>UNI 10411-1:2024 e UNI 10411-11:2024, 25</t>
        </is>
      </c>
      <c r="F158" s="10" t="inlineStr">
        <is>
          <t>testo della norma, letto il 2026-10-06 (punti e valori con parole nostre)</t>
        </is>
      </c>
      <c r="G158" s="10" t="inlineStr">
        <is>
          <t>confermato</t>
        </is>
      </c>
      <c r="H158" s="10" t="inlineStr">
        <is>
          <t>—</t>
        </is>
      </c>
      <c r="I158" s="11" t="n"/>
      <c r="J158" s="11" t="n"/>
      <c r="K158" s="11" t="n"/>
      <c r="L158" s="11" t="n"/>
      <c r="M158" s="11" t="n"/>
      <c r="N158" s="11" t="n"/>
    </row>
    <row r="159" ht="56" customHeight="1">
      <c r="A159" s="10" t="n">
        <v>157</v>
      </c>
      <c r="B159" s="10" t="inlineStr">
        <is>
          <t>Collaudo: UNI EN 81-20:2020 e UNI EN 81-50:2020</t>
        </is>
      </c>
      <c r="C159" s="10" t="inlineStr">
        <is>
          <t>DPR 162/1999, All. V 3.3 (All. VIII 4)</t>
        </is>
      </c>
      <c r="D159" s="10" t="inlineStr">
        <is>
          <t>prove dell’organismo notificato: funzionamento a vuoto e a pieno carico, in mancanza di energia, prova statica a 1,25 volte la portata e controllo che non restino deformazioni</t>
        </is>
      </c>
      <c r="E159" s="10" t="inlineStr">
        <is>
          <t>DPR 162/1999, All. V 3.3 (All. VIII 4)</t>
        </is>
      </c>
      <c r="F159" s="10" t="inlineStr">
        <is>
          <t>ricerca, cap. 16 (testi ufficiali e schede UNI, 2026-10-02)</t>
        </is>
      </c>
      <c r="G159" s="10" t="inlineStr">
        <is>
          <t>confermato</t>
        </is>
      </c>
      <c r="H159" s="10" t="inlineStr">
        <is>
          <t>—</t>
        </is>
      </c>
      <c r="I159" s="11" t="n"/>
      <c r="J159" s="11" t="n"/>
      <c r="K159" s="11" t="n"/>
      <c r="L159" s="11" t="n"/>
      <c r="M159" s="11" t="n"/>
      <c r="N159" s="11" t="n"/>
    </row>
    <row r="160" ht="56" customHeight="1">
      <c r="A160" s="10" t="n">
        <v>158</v>
      </c>
      <c r="B160" s="10" t="inlineStr">
        <is>
          <t>Collaudo: UNI EN 81-20:2020 e UNI EN 81-50:2020</t>
        </is>
      </c>
      <c r="C160" s="10" t="inlineStr">
        <is>
          <t>DPR 162/1999, All. VIII 3 e), g), h)</t>
        </is>
      </c>
      <c r="D160" s="10" t="inlineStr">
        <is>
          <t>documentazione tecnica con i risultati dei calcoli di progetto, le relazioni sulle prove e l’elenco delle norme armonizzate applicate, anche in parte</t>
        </is>
      </c>
      <c r="E160" s="10" t="inlineStr">
        <is>
          <t>DPR 162/1999, All. VIII 3 e), g), h)</t>
        </is>
      </c>
      <c r="F160" s="10" t="inlineStr">
        <is>
          <t>ricerca, cap. 16 (testi ufficiali e schede UNI, 2026-10-02)</t>
        </is>
      </c>
      <c r="G160" s="10" t="inlineStr">
        <is>
          <t>confermato</t>
        </is>
      </c>
      <c r="H160" s="10" t="inlineStr">
        <is>
          <t>—</t>
        </is>
      </c>
      <c r="I160" s="11" t="n"/>
      <c r="J160" s="11" t="n"/>
      <c r="K160" s="11" t="n"/>
      <c r="L160" s="11" t="n"/>
      <c r="M160" s="11" t="n"/>
      <c r="N160" s="11" t="n"/>
    </row>
    <row r="161" ht="56" customHeight="1">
      <c r="A161" s="10" t="n">
        <v>159</v>
      </c>
      <c r="B161" s="10" t="inlineStr">
        <is>
          <t>Collaudo: UNI EN 81-20:2020 e UNI EN 81-50:2020</t>
        </is>
      </c>
      <c r="C161" s="10" t="inlineStr">
        <is>
          <t>Regolamento (UE) 2023/1230, art. 51 par. 2</t>
        </is>
      </c>
      <c r="D161" s="10" t="inlineStr">
        <is>
          <t>per gli ascensori dichiarati conformi dal 20/01/2027: requisiti dell’All. III del Regolamento macchine (tra cui 1.1.9 e 1.2.1), con una valutazione aggiuntiva per i requisiti nuovi o cambiati</t>
        </is>
      </c>
      <c r="E161" s="10" t="inlineStr">
        <is>
          <t>Regolamento (UE) 2023/1230, art. 51 par. 2</t>
        </is>
      </c>
      <c r="F161" s="10" t="inlineStr">
        <is>
          <t>ricerca, cap. 16 (testi ufficiali e schede UNI, 2026-10-02)</t>
        </is>
      </c>
      <c r="G161" s="10" t="inlineStr">
        <is>
          <t>confermato</t>
        </is>
      </c>
      <c r="H161" s="10" t="inlineStr">
        <is>
          <t>—</t>
        </is>
      </c>
      <c r="I161" s="11" t="n"/>
      <c r="J161" s="11" t="n"/>
      <c r="K161" s="11" t="n"/>
      <c r="L161" s="11" t="n"/>
      <c r="M161" s="11" t="n"/>
      <c r="N161" s="11" t="n"/>
    </row>
    <row r="162" ht="82" customHeight="1">
      <c r="A162" s="10" t="n">
        <v>160</v>
      </c>
      <c r="B162" s="10" t="inlineStr">
        <is>
          <t>Collaudo: UNI EN 81-20:2020 e UNI EN 81-50:2020</t>
        </is>
      </c>
      <c r="C162" s="10" t="inlineStr">
        <is>
          <t>UNI EN 81-50:2020, 5.12.1 e 5.12.2.1</t>
        </is>
      </c>
      <c r="D162"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162" s="10" t="inlineStr">
        <is>
          <t>UNI EN 81-50:2020, 5.12.1 e 5.12.2.1</t>
        </is>
      </c>
      <c r="F162" s="10" t="inlineStr">
        <is>
          <t>testo della norma, letto il 2026-10-06 (punti e valori con parole nostre)</t>
        </is>
      </c>
      <c r="G162" s="10" t="inlineStr">
        <is>
          <t>confermato</t>
        </is>
      </c>
      <c r="H162" s="10" t="inlineStr">
        <is>
          <t>—</t>
        </is>
      </c>
      <c r="I162" s="11" t="n"/>
      <c r="J162" s="11" t="n"/>
      <c r="K162" s="11" t="n"/>
      <c r="L162" s="11" t="n"/>
      <c r="M162" s="11" t="n"/>
      <c r="N162" s="11" t="n"/>
    </row>
    <row r="163" ht="43" customHeight="1">
      <c r="A163" s="10" t="n">
        <v>161</v>
      </c>
      <c r="B163" s="10" t="inlineStr">
        <is>
          <t>Collaudo: UNI EN 81-20:2020 e UNI EN 81-50:2020</t>
        </is>
      </c>
      <c r="C163" s="10" t="inlineStr">
        <is>
          <t>UNI EN 81-20:2020, 5.6.2.2.1.2</t>
        </is>
      </c>
      <c r="D163" s="10" t="inlineStr">
        <is>
          <t>tempo di risposta del limitatore di velocità: i suoi punti d’intervento distano al massimo 250 mm di corsa della fune del limitatore</t>
        </is>
      </c>
      <c r="E163" s="10" t="inlineStr">
        <is>
          <t>UNI EN 81-20:2020, 5.6.2.2.1.2</t>
        </is>
      </c>
      <c r="F163" s="10" t="inlineStr">
        <is>
          <t>testo della norma, letto il 2026-10-06 (punti e valori con parole nostre)</t>
        </is>
      </c>
      <c r="G163" s="10" t="inlineStr">
        <is>
          <t>confermato</t>
        </is>
      </c>
      <c r="H163" s="10" t="inlineStr">
        <is>
          <t>—</t>
        </is>
      </c>
      <c r="I163" s="11" t="n"/>
      <c r="J163" s="11" t="n"/>
      <c r="K163" s="11" t="n"/>
      <c r="L163" s="11" t="n"/>
      <c r="M163" s="11" t="n"/>
      <c r="N163" s="11" t="n"/>
    </row>
    <row r="164" ht="56" customHeight="1">
      <c r="A164" s="10" t="n">
        <v>162</v>
      </c>
      <c r="B164" s="10" t="inlineStr">
        <is>
          <t>Collaudo: UNI EN 81-20:2020 e UNI EN 81-50:2020</t>
        </is>
      </c>
      <c r="C164" s="10" t="inlineStr">
        <is>
          <t>UNI EN 81-20:2020, 5.8.2.1.2.1 e 5.8.2.2.3</t>
        </is>
      </c>
      <c r="D164" s="10" t="inlineStr">
        <is>
          <t>ammortizzatori (dato del fornitore): decelerazione non oltre 1 gn, sopra 2,5 gn al massimo per 0,04 s; per quelli ad accumulo non lineari anche picco non oltre 6 gn e rimbalzo non oltre 1 m/s</t>
        </is>
      </c>
      <c r="E164" s="10" t="inlineStr">
        <is>
          <t>UNI EN 81-20:2020, 5.8.2.1.2.1 e 5.8.2.2.3</t>
        </is>
      </c>
      <c r="F164" s="10" t="inlineStr">
        <is>
          <t>testo della norma, letto il 2026-10-06 (punti e valori con parole nostre)</t>
        </is>
      </c>
      <c r="G164" s="10" t="inlineStr">
        <is>
          <t>confermato</t>
        </is>
      </c>
      <c r="H164" s="10" t="inlineStr">
        <is>
          <t>—</t>
        </is>
      </c>
      <c r="I164" s="11" t="n"/>
      <c r="J164" s="11" t="n"/>
      <c r="K164" s="11" t="n"/>
      <c r="L164" s="11" t="n"/>
      <c r="M164" s="11" t="n"/>
      <c r="N164" s="11" t="n"/>
    </row>
    <row r="165" ht="69" customHeight="1">
      <c r="A165" s="10" t="n">
        <v>163</v>
      </c>
      <c r="B165" s="10" t="inlineStr">
        <is>
          <t>Collaudo: UNI EN 81-20:2020 e UNI EN 81-50:2020</t>
        </is>
      </c>
      <c r="C165" s="10" t="inlineStr">
        <is>
          <t>UNI EN 81-20:2020, 5.2.5.7.1</t>
        </is>
      </c>
      <c r="D165" s="10" t="inlineStr">
        <is>
          <t>cartello sopra o accanto allo schermo del contrappeso (5.2.5.5.1) con il gioco massimo ammesso tra contrappeso e ammortizzatore con la cabina al piano più alto, per conservare gli spazi in testata</t>
        </is>
      </c>
      <c r="E165" s="10" t="inlineStr">
        <is>
          <t>UNI EN 81-20:2020, 5.2.5.7.1</t>
        </is>
      </c>
      <c r="F165" s="10" t="inlineStr">
        <is>
          <t>testo della norma, letto il 2026-10-06 (punti e valori con parole nostre)</t>
        </is>
      </c>
      <c r="G165" s="10" t="inlineStr">
        <is>
          <t>confermato</t>
        </is>
      </c>
      <c r="H165" s="10" t="inlineStr">
        <is>
          <t>—</t>
        </is>
      </c>
      <c r="I165" s="11" t="n"/>
      <c r="J165" s="11" t="n"/>
      <c r="K165" s="11" t="n"/>
      <c r="L165" s="11" t="n"/>
      <c r="M165" s="11" t="n"/>
      <c r="N165" s="11" t="n"/>
    </row>
    <row r="166" ht="43" customHeight="1">
      <c r="A166" s="10" t="n">
        <v>164</v>
      </c>
      <c r="B166" s="10" t="inlineStr">
        <is>
          <t>Collaudo: UNI EN 81-20:2020 e UNI EN 81-50:2020</t>
        </is>
      </c>
      <c r="C166" s="10" t="inlineStr">
        <is>
          <t>UNI EN 81-20:2020, 5.2.2.4</t>
        </is>
      </c>
      <c r="D166" s="10" t="inlineStr">
        <is>
          <t>fossa più profonda di 2,50 m: porta di accesso; fino a 2,50 m porta di accesso oppure scala dentro il vano (appendice F)</t>
        </is>
      </c>
      <c r="E166" s="10" t="inlineStr">
        <is>
          <t>UNI EN 81-20:2020, 5.2.2.4</t>
        </is>
      </c>
      <c r="F166" s="10" t="inlineStr">
        <is>
          <t>testo della norma, letto il 2026-10-06 (punti e valori con parole nostre)</t>
        </is>
      </c>
      <c r="G166" s="10" t="inlineStr">
        <is>
          <t>confermato</t>
        </is>
      </c>
      <c r="H166" s="10" t="inlineStr">
        <is>
          <t>—</t>
        </is>
      </c>
      <c r="I166" s="11" t="n"/>
      <c r="J166" s="11" t="n"/>
      <c r="K166" s="11" t="n"/>
      <c r="L166" s="11" t="n"/>
      <c r="M166" s="11" t="n"/>
      <c r="N166" s="11" t="n"/>
    </row>
    <row r="167" ht="43" customHeight="1">
      <c r="A167" s="10" t="n">
        <v>165</v>
      </c>
      <c r="B167" s="10" t="inlineStr">
        <is>
          <t>Collaudo: UNI EN 81-20:2020 e UNI EN 81-50:2020</t>
        </is>
      </c>
      <c r="C167" s="10" t="inlineStr">
        <is>
          <t>UNI EN 81-20:2020, 5.2.1.5.1 b)</t>
        </is>
      </c>
      <c r="D167" s="10" t="inlineStr">
        <is>
          <t>in fossa un commutatore di ispezione fisso, manovrabile da non oltre 0,30 m da uno spazio di rifugio</t>
        </is>
      </c>
      <c r="E167" s="10" t="inlineStr">
        <is>
          <t>UNI EN 81-20:2020, 5.2.1.5.1 b)</t>
        </is>
      </c>
      <c r="F167" s="10" t="inlineStr">
        <is>
          <t>testo della norma, letto il 2026-10-06 (punti e valori con parole nostre)</t>
        </is>
      </c>
      <c r="G167" s="10" t="inlineStr">
        <is>
          <t>confermato</t>
        </is>
      </c>
      <c r="H167" s="10" t="inlineStr">
        <is>
          <t>—</t>
        </is>
      </c>
      <c r="I167" s="11" t="n"/>
      <c r="J167" s="11" t="n"/>
      <c r="K167" s="11" t="n"/>
      <c r="L167" s="11" t="n"/>
      <c r="M167" s="11" t="n"/>
      <c r="N167" s="11" t="n"/>
    </row>
    <row r="168" ht="69" customHeight="1">
      <c r="A168" s="10" t="n">
        <v>166</v>
      </c>
      <c r="B168" s="10" t="inlineStr">
        <is>
          <t>Collaudo: UNI EN 81-20:2020 e UNI EN 81-50:2020</t>
        </is>
      </c>
      <c r="C168" s="10" t="inlineStr">
        <is>
          <t>UNI EN 81-20:2020, 5.12.1.5.2.1 f)</t>
        </is>
      </c>
      <c r="D168" s="10" t="inlineStr">
        <is>
          <t>velocità in manovra d’ispezione non oltre 0,30 m/s quando sopra un posto in piedi sul tetto della cabina o in fossa l’altezza libera è di 2,0 m o meno (spazi di rifugio di tipo 2 o 3): da impostare nel quadro</t>
        </is>
      </c>
      <c r="E168" s="10" t="inlineStr">
        <is>
          <t>UNI EN 81-20:2020, 5.12.1.5.2.1 f)</t>
        </is>
      </c>
      <c r="F168" s="10" t="inlineStr">
        <is>
          <t>testo della norma, letto il 2026-10-06 (punti e valori con parole nostre)</t>
        </is>
      </c>
      <c r="G168" s="10" t="inlineStr">
        <is>
          <t>confermato</t>
        </is>
      </c>
      <c r="H168" s="10" t="inlineStr">
        <is>
          <t>—</t>
        </is>
      </c>
      <c r="I168" s="11" t="n"/>
      <c r="J168" s="11" t="n"/>
      <c r="K168" s="11" t="n"/>
      <c r="L168" s="11" t="n"/>
      <c r="M168" s="11" t="n"/>
      <c r="N168" s="11" t="n"/>
    </row>
    <row r="169" ht="43" customHeight="1">
      <c r="A169" s="10" t="n">
        <v>167</v>
      </c>
      <c r="B169" s="10" t="inlineStr">
        <is>
          <t>Collaudo: UNI EN 81-20:2020 e UNI EN 81-50:2020</t>
        </is>
      </c>
      <c r="C169" s="10" t="inlineStr">
        <is>
          <t>UNI EN 81-20:2020, 5.2.5.7.1 e 5.2.5.8.1</t>
        </is>
      </c>
      <c r="D169" s="10" t="inlineStr">
        <is>
          <t>uno spazio di rifugio per ogni persona, tutti dello stesso tipo e senza sovrapposizioni; cartello con il numero di persone ammesse e la postura</t>
        </is>
      </c>
      <c r="E169" s="10" t="inlineStr">
        <is>
          <t>UNI EN 81-20:2020, 5.2.5.7.1 e 5.2.5.8.1</t>
        </is>
      </c>
      <c r="F169" s="10" t="inlineStr">
        <is>
          <t>testo della norma, letto il 2026-10-06 (punti e valori con parole nostre)</t>
        </is>
      </c>
      <c r="G169" s="10" t="inlineStr">
        <is>
          <t>confermato</t>
        </is>
      </c>
      <c r="H169" s="10" t="inlineStr">
        <is>
          <t>—</t>
        </is>
      </c>
      <c r="I169" s="11" t="n"/>
      <c r="J169" s="11" t="n"/>
      <c r="K169" s="11" t="n"/>
      <c r="L169" s="11" t="n"/>
      <c r="M169" s="11" t="n"/>
      <c r="N169" s="11" t="n"/>
    </row>
    <row r="170" ht="69" customHeight="1">
      <c r="A170" s="10" t="n">
        <v>168</v>
      </c>
      <c r="B170" s="10" t="inlineStr">
        <is>
          <t>Collaudo: UNI EN 81-20:2020 e UNI EN 81-50:2020</t>
        </is>
      </c>
      <c r="C170" s="10" t="inlineStr">
        <is>
          <t>UNI EN 81-20:2020, 5.2.1.4.1</t>
        </is>
      </c>
      <c r="D170" s="10" t="inlineStr">
        <is>
          <t>illuminazione del vano: almeno 50 lux a 1 m sopra il tetto della cabina nella sua proiezione e a 1 m sopra il fondo della fossa dove si sta, si lavora o si passa tra le zone di lavoro; almeno 20 lux altrove</t>
        </is>
      </c>
      <c r="E170" s="10" t="inlineStr">
        <is>
          <t>UNI EN 81-20:2020, 5.2.1.4.1</t>
        </is>
      </c>
      <c r="F170" s="10" t="inlineStr">
        <is>
          <t>testo della norma, letto il 2026-10-06 (punti e valori con parole nostre)</t>
        </is>
      </c>
      <c r="G170" s="10" t="inlineStr">
        <is>
          <t>confermato</t>
        </is>
      </c>
      <c r="H170" s="10" t="inlineStr">
        <is>
          <t>—</t>
        </is>
      </c>
      <c r="I170" s="11" t="n"/>
      <c r="J170" s="11" t="n"/>
      <c r="K170" s="11" t="n"/>
      <c r="L170" s="11" t="n"/>
      <c r="M170" s="11" t="n"/>
      <c r="N170" s="11" t="n"/>
    </row>
    <row r="171" ht="56" customHeight="1">
      <c r="A171" s="10" t="n">
        <v>169</v>
      </c>
      <c r="B171" s="10" t="inlineStr">
        <is>
          <t>Collaudo: UNI EN 81-20:2020 e UNI EN 81-50:2020</t>
        </is>
      </c>
      <c r="C171" s="10" t="inlineStr">
        <is>
          <t>UNI EN 81-20:2020, 5.4.10.1 e 5.4.10.4</t>
        </is>
      </c>
      <c r="D171" s="10" t="inlineStr">
        <is>
          <t>luce in cabina almeno 100 lux sui comandi e a 1 m dal pavimento; luce di emergenza di almeno 5 lux per un’ora presso gli allarmi in cabina e sul tetto e al centro di cabina e tetto, a 1 m</t>
        </is>
      </c>
      <c r="E171" s="10" t="inlineStr">
        <is>
          <t>UNI EN 81-20:2020, 5.4.10.1 e 5.4.10.4</t>
        </is>
      </c>
      <c r="F171" s="10" t="inlineStr">
        <is>
          <t>testo della norma, letto il 2026-10-06 (punti e valori con parole nostre)</t>
        </is>
      </c>
      <c r="G171" s="10" t="inlineStr">
        <is>
          <t>confermato</t>
        </is>
      </c>
      <c r="H171" s="10" t="inlineStr">
        <is>
          <t>—</t>
        </is>
      </c>
      <c r="I171" s="11" t="n"/>
      <c r="J171" s="11" t="n"/>
      <c r="K171" s="11" t="n"/>
      <c r="L171" s="11" t="n"/>
      <c r="M171" s="11" t="n"/>
      <c r="N171" s="11" t="n"/>
    </row>
    <row r="172" ht="43" customHeight="1">
      <c r="A172" s="10" t="n">
        <v>170</v>
      </c>
      <c r="B172" s="10" t="inlineStr">
        <is>
          <t>Collaudo: UNI EN 81-20:2020 e UNI EN 81-50:2020</t>
        </is>
      </c>
      <c r="C172" s="10" t="inlineStr">
        <is>
          <t>UNI EN 81-20:2020, 5.4.4</t>
        </is>
      </c>
      <c r="D172" s="10" t="inlineStr">
        <is>
          <t>materiali della cabina secondo EN 13501-1: pavimento Cfl-s2, pareti C-s2,d1, soffitto C-s2,d0</t>
        </is>
      </c>
      <c r="E172" s="10" t="inlineStr">
        <is>
          <t>UNI EN 81-20:2020, 5.4.4</t>
        </is>
      </c>
      <c r="F172" s="10" t="inlineStr">
        <is>
          <t>testo della norma, letto il 2026-10-06 (punti e valori con parole nostre)</t>
        </is>
      </c>
      <c r="G172" s="10" t="inlineStr">
        <is>
          <t>confermato</t>
        </is>
      </c>
      <c r="H172" s="10" t="inlineStr">
        <is>
          <t>—</t>
        </is>
      </c>
      <c r="I172" s="11" t="n"/>
      <c r="J172" s="11" t="n"/>
      <c r="K172" s="11" t="n"/>
      <c r="L172" s="11" t="n"/>
      <c r="M172" s="11" t="n"/>
      <c r="N172" s="11" t="n"/>
    </row>
    <row r="173" ht="95" customHeight="1">
      <c r="A173" s="10" t="n">
        <v>171</v>
      </c>
      <c r="B173" s="10" t="inlineStr">
        <is>
          <t>Collaudo: UNI EN 81-20:2020 e UNI EN 81-50:2020</t>
        </is>
      </c>
      <c r="C173" s="10" t="inlineStr">
        <is>
          <t>UNI EN 81-20:2020, 6.3.1</t>
        </is>
      </c>
      <c r="D173"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173" s="10" t="inlineStr">
        <is>
          <t>UNI EN 81-20:2020, 6.3.1</t>
        </is>
      </c>
      <c r="F173" s="10" t="inlineStr">
        <is>
          <t>testo della norma, letto il 2026-10-06 (punti e valori con parole nostre)</t>
        </is>
      </c>
      <c r="G173" s="10" t="inlineStr">
        <is>
          <t>confermato</t>
        </is>
      </c>
      <c r="H173" s="10" t="inlineStr">
        <is>
          <t>—</t>
        </is>
      </c>
      <c r="I173" s="11" t="n"/>
      <c r="J173" s="11" t="n"/>
      <c r="K173" s="11" t="n"/>
      <c r="L173" s="11" t="n"/>
      <c r="M173" s="11" t="n"/>
      <c r="N173" s="11" t="n"/>
    </row>
    <row r="174" ht="69" customHeight="1">
      <c r="A174" s="10" t="n">
        <v>172</v>
      </c>
      <c r="B174" s="10" t="inlineStr">
        <is>
          <t>Collaudo: UNI EN 81-20:2020 e UNI EN 81-50:2020</t>
        </is>
      </c>
      <c r="C174" s="10" t="inlineStr">
        <is>
          <t>UNI EN 81-20:2020, 6.3.2</t>
        </is>
      </c>
      <c r="D174" s="10" t="inlineStr">
        <is>
          <t>impianto elettrico: esame a vista, continuità dei conduttori di protezione, isolamento circuito per circuito con l’elettronica scollegata, efficacia dell’interruzione automatica in caso di guasto</t>
        </is>
      </c>
      <c r="E174" s="10" t="inlineStr">
        <is>
          <t>UNI EN 81-20:2020, 6.3.2</t>
        </is>
      </c>
      <c r="F174" s="10" t="inlineStr">
        <is>
          <t>testo della norma, letto il 2026-10-06 (punti e valori con parole nostre)</t>
        </is>
      </c>
      <c r="G174" s="10" t="inlineStr">
        <is>
          <t>confermato</t>
        </is>
      </c>
      <c r="H174" s="10" t="inlineStr">
        <is>
          <t>—</t>
        </is>
      </c>
      <c r="I174" s="11" t="n"/>
      <c r="J174" s="11" t="n"/>
      <c r="K174" s="11" t="n"/>
      <c r="L174" s="11" t="n"/>
      <c r="M174" s="11" t="n"/>
      <c r="N174" s="11" t="n"/>
    </row>
    <row r="175" ht="82" customHeight="1">
      <c r="A175" s="10" t="n">
        <v>173</v>
      </c>
      <c r="B175" s="10" t="inlineStr">
        <is>
          <t>Collaudo: UNI EN 81-20:2020 e UNI EN 81-50:2020</t>
        </is>
      </c>
      <c r="C175" s="10" t="inlineStr">
        <is>
          <t>UNI EN 81-20:2020, 6.3.3</t>
        </is>
      </c>
      <c r="D175"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175" s="10" t="inlineStr">
        <is>
          <t>UNI EN 81-20:2020, 6.3.3</t>
        </is>
      </c>
      <c r="F175" s="10" t="inlineStr">
        <is>
          <t>testo della norma, letto il 2026-10-06 (punti e valori con parole nostre)</t>
        </is>
      </c>
      <c r="G175" s="10" t="inlineStr">
        <is>
          <t>confermato</t>
        </is>
      </c>
      <c r="H175" s="10" t="inlineStr">
        <is>
          <t>—</t>
        </is>
      </c>
      <c r="I175" s="11" t="n"/>
      <c r="J175" s="11" t="n"/>
      <c r="K175" s="11" t="n"/>
      <c r="L175" s="11" t="n"/>
      <c r="M175" s="11" t="n"/>
      <c r="N175" s="11" t="n"/>
    </row>
    <row r="176" ht="121" customHeight="1">
      <c r="A176" s="10" t="n">
        <v>174</v>
      </c>
      <c r="B176" s="10" t="inlineStr">
        <is>
          <t>Collaudo: UNI EN 81-20:2020 e UNI EN 81-50:2020</t>
        </is>
      </c>
      <c r="C176" s="10" t="inlineStr">
        <is>
          <t>UNI EN 81-20:2020, 6.3.4, 6.3.5 e 6.3.7</t>
        </is>
      </c>
      <c r="D176"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176" s="10" t="inlineStr">
        <is>
          <t>UNI EN 81-20:2020, 6.3.4, 6.3.5 e 6.3.7</t>
        </is>
      </c>
      <c r="F176" s="10" t="inlineStr">
        <is>
          <t>testo della norma, letto il 2026-10-06 (punti e valori con parole nostre)</t>
        </is>
      </c>
      <c r="G176" s="10" t="inlineStr">
        <is>
          <t>confermato</t>
        </is>
      </c>
      <c r="H176" s="10" t="inlineStr">
        <is>
          <t>—</t>
        </is>
      </c>
      <c r="I176" s="11" t="n"/>
      <c r="J176" s="11" t="n"/>
      <c r="K176" s="11" t="n"/>
      <c r="L176" s="11" t="n"/>
      <c r="M176" s="11" t="n"/>
      <c r="N176" s="11" t="n"/>
    </row>
    <row r="177" ht="108" customHeight="1">
      <c r="A177" s="10" t="n">
        <v>175</v>
      </c>
      <c r="B177" s="10" t="inlineStr">
        <is>
          <t>Collaudo: UNI EN 81-20:2020 e UNI EN 81-50:2020</t>
        </is>
      </c>
      <c r="C177" s="10" t="inlineStr">
        <is>
          <t>UNI EN 81-20:2020, 6.3.11, 6.3.12 e 6.3.13</t>
        </is>
      </c>
      <c r="D177"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177" s="10" t="inlineStr">
        <is>
          <t>UNI EN 81-20:2020, 6.3.11, 6.3.12 e 6.3.13</t>
        </is>
      </c>
      <c r="F177" s="10" t="inlineStr">
        <is>
          <t>testo della norma, letto il 2026-10-06 (punti e valori con parole nostre)</t>
        </is>
      </c>
      <c r="G177" s="10" t="inlineStr">
        <is>
          <t>confermato</t>
        </is>
      </c>
      <c r="H177" s="10" t="inlineStr">
        <is>
          <t>—</t>
        </is>
      </c>
      <c r="I177" s="11" t="n"/>
      <c r="J177" s="11" t="n"/>
      <c r="K177" s="11" t="n"/>
      <c r="L177" s="11" t="n"/>
      <c r="M177" s="11" t="n"/>
      <c r="N177" s="11" t="n"/>
    </row>
    <row r="178" ht="43" customHeight="1">
      <c r="A178" s="10" t="n">
        <v>176</v>
      </c>
      <c r="B178" s="10" t="inlineStr">
        <is>
          <t>Collaudo: UNI EN 81-20:2020 e UNI EN 81-50:2020</t>
        </is>
      </c>
      <c r="C178" s="10" t="inlineStr">
        <is>
          <t>UNI EN 81-20:2020, 6.3.14</t>
        </is>
      </c>
      <c r="D178" s="10" t="inlineStr">
        <is>
          <t>cabina fuori dalla zona di sbloccaggio e porta di piano tenuta aperta di 100 mm: lasciata, la porta si richiude e si blocca</t>
        </is>
      </c>
      <c r="E178" s="10" t="inlineStr">
        <is>
          <t>UNI EN 81-20:2020, 6.3.14</t>
        </is>
      </c>
      <c r="F178" s="10" t="inlineStr">
        <is>
          <t>testo della norma, letto il 2026-10-06 (punti e valori con parole nostre)</t>
        </is>
      </c>
      <c r="G178" s="10" t="inlineStr">
        <is>
          <t>confermato</t>
        </is>
      </c>
      <c r="H178" s="10" t="inlineStr">
        <is>
          <t>—</t>
        </is>
      </c>
      <c r="I178" s="11" t="n"/>
      <c r="J178" s="11" t="n"/>
      <c r="K178" s="11" t="n"/>
      <c r="L178" s="11" t="n"/>
      <c r="M178" s="11" t="n"/>
      <c r="N178" s="11" t="n"/>
    </row>
    <row r="179" ht="43" customHeight="1">
      <c r="A179" s="10" t="n">
        <v>177</v>
      </c>
      <c r="B179" s="10" t="inlineStr">
        <is>
          <t>Collaudo: UNI EN 81-20:2020 e UNI EN 81-50:2020</t>
        </is>
      </c>
      <c r="C179" s="10" t="inlineStr">
        <is>
          <t>UNI EN 81-20:2020, C.2 e 7.3.2</t>
        </is>
      </c>
      <c r="D179" s="10" t="inlineStr">
        <is>
          <t>la sostituzione della macchina o della puleggia di frizione è una trasformazione importante: si annota nel registro dell’impianto, da aggiornare</t>
        </is>
      </c>
      <c r="E179" s="10" t="inlineStr">
        <is>
          <t>UNI EN 81-20:2020, C.2 e 7.3.2</t>
        </is>
      </c>
      <c r="F179" s="10" t="inlineStr">
        <is>
          <t>testo della norma, letto il 2026-10-06 (punti e valori con parole nostre)</t>
        </is>
      </c>
      <c r="G179" s="10" t="inlineStr">
        <is>
          <t>confermato</t>
        </is>
      </c>
      <c r="H179" s="10" t="inlineStr">
        <is>
          <t>—</t>
        </is>
      </c>
      <c r="I179" s="11" t="n"/>
      <c r="J179" s="11" t="n"/>
      <c r="K179" s="11" t="n"/>
      <c r="L179" s="11" t="n"/>
      <c r="M179" s="11" t="n"/>
      <c r="N179" s="11" t="n"/>
    </row>
    <row r="180" ht="108" customHeight="1">
      <c r="A180" s="10" t="n">
        <v>178</v>
      </c>
      <c r="B180" s="10" t="inlineStr">
        <is>
          <t>Collaudo: UNI EN 81-20:2020 e UNI EN 81-50:2020</t>
        </is>
      </c>
      <c r="C180" s="10" t="inlineStr">
        <is>
          <t>UNI EN 81-20:2020, 5.3.5.3.2, 5.3.5.3.4, 5.3.6.2.2.1 b) e 5.3.15.2 b)</t>
        </is>
      </c>
      <c r="D180"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180" s="10" t="inlineStr">
        <is>
          <t>UNI EN 81-20:2020, 5.3.5.3.2, 5.3.5.3.4, 5.3.6.2.2.1 b) e 5.3.15.2 b)</t>
        </is>
      </c>
      <c r="F180" s="10" t="inlineStr">
        <is>
          <t>testo della norma, letto il 2026-10-06 (punti e valori con parole nostre)</t>
        </is>
      </c>
      <c r="G180" s="10" t="inlineStr">
        <is>
          <t>confermato</t>
        </is>
      </c>
      <c r="H180" s="10" t="inlineStr">
        <is>
          <t>—</t>
        </is>
      </c>
      <c r="I180" s="11" t="n"/>
      <c r="J180" s="11" t="n"/>
      <c r="K180" s="11" t="n"/>
      <c r="L180" s="11" t="n"/>
      <c r="M180" s="11" t="n"/>
      <c r="N180" s="11" t="n"/>
    </row>
    <row r="181" ht="121" customHeight="1">
      <c r="A181" s="10" t="n">
        <v>179</v>
      </c>
      <c r="B181" s="10" t="inlineStr">
        <is>
          <t>Collaudo: UNI EN 81-20:2020 e UNI EN 81-50:2020</t>
        </is>
      </c>
      <c r="C181" s="10" t="inlineStr">
        <is>
          <t>UNI EN 81-20:2020, 5.3.6.2.2.1 a)–d)</t>
        </is>
      </c>
      <c r="D181"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181" s="10" t="inlineStr">
        <is>
          <t>UNI EN 81-20:2020, 5.3.6.2.2.1 a)–d)</t>
        </is>
      </c>
      <c r="F181" s="10" t="inlineStr">
        <is>
          <t>testo della norma, letto il 2026-10-06 (punti e valori con parole nostre)</t>
        </is>
      </c>
      <c r="G181" s="10" t="inlineStr">
        <is>
          <t>confermato</t>
        </is>
      </c>
      <c r="H181" s="10" t="inlineStr">
        <is>
          <t>—</t>
        </is>
      </c>
      <c r="I181" s="11" t="n"/>
      <c r="J181" s="11" t="n"/>
      <c r="K181" s="11" t="n"/>
      <c r="L181" s="11" t="n"/>
      <c r="M181" s="11" t="n"/>
      <c r="N181" s="11" t="n"/>
    </row>
    <row r="182" ht="56" customHeight="1">
      <c r="A182" s="10" t="n">
        <v>180</v>
      </c>
      <c r="B182" s="10" t="inlineStr">
        <is>
          <t>Collaudo: UNI 10411-1:2024</t>
        </is>
      </c>
      <c r="C182" s="10" t="inlineStr">
        <is>
          <t>UNI 10411-1:2024, scopo</t>
        </is>
      </c>
      <c r="D182" s="10" t="inlineStr">
        <is>
          <t>impianti elettrici a frizione fuori dalla 95/16/CE e dalla 2014/33/UE; esclude le modifiche che cambiano le misure antincendio (per queste, a nostro giudizio, il DM 15/09/2005 o il Codice V.3)</t>
        </is>
      </c>
      <c r="E182" s="10" t="inlineStr">
        <is>
          <t>UNI 10411-1:2024, scopo</t>
        </is>
      </c>
      <c r="F182" s="10" t="inlineStr">
        <is>
          <t>testo della norma, letto il 2026-10-06 (punti e valori con parole nostre)</t>
        </is>
      </c>
      <c r="G182" s="10" t="inlineStr">
        <is>
          <t>confermato</t>
        </is>
      </c>
      <c r="H182" s="10" t="inlineStr">
        <is>
          <t>—</t>
        </is>
      </c>
      <c r="I182" s="11" t="n"/>
      <c r="J182" s="11" t="n"/>
      <c r="K182" s="11" t="n"/>
      <c r="L182" s="11" t="n"/>
      <c r="M182" s="11" t="n"/>
      <c r="N182" s="11" t="n"/>
    </row>
    <row r="183" ht="134" customHeight="1">
      <c r="A183" s="10" t="n">
        <v>181</v>
      </c>
      <c r="B183" s="10" t="inlineStr">
        <is>
          <t>Collaudo: UNI 10411-1:2024</t>
        </is>
      </c>
      <c r="C183" s="10" t="inlineStr">
        <is>
          <t>UNI 10411-1:2024, 9.1–9.2</t>
        </is>
      </c>
      <c r="D183" s="10" t="inlineStr">
        <is>
          <t>apparecchiature spostate o aggiunte nel locale del macchinario (a nostro giudizio anche la macchina nuova, che ne cambia gli ingombri): locale secondo la UNI EN 81-20 5.2.6.3, locale delle pulegge secondo la 5.2.6.7; l’altezza libera sulle zone di lavoro può restare sotto 2,1 m se non scende sotto quella esistente; sotto 2,0 m vale la UNI EN 81-21:2022, 5.9 (zone segnalate, materiale ammortizzante al soffitto, almeno 1,80 m liberi sotto di esso)</t>
        </is>
      </c>
      <c r="E183" s="10" t="inlineStr">
        <is>
          <t>UNI 10411-1:2024, 9.1–9.2</t>
        </is>
      </c>
      <c r="F183" s="10" t="inlineStr">
        <is>
          <t>testo della norma, letto il 2026-10-06 (punti e valori con parole nostre)</t>
        </is>
      </c>
      <c r="G183" s="10" t="inlineStr">
        <is>
          <t>confermato</t>
        </is>
      </c>
      <c r="H183" s="10" t="inlineStr">
        <is>
          <t>—</t>
        </is>
      </c>
      <c r="I183" s="11" t="n"/>
      <c r="J183" s="11" t="n"/>
      <c r="K183" s="11" t="n"/>
      <c r="L183" s="11" t="n"/>
      <c r="M183" s="11" t="n"/>
      <c r="N183" s="11" t="n"/>
    </row>
    <row r="184" ht="121" customHeight="1">
      <c r="A184" s="10" t="n">
        <v>182</v>
      </c>
      <c r="B184" s="10" t="inlineStr">
        <is>
          <t>Collaudo: UNI 10411-1:2024</t>
        </is>
      </c>
      <c r="C184" s="10" t="inlineStr">
        <is>
          <t>UNI 10411-1:2024, 5 e App. C (5, 9 e 14)</t>
        </is>
      </c>
      <c r="D184" s="10" t="inlineStr">
        <is>
          <t>se le forze sulle strutture dell’edificio crescono o si spostano a sfavore della sicurezza, l’idoneità della struttura la dimostra il proprietario (dichiarazione con le nuove posizioni e i nuovi valori dei carichi: foglio 1, P1–P9); disegno quotato del locale del macchinario con accessi e spazi di manutenzione; con la macchina nuova, quando pertinenti, anche i documenti dei punti 5, 9, 10 e 15</t>
        </is>
      </c>
      <c r="E184" s="10" t="inlineStr">
        <is>
          <t>UNI 10411-1:2024, 5 e App. C (5, 9 e 14)</t>
        </is>
      </c>
      <c r="F184" s="10" t="inlineStr">
        <is>
          <t>testo della norma, letto il 2026-10-06 (punti e valori con parole nostre)</t>
        </is>
      </c>
      <c r="G184" s="10" t="inlineStr">
        <is>
          <t>confermato</t>
        </is>
      </c>
      <c r="H184" s="10" t="inlineStr">
        <is>
          <t>—</t>
        </is>
      </c>
      <c r="I184" s="11" t="n"/>
      <c r="J184" s="11" t="n"/>
      <c r="K184" s="11" t="n"/>
      <c r="L184" s="11" t="n"/>
      <c r="M184" s="11" t="n"/>
      <c r="N184" s="11" t="n"/>
    </row>
    <row r="185" ht="121" customHeight="1">
      <c r="A185" s="10" t="n">
        <v>183</v>
      </c>
      <c r="B185" s="10" t="inlineStr">
        <is>
          <t>Collaudo: UNI 10411-1:2024</t>
        </is>
      </c>
      <c r="C185" s="10" t="inlineStr">
        <is>
          <t>UNI 10411-1:2024, 14.4 a)–g)</t>
        </is>
      </c>
      <c r="D185"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185" s="10" t="inlineStr">
        <is>
          <t>UNI 10411-1:2024, 14.4 a)–g)</t>
        </is>
      </c>
      <c r="F185" s="10" t="inlineStr">
        <is>
          <t>testo della norma, letto il 2026-10-06 (punti e valori con parole nostre)</t>
        </is>
      </c>
      <c r="G185" s="10" t="inlineStr">
        <is>
          <t>confermato</t>
        </is>
      </c>
      <c r="H185" s="10" t="inlineStr">
        <is>
          <t>—</t>
        </is>
      </c>
      <c r="I185" s="11" t="n"/>
      <c r="J185" s="11" t="n"/>
      <c r="K185" s="11" t="n"/>
      <c r="L185" s="11" t="n"/>
      <c r="M185" s="11" t="n"/>
      <c r="N185" s="11" t="n"/>
    </row>
    <row r="186" ht="56" customHeight="1">
      <c r="A186" s="10" t="n">
        <v>184</v>
      </c>
      <c r="B186" s="10" t="inlineStr">
        <is>
          <t>Collaudo: UNI 10411-11:2024</t>
        </is>
      </c>
      <c r="C186" s="10" t="inlineStr">
        <is>
          <t>UNI 10411-11:2024, scopo</t>
        </is>
      </c>
      <c r="D186" s="10" t="inlineStr">
        <is>
          <t>impianti elettrici a frizione marcati CE secondo la Direttiva; esclude le modifiche che cambiano le misure antincendio (per queste, a nostro giudizio, il DM 15/09/2005 o il Codice V.3)</t>
        </is>
      </c>
      <c r="E186" s="10" t="inlineStr">
        <is>
          <t>UNI 10411-11:2024, scopo</t>
        </is>
      </c>
      <c r="F186" s="10" t="inlineStr">
        <is>
          <t>testo della norma, letto il 2026-10-06 (punti e valori con parole nostre)</t>
        </is>
      </c>
      <c r="G186" s="10" t="inlineStr">
        <is>
          <t>confermato</t>
        </is>
      </c>
      <c r="H186" s="10" t="inlineStr">
        <is>
          <t>—</t>
        </is>
      </c>
      <c r="I186" s="11" t="n"/>
      <c r="J186" s="11" t="n"/>
      <c r="K186" s="11" t="n"/>
      <c r="L186" s="11" t="n"/>
      <c r="M186" s="11" t="n"/>
      <c r="N186" s="11" t="n"/>
    </row>
    <row r="187" ht="108" customHeight="1">
      <c r="A187" s="10" t="n">
        <v>185</v>
      </c>
      <c r="B187" s="10" t="inlineStr">
        <is>
          <t>Collaudo: UNI 10411-11:2024</t>
        </is>
      </c>
      <c r="C187" s="10" t="inlineStr">
        <is>
          <t>UNI 10411-11:2024, 14.3 a) e App. A (14); UNI EN 81-20:2020, 5.6.6.2 e 5.6.7.3</t>
        </is>
      </c>
      <c r="D187"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187" s="10" t="inlineStr">
        <is>
          <t>UNI 10411-11:2024, 14.3 a) e App. A (14); UNI EN 81-20:2020, 5.6.6.2 e 5.6.7.3</t>
        </is>
      </c>
      <c r="F187" s="10" t="inlineStr">
        <is>
          <t>testo della norma, letto il 2026-10-06 (punti e valori con parole nostre)</t>
        </is>
      </c>
      <c r="G187" s="10" t="inlineStr">
        <is>
          <t>confermato</t>
        </is>
      </c>
      <c r="H187" s="10" t="inlineStr">
        <is>
          <t>—</t>
        </is>
      </c>
      <c r="I187" s="11" t="n"/>
      <c r="J187" s="11" t="n"/>
      <c r="K187" s="11" t="n"/>
      <c r="L187" s="11" t="n"/>
      <c r="M187" s="11" t="n"/>
      <c r="N187" s="11" t="n"/>
    </row>
    <row r="188" ht="95" customHeight="1">
      <c r="A188" s="10" t="n">
        <v>186</v>
      </c>
      <c r="B188" s="10" t="inlineStr">
        <is>
          <t>Collaudo: UNI 10411-11:2024</t>
        </is>
      </c>
      <c r="C188" s="10" t="inlineStr">
        <is>
          <t>UNI 10411-11:2024, 5 e 9.2</t>
        </is>
      </c>
      <c r="D188" s="10" t="inlineStr">
        <is>
          <t>se le forze sulle strutture dell’edificio crescono o si spostano a sfavore della sicurezza, l’idoneità della struttura la dimostra il proprietario; nuova disposizione del locale del macchinario secondo la UNI EN 81-20 5.2.6, con l’altezza esistente sulle zone di lavoro ammessa se non si arriva a 2,10 m</t>
        </is>
      </c>
      <c r="E188" s="10" t="inlineStr">
        <is>
          <t>UNI 10411-11:2024, 5 e 9.2</t>
        </is>
      </c>
      <c r="F188" s="10" t="inlineStr">
        <is>
          <t>testo della norma, letto il 2026-10-06 (punti e valori con parole nostre)</t>
        </is>
      </c>
      <c r="G188" s="10" t="inlineStr">
        <is>
          <t>confermato</t>
        </is>
      </c>
      <c r="H188" s="10" t="inlineStr">
        <is>
          <t>—</t>
        </is>
      </c>
      <c r="I188" s="11" t="n"/>
      <c r="J188" s="11" t="n"/>
      <c r="K188" s="11" t="n"/>
      <c r="L188" s="11" t="n"/>
      <c r="M188" s="11" t="n"/>
      <c r="N188" s="11" t="n"/>
    </row>
    <row r="189" ht="56" customHeight="1">
      <c r="A189" s="10" t="n">
        <v>187</v>
      </c>
      <c r="B189" s="10" t="inlineStr">
        <is>
          <t>Collaudo: UNI 10411-11:2024</t>
        </is>
      </c>
      <c r="C189" s="10" t="inlineStr">
        <is>
          <t>UNI 10411-11:2024, 14.3 b)</t>
        </is>
      </c>
      <c r="D189" s="10" t="inlineStr">
        <is>
          <t>senza UCM conforme alla 5.6.7 e con il rallentamento controllato: macchinario senza alimentazione se il freno non si apre, al più tardi all’arrivo al piano, con ripristino solo manuale</t>
        </is>
      </c>
      <c r="E189" s="10" t="inlineStr">
        <is>
          <t>UNI 10411-11:2024, 14.3 b)</t>
        </is>
      </c>
      <c r="F189" s="10" t="inlineStr">
        <is>
          <t>testo della norma, letto il 2026-10-06 (punti e valori con parole nostre)</t>
        </is>
      </c>
      <c r="G189" s="10" t="inlineStr">
        <is>
          <t>confermato</t>
        </is>
      </c>
      <c r="H189" s="10" t="inlineStr">
        <is>
          <t>—</t>
        </is>
      </c>
      <c r="I189" s="11" t="n"/>
      <c r="J189" s="11" t="n"/>
      <c r="K189" s="11" t="n"/>
      <c r="L189" s="11" t="n"/>
      <c r="M189" s="11" t="n"/>
      <c r="N189" s="11" t="n"/>
    </row>
    <row r="190" ht="56" customHeight="1">
      <c r="A190" s="10" t="n">
        <v>188</v>
      </c>
      <c r="B190" s="10" t="inlineStr">
        <is>
          <t>Collaudo: UNI EN 81-21:2022 (ascensori nuovi in edifici esistenti)</t>
        </is>
      </c>
      <c r="C190" s="10" t="inlineStr">
        <is>
          <t>UNI EN 81-21:2022, 1</t>
        </is>
      </c>
      <c r="D190" s="10" t="inlineStr">
        <is>
          <t>ascensori nuovi in un edificio esistente, dove l’edificio non permette di rispettare tutta la UNI EN 81-20:2020; esclusi gli impianti montati prima della sua pubblicazione</t>
        </is>
      </c>
      <c r="E190" s="10" t="inlineStr">
        <is>
          <t>UNI EN 81-21:2022, 1</t>
        </is>
      </c>
      <c r="F190" s="10" t="inlineStr">
        <is>
          <t>testo della norma, letto il 2026-10-06 (punti e valori con parole nostre)</t>
        </is>
      </c>
      <c r="G190" s="10" t="inlineStr">
        <is>
          <t>confermato</t>
        </is>
      </c>
      <c r="H190" s="10" t="inlineStr">
        <is>
          <t>—</t>
        </is>
      </c>
      <c r="I190" s="11" t="n"/>
      <c r="J190" s="11" t="n"/>
      <c r="K190" s="11" t="n"/>
      <c r="L190" s="11" t="n"/>
      <c r="M190" s="11" t="n"/>
      <c r="N190" s="11" t="n"/>
    </row>
    <row r="191" ht="95" customHeight="1">
      <c r="A191" s="10" t="n">
        <v>189</v>
      </c>
      <c r="B191" s="10" t="inlineStr">
        <is>
          <t>Collaudo: UNI EN 81-21:2022 (ascensori nuovi in edifici esistenti)</t>
        </is>
      </c>
      <c r="C191" s="10" t="inlineStr">
        <is>
          <t>UNI EN 81-21:2022, 6.2 e 7.1</t>
        </is>
      </c>
      <c r="D191"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191" s="10" t="inlineStr">
        <is>
          <t>UNI EN 81-21:2022, 6.2 e 7.1</t>
        </is>
      </c>
      <c r="F191" s="10" t="inlineStr">
        <is>
          <t>testo della norma, letto il 2026-10-06 (punti e valori con parole nostre)</t>
        </is>
      </c>
      <c r="G191" s="10" t="inlineStr">
        <is>
          <t>confermato</t>
        </is>
      </c>
      <c r="H191" s="10" t="inlineStr">
        <is>
          <t>—</t>
        </is>
      </c>
      <c r="I191" s="11" t="n"/>
      <c r="J191" s="11" t="n"/>
      <c r="K191" s="11" t="n"/>
      <c r="L191" s="11" t="n"/>
      <c r="M191" s="11" t="n"/>
      <c r="N191" s="11" t="n"/>
    </row>
    <row r="192" ht="82" customHeight="1">
      <c r="A192" s="10" t="n">
        <v>190</v>
      </c>
      <c r="B192" s="10" t="inlineStr">
        <is>
          <t>Collaudo: UNI EN 81-21:2022 (ascensori nuovi in edifici esistenti)</t>
        </is>
      </c>
      <c r="C192" s="10" t="inlineStr">
        <is>
          <t>DPR 162/1999, art. 17-bis; DM 19/03/2015; linee guida MIMIT 2022</t>
        </is>
      </c>
      <c r="D192"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192" s="10" t="inlineStr">
        <is>
          <t>DPR 162/1999, art. 17-bis; DM 19/03/2015; linee guida MIMIT 2022</t>
        </is>
      </c>
      <c r="F192" s="10" t="inlineStr">
        <is>
          <t>ricerca, cap. 16 (testi ufficiali e schede UNI, 2026-10-02)</t>
        </is>
      </c>
      <c r="G192" s="10" t="inlineStr">
        <is>
          <t>confermato</t>
        </is>
      </c>
      <c r="H192" s="10" t="inlineStr">
        <is>
          <t>—</t>
        </is>
      </c>
      <c r="I192" s="11" t="n"/>
      <c r="J192" s="11" t="n"/>
      <c r="K192" s="11" t="n"/>
      <c r="L192" s="11" t="n"/>
      <c r="M192" s="11" t="n"/>
      <c r="N192" s="11" t="n"/>
    </row>
    <row r="193" ht="82" customHeight="1">
      <c r="A193" s="10" t="n">
        <v>191</v>
      </c>
      <c r="B193" s="10" t="inlineStr">
        <is>
          <t>Collaudo: UNI EN 81-28:2022 (teleallarme)</t>
        </is>
      </c>
      <c r="C193" s="10" t="inlineStr">
        <is>
          <t>UNI EN 81-20:2020, 5.12.3.1; UNI EN 81-28:2004, 4.1.3, 4.2.1 e 7</t>
        </is>
      </c>
      <c r="D193"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193" s="10" t="inlineStr">
        <is>
          <t>UNI EN 81-20:2020, 5.12.3.1; UNI EN 81-28:2004, 4.1.3, 4.2.1 e 7</t>
        </is>
      </c>
      <c r="F193" s="10" t="inlineStr">
        <is>
          <t>testo della norma, letto il 2026-10-06 (punti e valori con parole nostre)</t>
        </is>
      </c>
      <c r="G193" s="10" t="inlineStr">
        <is>
          <t>confermato</t>
        </is>
      </c>
      <c r="H193" s="10" t="inlineStr">
        <is>
          <t>—</t>
        </is>
      </c>
      <c r="I193" s="11" t="n"/>
      <c r="J193" s="11" t="n"/>
      <c r="K193" s="11" t="n"/>
      <c r="L193" s="11" t="n"/>
      <c r="M193" s="11" t="n"/>
      <c r="N193" s="11" t="n"/>
    </row>
    <row r="194" ht="56" customHeight="1">
      <c r="A194" s="10" t="n">
        <v>192</v>
      </c>
      <c r="B194" s="10" t="inlineStr">
        <is>
          <t>Collaudo: UNI EN 81-28:2022 (teleallarme)</t>
        </is>
      </c>
      <c r="C194" s="10" t="inlineStr">
        <is>
          <t>UNI EN 81-28:2022</t>
        </is>
      </c>
      <c r="D194" s="10" t="inlineStr">
        <is>
          <t>requisiti dell’edizione citata in GUUE da verificare sul testo; nelle modifiche la UNI 10411-1/-11:2024 (punto 23) ammette l’allarme nuovo secondo la EN 81-20 5.12.3.1 o la UNI EN 81-28:2022</t>
        </is>
      </c>
      <c r="E194" s="10" t="inlineStr">
        <is>
          <t>UNI EN 81-28:2022</t>
        </is>
      </c>
      <c r="F194" s="10" t="inlineStr">
        <is>
          <t>ricerca, cap. 16 (testi ufficiali e schede UNI, 2026-10-02)</t>
        </is>
      </c>
      <c r="G194" s="10" t="inlineStr">
        <is>
          <t>da verificare</t>
        </is>
      </c>
      <c r="H194" s="10" t="inlineStr">
        <is>
          <t>—</t>
        </is>
      </c>
      <c r="I194" s="11" t="n"/>
      <c r="J194" s="11" t="n"/>
      <c r="K194" s="11" t="n"/>
      <c r="L194" s="11" t="n"/>
      <c r="M194" s="11" t="n"/>
      <c r="N194" s="11" t="n"/>
    </row>
    <row r="195" ht="95" customHeight="1">
      <c r="A195" s="10" t="n">
        <v>193</v>
      </c>
      <c r="B195" s="10" t="inlineStr">
        <is>
          <t>Collaudo: UNI EN 81-58:2022 (resistenza al fuoco delle porte di piano)</t>
        </is>
      </c>
      <c r="C195" s="10" t="inlineStr">
        <is>
          <t>UNI EN 81-58:2022; DM 15/09/2005, 3.2–3.3 e art. 1 c.2 lett. c)</t>
        </is>
      </c>
      <c r="D195"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195" s="10" t="inlineStr">
        <is>
          <t>UNI EN 81-58:2022; DM 15/09/2005, 3.2–3.3 e art. 1 c.2 lett. c)</t>
        </is>
      </c>
      <c r="F195" s="10" t="inlineStr">
        <is>
          <t>ricerca, cap. 16 (testi ufficiali e schede UNI, 2026-10-02)</t>
        </is>
      </c>
      <c r="G195" s="10" t="inlineStr">
        <is>
          <t>confermato</t>
        </is>
      </c>
      <c r="H195" s="10" t="inlineStr">
        <is>
          <t>—</t>
        </is>
      </c>
      <c r="I195" s="11" t="n"/>
      <c r="J195" s="11" t="n"/>
      <c r="K195" s="11" t="n"/>
      <c r="L195" s="11" t="n"/>
      <c r="M195" s="11" t="n"/>
      <c r="N195" s="11" t="n"/>
    </row>
    <row r="196" ht="95" customHeight="1">
      <c r="A196" s="10" t="n">
        <v>194</v>
      </c>
      <c r="B196" s="10" t="inlineStr">
        <is>
          <t>Collaudo: UNI EN 81-70:2022 (accessibilità)</t>
        </is>
      </c>
      <c r="C196" s="10" t="inlineStr">
        <is>
          <t>UNI EN 81-70:2022, 5.3.1</t>
        </is>
      </c>
      <c r="D196"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196" s="10" t="inlineStr">
        <is>
          <t>UNI EN 81-70:2022, 5.3.1</t>
        </is>
      </c>
      <c r="F196" s="10" t="inlineStr">
        <is>
          <t>ricerca, cap. 16 (testi ufficiali e schede UNI, 2026-10-02)</t>
        </is>
      </c>
      <c r="G196" s="10" t="inlineStr">
        <is>
          <t>da verificare</t>
        </is>
      </c>
      <c r="H196" s="10" t="inlineStr">
        <is>
          <t>—</t>
        </is>
      </c>
      <c r="I196" s="11" t="n"/>
      <c r="J196" s="11" t="n"/>
      <c r="K196" s="11" t="n"/>
      <c r="L196" s="11" t="n"/>
      <c r="M196" s="11" t="n"/>
      <c r="N196" s="11" t="n"/>
    </row>
    <row r="197" ht="95" customHeight="1">
      <c r="A197" s="10" t="n">
        <v>195</v>
      </c>
      <c r="B197" s="10" t="inlineStr">
        <is>
          <t>Collaudo: UNI EN 81-70:2022 (accessibilità)</t>
        </is>
      </c>
      <c r="C197" s="10" t="inlineStr">
        <is>
          <t>UNI EN 81-70:2022, 5.3.2 e 5.4</t>
        </is>
      </c>
      <c r="D197"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197" s="10" t="inlineStr">
        <is>
          <t>UNI EN 81-70:2022, 5.3.2 e 5.4</t>
        </is>
      </c>
      <c r="F197" s="10" t="inlineStr">
        <is>
          <t>ricerca, cap. 16 (testi ufficiali e schede UNI, 2026-10-02)</t>
        </is>
      </c>
      <c r="G197" s="10" t="inlineStr">
        <is>
          <t>da verificare</t>
        </is>
      </c>
      <c r="H197" s="10" t="inlineStr">
        <is>
          <t>—</t>
        </is>
      </c>
      <c r="I197" s="11" t="n"/>
      <c r="J197" s="11" t="n"/>
      <c r="K197" s="11" t="n"/>
      <c r="L197" s="11" t="n"/>
      <c r="M197" s="11" t="n"/>
      <c r="N197" s="11" t="n"/>
    </row>
    <row r="198" ht="43" customHeight="1">
      <c r="A198" s="10" t="n">
        <v>196</v>
      </c>
      <c r="B198" s="10" t="inlineStr">
        <is>
          <t>Collaudo: UNI EN 81-70:2022 (accessibilità)</t>
        </is>
      </c>
      <c r="C198" s="10" t="inlineStr">
        <is>
          <t>UNI EN 81-70:2022, scopo</t>
        </is>
      </c>
      <c r="D198" s="10" t="inlineStr">
        <is>
          <t>si usa con la UNI EN 81-20:2020; per gli impianti esistenti vale la UNI EN 81-82</t>
        </is>
      </c>
      <c r="E198" s="10" t="inlineStr">
        <is>
          <t>UNI EN 81-70:2022, scopo</t>
        </is>
      </c>
      <c r="F198" s="10" t="inlineStr">
        <is>
          <t>ricerca, cap. 16 (testi ufficiali e schede UNI, 2026-10-02)</t>
        </is>
      </c>
      <c r="G198" s="10" t="inlineStr">
        <is>
          <t>confermato</t>
        </is>
      </c>
      <c r="H198" s="10" t="inlineStr">
        <is>
          <t>—</t>
        </is>
      </c>
      <c r="I198" s="11" t="n"/>
      <c r="J198" s="11" t="n"/>
      <c r="K198" s="11" t="n"/>
      <c r="L198" s="11" t="n"/>
      <c r="M198" s="11" t="n"/>
      <c r="N198" s="11" t="n"/>
    </row>
    <row r="199" ht="43" customHeight="1">
      <c r="A199" s="10" t="n">
        <v>197</v>
      </c>
      <c r="B199" s="10" t="inlineStr">
        <is>
          <t>Collaudo: UNI EN 81-71 (ascensori antivandalo)</t>
        </is>
      </c>
      <c r="C199" s="10" t="inlineStr">
        <is>
          <t>UNI EN 81-71</t>
        </is>
      </c>
      <c r="D199" s="10" t="inlineStr">
        <is>
          <t>categoria antivandalo da concordare con il committente; per la presunzione di conformità vale l’edizione 2005+A1:2006</t>
        </is>
      </c>
      <c r="E199" s="10" t="inlineStr">
        <is>
          <t>UNI EN 81-71</t>
        </is>
      </c>
      <c r="F199" s="10" t="inlineStr">
        <is>
          <t>ricerca, cap. 16 (testi ufficiali e schede UNI, 2026-10-02)</t>
        </is>
      </c>
      <c r="G199" s="10" t="inlineStr">
        <is>
          <t>da verificare</t>
        </is>
      </c>
      <c r="H199" s="10" t="inlineStr">
        <is>
          <t>—</t>
        </is>
      </c>
      <c r="I199" s="11" t="n"/>
      <c r="J199" s="11" t="n"/>
      <c r="K199" s="11" t="n"/>
      <c r="L199" s="11" t="n"/>
      <c r="M199" s="11" t="n"/>
      <c r="N199" s="11" t="n"/>
    </row>
    <row r="200" ht="108" customHeight="1">
      <c r="A200" s="10" t="n">
        <v>198</v>
      </c>
      <c r="B200" s="10" t="inlineStr">
        <is>
          <t>Collaudo: UNI EN 81-72:2020 (ascensori antincendio)</t>
        </is>
      </c>
      <c r="C200" s="10" t="inlineStr">
        <is>
          <t>DM 15/09/2005, punto 7 (valori); Codice V.3.3.4</t>
        </is>
      </c>
      <c r="D200"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200" s="10" t="inlineStr">
        <is>
          <t>DM 15/09/2005, punto 7 (valori); Codice V.3.3.4</t>
        </is>
      </c>
      <c r="F200" s="10" t="inlineStr">
        <is>
          <t>ricerca, cap. 16 (testi ufficiali e schede UNI, 2026-10-02)</t>
        </is>
      </c>
      <c r="G200" s="10" t="inlineStr">
        <is>
          <t>confermato</t>
        </is>
      </c>
      <c r="H200" s="10" t="inlineStr">
        <is>
          <t>—</t>
        </is>
      </c>
      <c r="I200" s="11" t="n"/>
      <c r="J200" s="11" t="n"/>
      <c r="K200" s="11" t="n"/>
      <c r="L200" s="11" t="n"/>
      <c r="M200" s="11" t="n"/>
      <c r="N200" s="11" t="n"/>
    </row>
    <row r="201" ht="56" customHeight="1">
      <c r="A201" s="10" t="n">
        <v>199</v>
      </c>
      <c r="B201" s="10" t="inlineStr">
        <is>
          <t>Collaudo: UNI EN 81-72:2020 (ascensori antincendio)</t>
        </is>
      </c>
      <c r="C201" s="10" t="inlineStr">
        <is>
          <t>Codice S.10, Tab. S.10-2</t>
        </is>
      </c>
      <c r="D201" s="10" t="inlineStr">
        <is>
          <t>alimentazione di sicurezza dell’ascensore antincendio: interruzione al massimo 15 s, autonomia oltre 30 min</t>
        </is>
      </c>
      <c r="E201" s="10" t="inlineStr">
        <is>
          <t>Codice S.10, Tab. S.10-2</t>
        </is>
      </c>
      <c r="F201" s="10" t="inlineStr">
        <is>
          <t>ricerca, cap. 16 (testi ufficiali e schede UNI, 2026-10-02)</t>
        </is>
      </c>
      <c r="G201" s="10" t="inlineStr">
        <is>
          <t>confermato</t>
        </is>
      </c>
      <c r="H201" s="10" t="inlineStr">
        <is>
          <t>—</t>
        </is>
      </c>
      <c r="I201" s="11" t="n"/>
      <c r="J201" s="11" t="n"/>
      <c r="K201" s="11" t="n"/>
      <c r="L201" s="11" t="n"/>
      <c r="M201" s="11" t="n"/>
      <c r="N201" s="11" t="n"/>
    </row>
    <row r="202" ht="56" customHeight="1">
      <c r="A202" s="10" t="n">
        <v>200</v>
      </c>
      <c r="B202" s="10" t="inlineStr">
        <is>
          <t>Collaudo: UNI EN 81-72:2020 (ascensori antincendio)</t>
        </is>
      </c>
      <c r="C202" s="10" t="inlineStr">
        <is>
          <t>UNI EN 81-72:2020</t>
        </is>
      </c>
      <c r="D202" s="10" t="inlineStr">
        <is>
          <t>requisiti propri della norma (cabina, tempi, protezione dall’acqua) da verificare sul testo</t>
        </is>
      </c>
      <c r="E202" s="10" t="inlineStr">
        <is>
          <t>UNI EN 81-72:2020</t>
        </is>
      </c>
      <c r="F202" s="10" t="inlineStr">
        <is>
          <t>ricerca, cap. 16 (testi ufficiali e schede UNI, 2026-10-02)</t>
        </is>
      </c>
      <c r="G202" s="10" t="inlineStr">
        <is>
          <t>da verificare</t>
        </is>
      </c>
      <c r="H202" s="10" t="inlineStr">
        <is>
          <t>—</t>
        </is>
      </c>
      <c r="I202" s="11" t="n"/>
      <c r="J202" s="11" t="n"/>
      <c r="K202" s="11" t="n"/>
      <c r="L202" s="11" t="n"/>
      <c r="M202" s="11" t="n"/>
      <c r="N202" s="11" t="n"/>
    </row>
    <row r="203" ht="69" customHeight="1">
      <c r="A203" s="10" t="n">
        <v>201</v>
      </c>
      <c r="B203" s="10" t="inlineStr">
        <is>
          <t>Collaudo: UNI EN 81-73:2020 (comportamento in caso d’incendio)</t>
        </is>
      </c>
      <c r="C203" s="10" t="inlineStr">
        <is>
          <t>DM 15/09/2005, punto 6; Codice V.3.3.1</t>
        </is>
      </c>
      <c r="D203" s="10" t="inlineStr">
        <is>
          <t>quando la compartimentazione lo richiede, su comando della rivelazione incendio la cabina va al piano prestabilito e lascia uscire i passeggeri; con il Codice l’ascensore «dovrebbe» essere conforme alla UNI EN 81-73</t>
        </is>
      </c>
      <c r="E203" s="10" t="inlineStr">
        <is>
          <t>DM 15/09/2005, punto 6; Codice V.3.3.1</t>
        </is>
      </c>
      <c r="F203" s="10" t="inlineStr">
        <is>
          <t>ricerca, cap. 16 (testi ufficiali e schede UNI, 2026-10-02)</t>
        </is>
      </c>
      <c r="G203" s="10" t="inlineStr">
        <is>
          <t>confermato</t>
        </is>
      </c>
      <c r="H203" s="10" t="inlineStr">
        <is>
          <t>—</t>
        </is>
      </c>
      <c r="I203" s="11" t="n"/>
      <c r="J203" s="11" t="n"/>
      <c r="K203" s="11" t="n"/>
      <c r="L203" s="11" t="n"/>
      <c r="M203" s="11" t="n"/>
      <c r="N203" s="11" t="n"/>
    </row>
    <row r="204" ht="56" customHeight="1">
      <c r="A204" s="10" t="n">
        <v>202</v>
      </c>
      <c r="B204" s="10" t="inlineStr">
        <is>
          <t>Collaudo: UNI EN 81-73:2020 (comportamento in caso d’incendio)</t>
        </is>
      </c>
      <c r="C204" s="10" t="inlineStr">
        <is>
          <t>UNI EN 81-73:2020</t>
        </is>
      </c>
      <c r="D204" s="10" t="inlineStr">
        <is>
          <t>segnali e comportamento della manovra da verificare sul testo; la norma serve anche da base per migliorare gli esistenti (così la UNI EN 81-73:2005 letta, punto 1)</t>
        </is>
      </c>
      <c r="E204" s="10" t="inlineStr">
        <is>
          <t>UNI EN 81-73:2020</t>
        </is>
      </c>
      <c r="F204" s="10" t="inlineStr">
        <is>
          <t>ricerca, cap. 16 (testi ufficiali e schede UNI, 2026-10-02)</t>
        </is>
      </c>
      <c r="G204" s="10" t="inlineStr">
        <is>
          <t>da verificare</t>
        </is>
      </c>
      <c r="H204" s="10" t="inlineStr">
        <is>
          <t>—</t>
        </is>
      </c>
      <c r="I204" s="11" t="n"/>
      <c r="J204" s="11" t="n"/>
      <c r="K204" s="11" t="n"/>
      <c r="L204" s="11" t="n"/>
      <c r="M204" s="11" t="n"/>
      <c r="N204" s="11" t="n"/>
    </row>
    <row r="205" ht="69" customHeight="1">
      <c r="A205" s="10" t="n">
        <v>203</v>
      </c>
      <c r="B205" s="10" t="inlineStr">
        <is>
          <t>Collaudo: UNI EN 81-76:2025 (evacuazione delle persone con disabilità)</t>
        </is>
      </c>
      <c r="C205" s="10" t="inlineStr">
        <is>
          <t>UNI EN 81-76:2025</t>
        </is>
      </c>
      <c r="D205" s="10" t="inlineStr">
        <is>
          <t>evacuazione delle persone con disabilità con l’ascensore: requisiti aggiuntivi alla EN 81-20 (manovra, alimentazione) da verificare sul testo</t>
        </is>
      </c>
      <c r="E205" s="10" t="inlineStr">
        <is>
          <t>UNI EN 81-76:2025</t>
        </is>
      </c>
      <c r="F205" s="10" t="inlineStr">
        <is>
          <t>ricerca, cap. 16 (testi ufficiali e schede UNI, 2026-10-02)</t>
        </is>
      </c>
      <c r="G205" s="10" t="inlineStr">
        <is>
          <t>da verificare</t>
        </is>
      </c>
      <c r="H205" s="10" t="inlineStr">
        <is>
          <t>—</t>
        </is>
      </c>
      <c r="I205" s="11" t="n"/>
      <c r="J205" s="11" t="n"/>
      <c r="K205" s="11" t="n"/>
      <c r="L205" s="11" t="n"/>
      <c r="M205" s="11" t="n"/>
      <c r="N205" s="11" t="n"/>
    </row>
    <row r="206" ht="56" customHeight="1">
      <c r="A206" s="10" t="n">
        <v>204</v>
      </c>
      <c r="B206" s="10" t="inlineStr">
        <is>
          <t>Collaudo: UNI EN 81-77:2022 (azioni sismiche)</t>
        </is>
      </c>
      <c r="C206" s="10" t="inlineStr">
        <is>
          <t>UNI EN 81-77:2022, 1</t>
        </is>
      </c>
      <c r="D206" s="10" t="inlineStr">
        <is>
          <t>con accelerazione di progetto a_d fino a 1 m/s² nessuna prescrizione specifica; a_d e la posizione dei rilevatori si concordano con il progettista dell’edificio</t>
        </is>
      </c>
      <c r="E206" s="10" t="inlineStr">
        <is>
          <t>UNI EN 81-77:2022, 1</t>
        </is>
      </c>
      <c r="F206" s="10" t="inlineStr">
        <is>
          <t>ricerca, cap. 16 (testi ufficiali e schede UNI, 2026-10-02)</t>
        </is>
      </c>
      <c r="G206" s="10" t="inlineStr">
        <is>
          <t>confermato</t>
        </is>
      </c>
      <c r="H206" s="10" t="inlineStr">
        <is>
          <t>—</t>
        </is>
      </c>
      <c r="I206" s="11" t="n"/>
      <c r="J206" s="11" t="n"/>
      <c r="K206" s="11" t="n"/>
      <c r="L206" s="11" t="n"/>
      <c r="M206" s="11" t="n"/>
      <c r="N206" s="11" t="n"/>
    </row>
    <row r="207" ht="95" customHeight="1">
      <c r="A207" s="10" t="n">
        <v>205</v>
      </c>
      <c r="B207" s="10" t="inlineStr">
        <is>
          <t>Collaudo: UNI EN 81-77:2022 (azioni sismiche)</t>
        </is>
      </c>
      <c r="C207" s="10" t="inlineStr">
        <is>
          <t>UNI EN 81-77:2022, 5.4–5.10, All. A, B, D</t>
        </is>
      </c>
      <c r="D207"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207" s="10" t="inlineStr">
        <is>
          <t>UNI EN 81-77:2022, 5.4–5.10, All. A, B, D</t>
        </is>
      </c>
      <c r="F207" s="10" t="inlineStr">
        <is>
          <t>ricerca, cap. 16 (testi ufficiali e schede UNI, 2026-10-02)</t>
        </is>
      </c>
      <c r="G207" s="10" t="inlineStr">
        <is>
          <t>da verificare</t>
        </is>
      </c>
      <c r="H207" s="10" t="inlineStr">
        <is>
          <t>—</t>
        </is>
      </c>
      <c r="I207" s="11" t="n"/>
      <c r="J207" s="11" t="n"/>
      <c r="K207" s="11" t="n"/>
      <c r="L207" s="11" t="n"/>
      <c r="M207" s="11" t="n"/>
      <c r="N207" s="11" t="n"/>
    </row>
    <row r="208" ht="43" customHeight="1">
      <c r="A208" s="10" t="n">
        <v>206</v>
      </c>
      <c r="B208" s="10" t="inlineStr">
        <is>
          <t>Collaudo: UNI EN 81-77:2022 (azioni sismiche)</t>
        </is>
      </c>
      <c r="C208" s="10" t="inlineStr">
        <is>
          <t>UNI EN 81-77:2022, 0.3</t>
        </is>
      </c>
      <c r="D208" s="10" t="inlineStr">
        <is>
          <t>non si applica agli impianti installati prima della sua pubblicazione</t>
        </is>
      </c>
      <c r="E208" s="10" t="inlineStr">
        <is>
          <t>UNI EN 81-77:2022, 0.3</t>
        </is>
      </c>
      <c r="F208" s="10" t="inlineStr">
        <is>
          <t>ricerca, cap. 16 (testi ufficiali e schede UNI, 2026-10-02)</t>
        </is>
      </c>
      <c r="G208" s="10" t="inlineStr">
        <is>
          <t>confermato</t>
        </is>
      </c>
      <c r="H208" s="10" t="inlineStr">
        <is>
          <t>—</t>
        </is>
      </c>
      <c r="I208" s="11" t="n"/>
      <c r="J208" s="11" t="n"/>
      <c r="K208" s="11" t="n"/>
      <c r="L208" s="11" t="n"/>
      <c r="M208" s="11" t="n"/>
      <c r="N208" s="11" t="n"/>
    </row>
    <row r="209" ht="69" customHeight="1">
      <c r="A209" s="10" t="n">
        <v>207</v>
      </c>
      <c r="B209" s="10" t="inlineStr">
        <is>
          <t>Collaudo: UNI EN 81-80:2019 (miglioramento della sicurezza degli esistenti)</t>
        </is>
      </c>
      <c r="C209" s="10" t="inlineStr">
        <is>
          <t>UNI EN 81-80:2004 e 2009, 1 e appendice A</t>
        </is>
      </c>
      <c r="D209" s="10" t="inlineStr">
        <is>
          <t>analisi dei rischi dell’impianto esistente e piano di miglioramento per priorità; quali misure e in che tempi lo decide la legislazione nazionale, non la norma</t>
        </is>
      </c>
      <c r="E209" s="10" t="inlineStr">
        <is>
          <t>UNI EN 81-80:2004 e 2009, 1 e appendice A</t>
        </is>
      </c>
      <c r="F209" s="10" t="inlineStr">
        <is>
          <t>testo della norma, letto il 2026-10-06 (punti e valori con parole nostre)</t>
        </is>
      </c>
      <c r="G209" s="10" t="inlineStr">
        <is>
          <t>confermato</t>
        </is>
      </c>
      <c r="H209" s="10" t="inlineStr">
        <is>
          <t>—</t>
        </is>
      </c>
      <c r="I209" s="11" t="n"/>
      <c r="J209" s="11" t="n"/>
      <c r="K209" s="11" t="n"/>
      <c r="L209" s="11" t="n"/>
      <c r="M209" s="11" t="n"/>
      <c r="N209" s="11" t="n"/>
    </row>
    <row r="210" ht="69" customHeight="1">
      <c r="A210" s="10" t="n">
        <v>208</v>
      </c>
      <c r="B210" s="10" t="inlineStr">
        <is>
          <t>Collaudo: UNI EN 81-80:2019 (miglioramento della sicurezza degli esistenti)</t>
        </is>
      </c>
      <c r="C210" s="10" t="inlineStr">
        <is>
          <t>UNI EN 81-80:2019</t>
        </is>
      </c>
      <c r="D210" s="10" t="inlineStr">
        <is>
          <t>la stessa analisi nell’edizione in vigore, con una struttura diversa: da verificare sul testo</t>
        </is>
      </c>
      <c r="E210" s="10" t="inlineStr">
        <is>
          <t>UNI EN 81-80:2019</t>
        </is>
      </c>
      <c r="F210" s="10" t="inlineStr">
        <is>
          <t>ricerca, cap. 16 (testi ufficiali e schede UNI, 2026-10-02)</t>
        </is>
      </c>
      <c r="G210" s="10" t="inlineStr">
        <is>
          <t>da verificare</t>
        </is>
      </c>
      <c r="H210" s="10" t="inlineStr">
        <is>
          <t>—</t>
        </is>
      </c>
      <c r="I210" s="11" t="n"/>
      <c r="J210" s="11" t="n"/>
      <c r="K210" s="11" t="n"/>
      <c r="L210" s="11" t="n"/>
      <c r="M210" s="11" t="n"/>
      <c r="N210" s="11" t="n"/>
    </row>
    <row r="211" ht="56" customHeight="1">
      <c r="A211" s="10" t="n">
        <v>209</v>
      </c>
      <c r="B211" s="10" t="inlineStr">
        <is>
          <t>Collaudo: UNI EN 81-82:2026 (accessibilità degli esistenti)</t>
        </is>
      </c>
      <c r="C211" s="10" t="inlineStr">
        <is>
          <t>UNI EN 81-82:2026</t>
        </is>
      </c>
      <c r="D211" s="10" t="inlineStr">
        <is>
          <t>miglioramento dell’accessibilità di un impianto esistente secondo i requisiti della EN 81-70</t>
        </is>
      </c>
      <c r="E211" s="10" t="inlineStr">
        <is>
          <t>UNI EN 81-82:2026</t>
        </is>
      </c>
      <c r="F211" s="10" t="inlineStr">
        <is>
          <t>ricerca, cap. 16 (testi ufficiali e schede UNI, 2026-10-02)</t>
        </is>
      </c>
      <c r="G211" s="10" t="inlineStr">
        <is>
          <t>confermato</t>
        </is>
      </c>
      <c r="H211" s="10" t="inlineStr">
        <is>
          <t>—</t>
        </is>
      </c>
      <c r="I211" s="11" t="n"/>
      <c r="J211" s="11" t="n"/>
      <c r="K211" s="11" t="n"/>
      <c r="L211" s="11" t="n"/>
      <c r="M211" s="11" t="n"/>
      <c r="N211" s="11" t="n"/>
    </row>
    <row r="212" ht="56" customHeight="1">
      <c r="A212" s="10" t="n">
        <v>210</v>
      </c>
      <c r="B212" s="10" t="inlineStr">
        <is>
          <t>Collaudo: UNI EN 81-83:2026 (antivandalo degli esistenti)</t>
        </is>
      </c>
      <c r="C212" s="10" t="inlineStr">
        <is>
          <t>UNI EN 81-83:2026</t>
        </is>
      </c>
      <c r="D212" s="10" t="inlineStr">
        <is>
          <t>miglioramento della resistenza agli atti vandalici di un impianto esistente secondo la EN 81-71:2022 (voce 1.2 della Tab. A.1 della EN 81-80)</t>
        </is>
      </c>
      <c r="E212" s="10" t="inlineStr">
        <is>
          <t>UNI EN 81-83:2026</t>
        </is>
      </c>
      <c r="F212" s="10" t="inlineStr">
        <is>
          <t>ricerca, cap. 16 (testi ufficiali e schede UNI, 2026-10-02)</t>
        </is>
      </c>
      <c r="G212" s="10" t="inlineStr">
        <is>
          <t>confermato</t>
        </is>
      </c>
      <c r="H212" s="10" t="inlineStr">
        <is>
          <t>—</t>
        </is>
      </c>
      <c r="I212" s="11" t="n"/>
      <c r="J212" s="11" t="n"/>
      <c r="K212" s="11" t="n"/>
      <c r="L212" s="11" t="n"/>
      <c r="M212" s="11" t="n"/>
      <c r="N212" s="11" t="n"/>
    </row>
    <row r="213" ht="82" customHeight="1">
      <c r="A213" s="10" t="n">
        <v>211</v>
      </c>
      <c r="B213" s="10" t="inlineStr">
        <is>
          <t>Collaudo: DM 236/1989 (barriere architettoniche)</t>
        </is>
      </c>
      <c r="C213" s="10" t="inlineStr">
        <is>
          <t>DM 236/1989, 8.1.12</t>
        </is>
      </c>
      <c r="D213" s="10" t="inlineStr">
        <is>
          <t>piattaforma di distribuzione davanti alla porta di cabina: 1,50 × 1,50 m negli edifici nuovi, 1,40 × 1,40 m nell’adeguamento (fuori dal vano: in sito)</t>
        </is>
      </c>
      <c r="E213" s="10" t="inlineStr">
        <is>
          <t>DM 236/1989, 8.1.12</t>
        </is>
      </c>
      <c r="F213" s="10" t="inlineStr">
        <is>
          <t>testo ufficiale del DM 236/1989</t>
        </is>
      </c>
      <c r="G213" s="10" t="inlineStr">
        <is>
          <t>confermato</t>
        </is>
      </c>
      <c r="H213" s="10" t="inlineStr">
        <is>
          <t>cabina minima (DM 236/1989); porta minima (DM 236/1989); porta sul lato corto; motivazione del caso c) (DM 236/1989); pulsanti più alti delle bottoniere (DM 236/1989)</t>
        </is>
      </c>
      <c r="I213" s="11" t="n"/>
      <c r="J213" s="11" t="n"/>
      <c r="K213" s="11" t="n"/>
      <c r="L213" s="11" t="n"/>
      <c r="M213" s="11" t="n"/>
      <c r="N213" s="11" t="n"/>
    </row>
    <row r="214" ht="82" customHeight="1">
      <c r="A214" s="10" t="n">
        <v>212</v>
      </c>
      <c r="B214" s="10" t="inlineStr">
        <is>
          <t>Collaudo: DM 236/1989 (barriere architettoniche)</t>
        </is>
      </c>
      <c r="C214" s="10" t="inlineStr">
        <is>
          <t>DM 236/1989, 8.1.12</t>
        </is>
      </c>
      <c r="D214" s="10" t="inlineStr">
        <is>
          <t>porte di cabina e di piano a scorrimento automatico (nell’adeguamento la porta di piano può essere a battente se ad apertura automatica); porte aperte almeno 8 s, chiusura in almeno 4 s</t>
        </is>
      </c>
      <c r="E214" s="10" t="inlineStr">
        <is>
          <t>DM 236/1989, 8.1.12</t>
        </is>
      </c>
      <c r="F214" s="10" t="inlineStr">
        <is>
          <t>testo ufficiale del DM 236/1989</t>
        </is>
      </c>
      <c r="G214" s="10" t="inlineStr">
        <is>
          <t>confermato</t>
        </is>
      </c>
      <c r="H214" s="10" t="inlineStr">
        <is>
          <t>cabina minima (DM 236/1989); porta minima (DM 236/1989); porta sul lato corto; motivazione del caso c) (DM 236/1989); pulsanti più alti delle bottoniere (DM 236/1989)</t>
        </is>
      </c>
      <c r="I214" s="11" t="n"/>
      <c r="J214" s="11" t="n"/>
      <c r="K214" s="11" t="n"/>
      <c r="L214" s="11" t="n"/>
      <c r="M214" s="11" t="n"/>
      <c r="N214" s="11" t="n"/>
    </row>
    <row r="215" ht="82" customHeight="1">
      <c r="A215" s="10" t="n">
        <v>213</v>
      </c>
      <c r="B215" s="10" t="inlineStr">
        <is>
          <t>Collaudo: DM 236/1989 (barriere architettoniche)</t>
        </is>
      </c>
      <c r="C215" s="10" t="inlineStr">
        <is>
          <t>DM 236/1989, 8.1.12</t>
        </is>
      </c>
      <c r="D215" s="10" t="inlineStr">
        <is>
          <t>arresto ai piani con autolivellamento entro ± 2 cm; sosta ai piani con le porte chiuse</t>
        </is>
      </c>
      <c r="E215" s="10" t="inlineStr">
        <is>
          <t>DM 236/1989, 8.1.12</t>
        </is>
      </c>
      <c r="F215" s="10" t="inlineStr">
        <is>
          <t>testo ufficiale del DM 236/1989</t>
        </is>
      </c>
      <c r="G215" s="10" t="inlineStr">
        <is>
          <t>confermato</t>
        </is>
      </c>
      <c r="H215" s="10" t="inlineStr">
        <is>
          <t>cabina minima (DM 236/1989); porta minima (DM 236/1989); porta sul lato corto; motivazione del caso c) (DM 236/1989); pulsanti più alti delle bottoniere (DM 236/1989)</t>
        </is>
      </c>
      <c r="I215" s="11" t="n"/>
      <c r="J215" s="11" t="n"/>
      <c r="K215" s="11" t="n"/>
      <c r="L215" s="11" t="n"/>
      <c r="M215" s="11" t="n"/>
      <c r="N215" s="11" t="n"/>
    </row>
    <row r="216" ht="82" customHeight="1">
      <c r="A216" s="10" t="n">
        <v>214</v>
      </c>
      <c r="B216" s="10" t="inlineStr">
        <is>
          <t>Collaudo: DM 236/1989 (barriere architettoniche)</t>
        </is>
      </c>
      <c r="C216" s="10" t="inlineStr">
        <is>
          <t>DM 236/1989, 8.1.12 e 8.0.1</t>
        </is>
      </c>
      <c r="D216" s="10" t="inlineStr">
        <is>
          <t>pulsanti di cabina e di piano: il più alto tra 1,10 e 1,40 m, misurato all’asse del comando; bottoniera di cabina su una parete laterale ad almeno 0,35 m dalla porta</t>
        </is>
      </c>
      <c r="E216" s="10" t="inlineStr">
        <is>
          <t>DM 236/1989, 8.1.12 e 8.0.1</t>
        </is>
      </c>
      <c r="F216" s="10" t="inlineStr">
        <is>
          <t>testo ufficiale del DM 236/1989</t>
        </is>
      </c>
      <c r="G216" s="10" t="inlineStr">
        <is>
          <t>confermato</t>
        </is>
      </c>
      <c r="H216" s="10" t="inlineStr">
        <is>
          <t>cabina minima (DM 236/1989); porta minima (DM 236/1989); porta sul lato corto; motivazione del caso c) (DM 236/1989); pulsanti più alti delle bottoniere (DM 236/1989)</t>
        </is>
      </c>
      <c r="I216" s="11" t="n"/>
      <c r="J216" s="11" t="n"/>
      <c r="K216" s="11" t="n"/>
      <c r="L216" s="11" t="n"/>
      <c r="M216" s="11" t="n"/>
      <c r="N216" s="11" t="n"/>
    </row>
    <row r="217" ht="95" customHeight="1">
      <c r="A217" s="10" t="n">
        <v>215</v>
      </c>
      <c r="B217" s="10" t="inlineStr">
        <is>
          <t>Collaudo: DM 236/1989 (barriere architettoniche)</t>
        </is>
      </c>
      <c r="C217" s="10" t="inlineStr">
        <is>
          <t>DM 236/1989, 8.1.12 e 4.1.12</t>
        </is>
      </c>
      <c r="D217"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17" s="10" t="inlineStr">
        <is>
          <t>DM 236/1989, 8.1.12 e 4.1.12</t>
        </is>
      </c>
      <c r="F217" s="10" t="inlineStr">
        <is>
          <t>testo ufficiale del DM 236/1989</t>
        </is>
      </c>
      <c r="G217" s="10" t="inlineStr">
        <is>
          <t>confermato</t>
        </is>
      </c>
      <c r="H217" s="10" t="inlineStr">
        <is>
          <t>cabina minima (DM 236/1989); porta minima (DM 236/1989); porta sul lato corto; motivazione del caso c) (DM 236/1989); pulsanti più alti delle bottoniere (DM 236/1989)</t>
        </is>
      </c>
      <c r="I217" s="11" t="n"/>
      <c r="J217" s="11" t="n"/>
      <c r="K217" s="11" t="n"/>
      <c r="L217" s="11" t="n"/>
      <c r="M217" s="11" t="n"/>
      <c r="N217" s="11" t="n"/>
    </row>
    <row r="218" ht="82" customHeight="1">
      <c r="A218" s="10" t="n">
        <v>216</v>
      </c>
      <c r="B218" s="10" t="inlineStr">
        <is>
          <t>Collaudo: DM 236/1989 (barriere architettoniche)</t>
        </is>
      </c>
      <c r="C218" s="10" t="inlineStr">
        <is>
          <t>DM 236/1989, 3.2; L. 13/1989, art. 1 c.3 lett. d)</t>
        </is>
      </c>
      <c r="D218" s="10" t="inlineStr">
        <is>
          <t>ascensore obbligatorio oltre il terzo livello (contati interrati e porticati); negli immobili con più di tre livelli fuori terra un ascensore per ogni scala principale</t>
        </is>
      </c>
      <c r="E218" s="10" t="inlineStr">
        <is>
          <t>DM 236/1989, 3.2; L. 13/1989, art. 1 c.3 lett. d)</t>
        </is>
      </c>
      <c r="F218" s="10" t="inlineStr">
        <is>
          <t>testo ufficiale del DM 236/1989; L. 13/1989: ricerca, cap. 16</t>
        </is>
      </c>
      <c r="G218" s="10" t="inlineStr">
        <is>
          <t>confermato</t>
        </is>
      </c>
      <c r="H218" s="10" t="inlineStr">
        <is>
          <t>cabina minima (DM 236/1989); porta minima (DM 236/1989); porta sul lato corto; motivazione del caso c) (DM 236/1989); pulsanti più alti delle bottoniere (DM 236/1989)</t>
        </is>
      </c>
      <c r="I218" s="11" t="n"/>
      <c r="J218" s="11" t="n"/>
      <c r="K218" s="11" t="n"/>
      <c r="L218" s="11" t="n"/>
      <c r="M218" s="11" t="n"/>
      <c r="N218" s="11" t="n"/>
    </row>
    <row r="219" ht="82" customHeight="1">
      <c r="A219" s="10" t="n">
        <v>217</v>
      </c>
      <c r="B219" s="10" t="inlineStr">
        <is>
          <t>Collaudo: DM 236/1989 (barriere architettoniche)</t>
        </is>
      </c>
      <c r="C219" s="10" t="inlineStr">
        <is>
          <t>DM 236/1989, 7.5; DPR 503/1996, art. 19</t>
        </is>
      </c>
      <c r="D219" s="10" t="inlineStr">
        <is>
          <t>nelle ristrutturazioni deroghe per impossibilità tecnica strutturale o impiantistica (privati: concesse dal Sindaco); edifici vincolati: deroga se le opere pregiudicano il bene</t>
        </is>
      </c>
      <c r="E219" s="10" t="inlineStr">
        <is>
          <t>DM 236/1989, 7.5; DPR 503/1996, art. 19</t>
        </is>
      </c>
      <c r="F219" s="10" t="inlineStr">
        <is>
          <t>testo ufficiale del DM 236/1989; DPR 503/1996: ricerca, cap. 16</t>
        </is>
      </c>
      <c r="G219" s="10" t="inlineStr">
        <is>
          <t>confermato</t>
        </is>
      </c>
      <c r="H219" s="10" t="inlineStr">
        <is>
          <t>cabina minima (DM 236/1989); porta minima (DM 236/1989); porta sul lato corto; motivazione del caso c) (DM 236/1989); pulsanti più alti delle bottoniere (DM 236/1989)</t>
        </is>
      </c>
      <c r="I219" s="11" t="n"/>
      <c r="J219" s="11" t="n"/>
      <c r="K219" s="11" t="n"/>
      <c r="L219" s="11" t="n"/>
      <c r="M219" s="11" t="n"/>
      <c r="N219" s="11" t="n"/>
    </row>
    <row r="220" ht="69" customHeight="1">
      <c r="A220" s="10" t="n">
        <v>218</v>
      </c>
      <c r="B220" s="10" t="inlineStr">
        <is>
          <t>Collaudo: DM 15/09/2005 o Codice di prevenzione incendi, RTV V.3 (antincendio)</t>
        </is>
      </c>
      <c r="C220" s="10" t="inlineStr">
        <is>
          <t>DM 3/8/2015, art. 5 c.1-bis lett. e)</t>
        </is>
      </c>
      <c r="D220" s="10" t="inlineStr">
        <is>
          <t>il progettista applica il DM 15/09/2005 oppure la RTV V.3 del Codice: dove si usa il Codice il DM 2005 non si applica</t>
        </is>
      </c>
      <c r="E220" s="10" t="inlineStr">
        <is>
          <t>DM 3/8/2015, art. 5 c.1-bis lett. e)</t>
        </is>
      </c>
      <c r="F220" s="10" t="inlineStr">
        <is>
          <t>ricerca, cap. 16 (testi ufficiali e schede UNI, 2026-10-02)</t>
        </is>
      </c>
      <c r="G220" s="10" t="inlineStr">
        <is>
          <t>confermato</t>
        </is>
      </c>
      <c r="H220" s="10" t="inlineStr">
        <is>
          <t>—</t>
        </is>
      </c>
      <c r="I220" s="11" t="n"/>
      <c r="J220" s="11" t="n"/>
      <c r="K220" s="11" t="n"/>
      <c r="L220" s="11" t="n"/>
      <c r="M220" s="11" t="n"/>
      <c r="N220" s="11" t="n"/>
    </row>
    <row r="221" ht="95" customHeight="1">
      <c r="A221" s="10" t="n">
        <v>219</v>
      </c>
      <c r="B221" s="10" t="inlineStr">
        <is>
          <t>Collaudo: DM 15/09/2005 o Codice di prevenzione incendi, RTV V.3 (antincendio)</t>
        </is>
      </c>
      <c r="C221" s="10" t="inlineStr">
        <is>
          <t>DM 15/09/2005, art. 1 c.2</t>
        </is>
      </c>
      <c r="D221"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21" s="10" t="inlineStr">
        <is>
          <t>DM 15/09/2005, art. 1 c.2</t>
        </is>
      </c>
      <c r="F221" s="10" t="inlineStr">
        <is>
          <t>ricerca, cap. 16 (testi ufficiali e schede UNI, 2026-10-02)</t>
        </is>
      </c>
      <c r="G221" s="10" t="inlineStr">
        <is>
          <t>confermato</t>
        </is>
      </c>
      <c r="H221" s="10" t="inlineStr">
        <is>
          <t>—</t>
        </is>
      </c>
      <c r="I221" s="11" t="n"/>
      <c r="J221" s="11" t="n"/>
      <c r="K221" s="11" t="n"/>
      <c r="L221" s="11" t="n"/>
      <c r="M221" s="11" t="n"/>
      <c r="N221" s="11" t="n"/>
    </row>
    <row r="222" ht="69" customHeight="1">
      <c r="A222" s="10" t="n">
        <v>220</v>
      </c>
      <c r="B222" s="10" t="inlineStr">
        <is>
          <t>Collaudo: DM 15/09/2005 o Codice di prevenzione incendi, RTV V.3 (antincendio)</t>
        </is>
      </c>
      <c r="C222" s="10" t="inlineStr">
        <is>
          <t>DM 15/09/2005, 3.1–3.3; Codice V.3.2</t>
        </is>
      </c>
      <c r="D222" s="10" t="inlineStr">
        <is>
          <t>tipo di vano: aperto, protetto o a prova di fumo (Codice: classi da SA a SE)</t>
        </is>
      </c>
      <c r="E222" s="10" t="inlineStr">
        <is>
          <t>DM 15/09/2005, 3.1–3.3; Codice V.3.2</t>
        </is>
      </c>
      <c r="F222" s="10" t="inlineStr">
        <is>
          <t>ricerca, cap. 16 (testi ufficiali e schede UNI, 2026-10-02)</t>
        </is>
      </c>
      <c r="G222" s="10" t="inlineStr">
        <is>
          <t>confermato</t>
        </is>
      </c>
      <c r="H222" s="10" t="inlineStr">
        <is>
          <t>—</t>
        </is>
      </c>
      <c r="I222" s="11" t="n"/>
      <c r="J222" s="11" t="n"/>
      <c r="K222" s="11" t="n"/>
      <c r="L222" s="11" t="n"/>
      <c r="M222" s="11" t="n"/>
      <c r="N222" s="11" t="n"/>
    </row>
    <row r="223" ht="69" customHeight="1">
      <c r="A223" s="10" t="n">
        <v>221</v>
      </c>
      <c r="B223" s="10" t="inlineStr">
        <is>
          <t>Collaudo: DM 15/09/2005 o Codice di prevenzione incendi, RTV V.3 (antincendio)</t>
        </is>
      </c>
      <c r="C223" s="10" t="inlineStr">
        <is>
          <t>DM 15/09/2005, punto 2</t>
        </is>
      </c>
      <c r="D223" s="10" t="inlineStr">
        <is>
          <t>pareti del vano, locale macchina e pulegge, setti e arcata non combustibili; pareti, pavimento e tetto della cabina in classe di reazione al fuoco non oltre 1</t>
        </is>
      </c>
      <c r="E223" s="10" t="inlineStr">
        <is>
          <t>DM 15/09/2005, punto 2</t>
        </is>
      </c>
      <c r="F223" s="10" t="inlineStr">
        <is>
          <t>ricerca, cap. 16 (testi ufficiali e schede UNI, 2026-10-02)</t>
        </is>
      </c>
      <c r="G223" s="10" t="inlineStr">
        <is>
          <t>confermato</t>
        </is>
      </c>
      <c r="H223" s="10" t="inlineStr">
        <is>
          <t>—</t>
        </is>
      </c>
      <c r="I223" s="11" t="n"/>
      <c r="J223" s="11" t="n"/>
      <c r="K223" s="11" t="n"/>
      <c r="L223" s="11" t="n"/>
      <c r="M223" s="11" t="n"/>
      <c r="N223" s="11" t="n"/>
    </row>
    <row r="224" ht="108" customHeight="1">
      <c r="A224" s="10" t="n">
        <v>222</v>
      </c>
      <c r="B224" s="10" t="inlineStr">
        <is>
          <t>Collaudo: DM 15/09/2005 o Codice di prevenzione incendi, RTV V.3 (antincendio)</t>
        </is>
      </c>
      <c r="C224" s="10" t="inlineStr">
        <is>
          <t>DM 15/03/2005 (tabella di confronto); UNI EN 81-20:2020, 5.4.4</t>
        </is>
      </c>
      <c r="D224"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24" s="10" t="inlineStr">
        <is>
          <t>DM 15/03/2005 (tabella di confronto); UNI EN 81-20:2020, 5.4.4</t>
        </is>
      </c>
      <c r="F224" s="10" t="inlineStr">
        <is>
          <t>ricerca, cap. 16 (testi ufficiali e schede UNI, 2026-10-02)</t>
        </is>
      </c>
      <c r="G224" s="10" t="inlineStr">
        <is>
          <t>da verificare</t>
        </is>
      </c>
      <c r="H224" s="10" t="inlineStr">
        <is>
          <t>—</t>
        </is>
      </c>
      <c r="I224" s="11" t="n"/>
      <c r="J224" s="11" t="n"/>
      <c r="K224" s="11" t="n"/>
      <c r="L224" s="11" t="n"/>
      <c r="M224" s="11" t="n"/>
      <c r="N224" s="11" t="n"/>
    </row>
    <row r="225" ht="82" customHeight="1">
      <c r="A225" s="10" t="n">
        <v>223</v>
      </c>
      <c r="B225" s="10" t="inlineStr">
        <is>
          <t>Collaudo: DM 15/09/2005 o Codice di prevenzione incendi, RTV V.3 (antincendio)</t>
        </is>
      </c>
      <c r="C225" s="10" t="inlineStr">
        <is>
          <t>DM 15/09/2005, punto 5</t>
        </is>
      </c>
      <c r="D225"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25" s="10" t="inlineStr">
        <is>
          <t>DM 15/09/2005, punto 5</t>
        </is>
      </c>
      <c r="F225" s="10" t="inlineStr">
        <is>
          <t>ricerca, cap. 16 (testi ufficiali e schede UNI, 2026-10-02)</t>
        </is>
      </c>
      <c r="G225" s="10" t="inlineStr">
        <is>
          <t>confermato</t>
        </is>
      </c>
      <c r="H225" s="10" t="inlineStr">
        <is>
          <t>—</t>
        </is>
      </c>
      <c r="I225" s="11" t="n"/>
      <c r="J225" s="11" t="n"/>
      <c r="K225" s="11" t="n"/>
      <c r="L225" s="11" t="n"/>
      <c r="M225" s="11" t="n"/>
      <c r="N225" s="11" t="n"/>
    </row>
    <row r="226" ht="69" customHeight="1">
      <c r="A226" s="10" t="n">
        <v>224</v>
      </c>
      <c r="B226" s="10" t="inlineStr">
        <is>
          <t>Collaudo: DM 15/09/2005 o Codice di prevenzione incendi, RTV V.3 (antincendio)</t>
        </is>
      </c>
      <c r="C226" s="10" t="inlineStr">
        <is>
          <t>DM 15/09/2005, punto 6; Codice V.3.3.1 c.5</t>
        </is>
      </c>
      <c r="D226" s="10" t="inlineStr">
        <is>
          <t>estintore 21A89BC vicino all’accesso al macchinario; richiamo della cabina al piano prestabilito su comando della rivelazione quando la compartimentazione lo richiede</t>
        </is>
      </c>
      <c r="E226" s="10" t="inlineStr">
        <is>
          <t>DM 15/09/2005, punto 6; Codice V.3.3.1 c.5</t>
        </is>
      </c>
      <c r="F226" s="10" t="inlineStr">
        <is>
          <t>ricerca, cap. 16 (testi ufficiali e schede UNI, 2026-10-02)</t>
        </is>
      </c>
      <c r="G226" s="10" t="inlineStr">
        <is>
          <t>confermato</t>
        </is>
      </c>
      <c r="H226" s="10" t="inlineStr">
        <is>
          <t>—</t>
        </is>
      </c>
      <c r="I226" s="11" t="n"/>
      <c r="J226" s="11" t="n"/>
      <c r="K226" s="11" t="n"/>
      <c r="L226" s="11" t="n"/>
      <c r="M226" s="11" t="n"/>
      <c r="N226" s="11" t="n"/>
    </row>
    <row r="227" ht="69" customHeight="1">
      <c r="A227" s="10" t="n">
        <v>225</v>
      </c>
      <c r="B227" s="10" t="inlineStr">
        <is>
          <t>Collaudo: DM 15/09/2005 o Codice di prevenzione incendi, RTV V.3 (antincendio)</t>
        </is>
      </c>
      <c r="C227" s="10" t="inlineStr">
        <is>
          <t>Codice S.9, Tab. S.9-3</t>
        </is>
      </c>
      <c r="D227" s="10" t="inlineStr">
        <is>
          <t>piani tra 32 e 54 m: almeno un ascensore antincendio; oltre 54 m: almeno uno di soccorso; interrati tra −10 e −15 m: antincendio; sotto −15 m: soccorso</t>
        </is>
      </c>
      <c r="E227" s="10" t="inlineStr">
        <is>
          <t>Codice S.9, Tab. S.9-3</t>
        </is>
      </c>
      <c r="F227" s="10" t="inlineStr">
        <is>
          <t>ricerca, cap. 16 (testi ufficiali e schede UNI, 2026-10-02)</t>
        </is>
      </c>
      <c r="G227" s="10" t="inlineStr">
        <is>
          <t>confermato</t>
        </is>
      </c>
      <c r="H227" s="10" t="inlineStr">
        <is>
          <t>—</t>
        </is>
      </c>
      <c r="I227" s="11" t="n"/>
      <c r="J227" s="11" t="n"/>
      <c r="K227" s="11" t="n"/>
      <c r="L227" s="11" t="n"/>
      <c r="M227" s="11" t="n"/>
      <c r="N227" s="11" t="n"/>
    </row>
    <row r="228" ht="82" customHeight="1">
      <c r="A228" s="10" t="n">
        <v>226</v>
      </c>
      <c r="B228" s="10" t="inlineStr">
        <is>
          <t>Collaudo: NTC 2018 (strutture e azioni sismiche)</t>
        </is>
      </c>
      <c r="C228" s="10" t="inlineStr">
        <is>
          <t>NTC 2018, §3.1.4</t>
        </is>
      </c>
      <c r="D228" s="10" t="inlineStr">
        <is>
          <t>carichi del macchinario valutati caso per caso sui massimi prevedibili e riportati nel progetto e nel collaudo statico</t>
        </is>
      </c>
      <c r="E228" s="10" t="inlineStr">
        <is>
          <t>NTC 2018, §3.1.4</t>
        </is>
      </c>
      <c r="F228" s="10" t="inlineStr">
        <is>
          <t>ricerca, cap. 16 (testi ufficiali e schede UNI, 2026-10-02)</t>
        </is>
      </c>
      <c r="G228" s="10" t="inlineStr">
        <is>
          <t>confermato</t>
        </is>
      </c>
      <c r="H228" s="10" t="inlineStr">
        <is>
          <t>tensione nelle putrelle sotto l’argano; freccia delle putrelle sotto l’argano; tensione nelle putrelle HEB sui muri del vano; freccia delle putrelle HEB sui muri del vano</t>
        </is>
      </c>
      <c r="I228" s="11" t="n"/>
      <c r="J228" s="11" t="n"/>
      <c r="K228" s="11" t="n"/>
      <c r="L228" s="11" t="n"/>
      <c r="M228" s="11" t="n"/>
      <c r="N228" s="11" t="n"/>
    </row>
    <row r="229" ht="82" customHeight="1">
      <c r="A229" s="10" t="n">
        <v>227</v>
      </c>
      <c r="B229" s="10" t="inlineStr">
        <is>
          <t>Collaudo: NTC 2018 (strutture e azioni sismiche)</t>
        </is>
      </c>
      <c r="C229" s="10" t="inlineStr">
        <is>
          <t>NTC 2018, §8.4.1</t>
        </is>
      </c>
      <c r="D229" s="10" t="inlineStr">
        <is>
          <t>su un edificio esistente l’intervento è locale: verifica limitata alle parti interessate, senza ridurre la sicurezza preesistente</t>
        </is>
      </c>
      <c r="E229" s="10" t="inlineStr">
        <is>
          <t>NTC 2018, §8.4.1</t>
        </is>
      </c>
      <c r="F229" s="10" t="inlineStr">
        <is>
          <t>ricerca, cap. 16 (testi ufficiali e schede UNI, 2026-10-02)</t>
        </is>
      </c>
      <c r="G229" s="10" t="inlineStr">
        <is>
          <t>confermato</t>
        </is>
      </c>
      <c r="H229" s="10" t="inlineStr">
        <is>
          <t>tensione nelle putrelle sotto l’argano; freccia delle putrelle sotto l’argano; tensione nelle putrelle HEB sui muri del vano; freccia delle putrelle HEB sui muri del vano</t>
        </is>
      </c>
      <c r="I229" s="11" t="n"/>
      <c r="J229" s="11" t="n"/>
      <c r="K229" s="11" t="n"/>
      <c r="L229" s="11" t="n"/>
      <c r="M229" s="11" t="n"/>
      <c r="N229" s="11" t="n"/>
    </row>
    <row r="230" ht="82" customHeight="1">
      <c r="A230" s="10" t="n">
        <v>228</v>
      </c>
      <c r="B230" s="10" t="inlineStr">
        <is>
          <t>Collaudo: NTC 2018 (strutture e azioni sismiche)</t>
        </is>
      </c>
      <c r="C230" s="10" t="inlineStr">
        <is>
          <t>NTC 2018, §11.4.1</t>
        </is>
      </c>
      <c r="D230" s="10" t="inlineStr">
        <is>
          <t>ancoranti per uso strutturale qualificati; con azioni sismiche categoria C2 per tutte le classi d’uso</t>
        </is>
      </c>
      <c r="E230" s="10" t="inlineStr">
        <is>
          <t>NTC 2018, §11.4.1</t>
        </is>
      </c>
      <c r="F230" s="10" t="inlineStr">
        <is>
          <t>ricerca, cap. 16 (testi ufficiali e schede UNI, 2026-10-02)</t>
        </is>
      </c>
      <c r="G230" s="10" t="inlineStr">
        <is>
          <t>confermato</t>
        </is>
      </c>
      <c r="H230" s="10" t="inlineStr">
        <is>
          <t>tensione nelle putrelle sotto l’argano; freccia delle putrelle sotto l’argano; tensione nelle putrelle HEB sui muri del vano; freccia delle putrelle HEB sui muri del vano</t>
        </is>
      </c>
      <c r="I230" s="11" t="n"/>
      <c r="J230" s="11" t="n"/>
      <c r="K230" s="11" t="n"/>
      <c r="L230" s="11" t="n"/>
      <c r="M230" s="11" t="n"/>
      <c r="N230" s="11" t="n"/>
    </row>
    <row r="231" ht="108" customHeight="1">
      <c r="A231" s="10" t="n">
        <v>229</v>
      </c>
      <c r="B231" s="10" t="inlineStr">
        <is>
          <t>Collaudo: NTC 2018 (strutture e azioni sismiche)</t>
        </is>
      </c>
      <c r="C231" s="10" t="inlineStr">
        <is>
          <t>NTC 2018, §7.2.3–7.2.4</t>
        </is>
      </c>
      <c r="D231"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31" s="10" t="inlineStr">
        <is>
          <t>NTC 2018, §7.2.3–7.2.4</t>
        </is>
      </c>
      <c r="F231" s="10" t="inlineStr">
        <is>
          <t>ricerca, cap. 16 (testi ufficiali e schede UNI, 2026-10-02)</t>
        </is>
      </c>
      <c r="G231" s="10" t="inlineStr">
        <is>
          <t>confermato</t>
        </is>
      </c>
      <c r="H231" s="10" t="inlineStr">
        <is>
          <t>tensione nelle putrelle sotto l’argano; freccia delle putrelle sotto l’argano; tensione nelle putrelle HEB sui muri del vano; freccia delle putrelle HEB sui muri del vano</t>
        </is>
      </c>
      <c r="I231" s="11" t="n"/>
      <c r="J231" s="11" t="n"/>
      <c r="K231" s="11" t="n"/>
      <c r="L231" s="11" t="n"/>
      <c r="M231" s="11" t="n"/>
      <c r="N231" s="11" t="n"/>
    </row>
    <row r="232" ht="82" customHeight="1">
      <c r="A232" s="10" t="n">
        <v>230</v>
      </c>
      <c r="B232" s="10" t="inlineStr">
        <is>
          <t>Collaudo: NTC 2018 (strutture e azioni sismiche)</t>
        </is>
      </c>
      <c r="C232" s="10" t="inlineStr">
        <is>
          <t>NTC 2018, Tab. 7.3.III e §7.3.6.3</t>
        </is>
      </c>
      <c r="D232" s="10" t="inlineStr">
        <is>
          <t>impianti: stabilità allo SLV per tutte le classi d’uso; nelle classi III e IV anche funzionamento allo SLO</t>
        </is>
      </c>
      <c r="E232" s="10" t="inlineStr">
        <is>
          <t>NTC 2018, Tab. 7.3.III e §7.3.6.3</t>
        </is>
      </c>
      <c r="F232" s="10" t="inlineStr">
        <is>
          <t>ricerca, cap. 16 (testi ufficiali e schede UNI, 2026-10-02)</t>
        </is>
      </c>
      <c r="G232" s="10" t="inlineStr">
        <is>
          <t>confermato</t>
        </is>
      </c>
      <c r="H232" s="10" t="inlineStr">
        <is>
          <t>tensione nelle putrelle sotto l’argano; freccia delle putrelle sotto l’argano; tensione nelle putrelle HEB sui muri del vano; freccia delle putrelle HEB sui muri del vano</t>
        </is>
      </c>
      <c r="I232" s="11" t="n"/>
      <c r="J232" s="11" t="n"/>
      <c r="K232" s="11" t="n"/>
      <c r="L232" s="11" t="n"/>
      <c r="M232" s="11" t="n"/>
      <c r="N232" s="11" t="n"/>
    </row>
  </sheetData>
  <autoFilter ref="A1:N232"/>
  <dataValidations count="1">
    <dataValidation sqref="I3:I232"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COUNTIF(Voci!$G$3:$G$232,"da verificare")</f>
        <v/>
      </c>
    </row>
    <row r="5">
      <c r="A5" s="6" t="inlineStr">
        <is>
          <t>confermato</t>
        </is>
      </c>
      <c r="B5" s="6">
        <f>COUNTIF(Voci!$G$3:$G$232,"confermato")</f>
        <v/>
      </c>
    </row>
    <row r="6">
      <c r="A6" s="6" t="inlineStr">
        <is>
          <t>scelta del software</t>
        </is>
      </c>
      <c r="B6" s="6">
        <f>COUNTIF(Voci!$G$3:$G$232,"scelta del software")</f>
        <v/>
      </c>
    </row>
    <row r="7">
      <c r="A7" s="6" t="inlineStr">
        <is>
          <t>stima</t>
        </is>
      </c>
      <c r="B7" s="6">
        <f>COUNTIF(Voci!$G$3:$G$232,"stima")</f>
        <v/>
      </c>
    </row>
    <row r="8">
      <c r="A8" s="6" t="inlineStr">
        <is>
          <t>derivazione</t>
        </is>
      </c>
      <c r="B8" s="6">
        <f>COUNTIF(Voci!$G$3:$G$232,"derivazione")</f>
        <v/>
      </c>
    </row>
    <row r="9">
      <c r="A9" s="6" t="inlineStr">
        <is>
          <t>prassi di cantiere</t>
        </is>
      </c>
      <c r="B9" s="6">
        <f>COUNTIF(Voci!$G$3:$G$232,"prassi di cantiere")</f>
        <v/>
      </c>
    </row>
    <row r="10">
      <c r="A10" s="3" t="inlineStr">
        <is>
          <t>Totale voci</t>
        </is>
      </c>
      <c r="B10" s="3">
        <f>COUNTA(Voci!$A$3:$A$232)</f>
        <v/>
      </c>
    </row>
    <row r="12">
      <c r="A12" s="3" t="inlineStr">
        <is>
          <t>Esito</t>
        </is>
      </c>
    </row>
    <row r="13">
      <c r="A13" s="6" t="inlineStr">
        <is>
          <t>conforme</t>
        </is>
      </c>
      <c r="B13" s="6">
        <f>COUNTIF(Voci!$I$3:$I$232,"conforme")</f>
        <v/>
      </c>
    </row>
    <row r="14">
      <c r="A14" s="6" t="inlineStr">
        <is>
          <t>diverso</t>
        </is>
      </c>
      <c r="B14" s="6">
        <f>COUNTIF(Voci!$I$3:$I$232,"diverso")</f>
        <v/>
      </c>
    </row>
    <row r="15">
      <c r="A15" s="6" t="inlineStr">
        <is>
          <t>non applicabile</t>
        </is>
      </c>
      <c r="B15" s="6">
        <f>COUNTIF(Voci!$I$3:$I$232,"non applicabile")</f>
        <v/>
      </c>
    </row>
    <row r="16">
      <c r="A16" s="6" t="inlineStr">
        <is>
          <t>da compilare</t>
        </is>
      </c>
      <c r="B16" s="6">
        <f>COUNTBLANK(Voci!$I$3:$I$232)</f>
        <v/>
      </c>
    </row>
    <row r="18">
      <c r="A18" s="13" t="inlineStr">
        <is>
          <t>Conteggi sulle righe 3–232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2026-10-07T19:19:24Z</dcterms:created>
  <dcterms:modified xsi:type="dcterms:W3CDTF">2026-10-07T19:19:24Z</dcterms:modified>
</cp:coreProperties>
</file>