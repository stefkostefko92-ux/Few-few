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'Voci'!$A$1:$N$320</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2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420"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73"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69" customHeight="1">
      <c r="A304" s="10" t="n">
        <v>302</v>
      </c>
      <c r="B304" s="10" t="inlineStr">
        <is>
          <t>Collaudo: UNI 10411-1:2024, velocità, carichi e corsa variati</t>
        </is>
      </c>
      <c r="C304" s="10" t="inlineStr">
        <is>
          <t>UNI 10411-1:2024, 15.1 e 15.16</t>
        </is>
      </c>
      <c r="D304" s="10" t="inlineStr">
        <is>
          <t>velocità entro il 5 % del riferimento: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21" customHeight="1">
      <c r="A305" s="10" t="n">
        <v>303</v>
      </c>
      <c r="B305" s="10" t="inlineStr">
        <is>
          <t>Collaudo: UNI 10411-1:2024, velocità, carichi e corsa variati</t>
        </is>
      </c>
      <c r="C305" s="10" t="inlineStr">
        <is>
          <t>UNI 10411-1:2024, 6.1, 6.3–6.12 e 6.15</t>
        </is>
      </c>
      <c r="D305"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5" s="10" t="inlineStr">
        <is>
          <t>UNI 10411-1:2024, 6.1, 6.3–6.12 e 6.15</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6.1, 6.4, 6.5, 6.8 e 6.13–6.15</t>
        </is>
      </c>
      <c r="D306"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6" s="10" t="inlineStr">
        <is>
          <t>UNI 10411-1:2024, 6.1, 6.4, 6.5, 6.8 e 6.13–6.15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56" customHeight="1">
      <c r="A307" s="10" t="n">
        <v>305</v>
      </c>
      <c r="B307" s="10" t="inlineStr">
        <is>
          <t>Collaudo: UNI 10411-1:2024, velocità, carichi e corsa variati</t>
        </is>
      </c>
      <c r="C307" s="10" t="inlineStr">
        <is>
          <t>UNI 10411-1:2024, 6.1</t>
        </is>
      </c>
      <c r="D307" s="10" t="inlineStr">
        <is>
          <t>T* o contrappeso diminuiti: ammortizzatori esistenti secondo la UNI EN 81-20 5.8 e paracadute progressivo, se c’è, secondo la 5.6.2</t>
        </is>
      </c>
      <c r="E307" s="10" t="inlineStr">
        <is>
          <t>UNI 10411-1:2024, 6.1</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6.1</t>
        </is>
      </c>
      <c r="D308"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08" s="10" t="inlineStr">
        <is>
          <t>UNI 10411-1:2024, 6.1</t>
        </is>
      </c>
      <c r="F308" s="10" t="inlineStr">
        <is>
          <t>ricerca, cap. 16 (testi ufficiali e schede UNI, 2026-10-02)</t>
        </is>
      </c>
      <c r="G308" s="10" t="inlineStr">
        <is>
          <t>da verificare</t>
        </is>
      </c>
      <c r="H308" s="10" t="inlineStr">
        <is>
          <t>—</t>
        </is>
      </c>
      <c r="I308" s="11" t="n"/>
      <c r="J308" s="11" t="n"/>
      <c r="K308" s="11" t="n"/>
      <c r="L308" s="11" t="n"/>
      <c r="M308" s="11" t="n"/>
      <c r="N308" s="11" t="n"/>
    </row>
    <row r="309" ht="82" customHeight="1">
      <c r="A309" s="10" t="n">
        <v>307</v>
      </c>
      <c r="B309" s="10" t="inlineStr">
        <is>
          <t>Collaudo: UNI 10411-1:2024, velocità, carichi e corsa variati</t>
        </is>
      </c>
      <c r="C309" s="10" t="inlineStr">
        <is>
          <t>UNI 10411-1:2024, 6.1 e App. D</t>
        </is>
      </c>
      <c r="D309"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9" s="10" t="inlineStr">
        <is>
          <t>UNI 10411-1:2024, 6.1 e App. D</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147" customHeight="1">
      <c r="A310" s="10" t="n">
        <v>308</v>
      </c>
      <c r="B310" s="10" t="inlineStr">
        <is>
          <t>Collaudo: UNI 10411-1:2024, velocità, carichi e corsa variati</t>
        </is>
      </c>
      <c r="C310" s="10" t="inlineStr">
        <is>
          <t>UNI 10411-1:2024, 16 a)–l)</t>
        </is>
      </c>
      <c r="D310"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0" s="10" t="inlineStr">
        <is>
          <t>UNI 10411-1:2024, 16 a)–l)</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56" customHeight="1">
      <c r="A311" s="10" t="n">
        <v>309</v>
      </c>
      <c r="B311" s="10" t="inlineStr">
        <is>
          <t>Collaudo: UNI 10411-1:2024, velocità, carichi e corsa variati</t>
        </is>
      </c>
      <c r="C311" s="10" t="inlineStr">
        <is>
          <t>UNI 10411-1:2024, 16</t>
        </is>
      </c>
      <c r="D311" s="10" t="inlineStr">
        <is>
          <t>⚠ corsa allungata di oltre 8 m rispetto al primo collaudo: l’intervento conta come nuova installazione; la procedura la conferma il tecnico con il soggetto che esegue la verifica</t>
        </is>
      </c>
      <c r="E311" s="10" t="inlineStr">
        <is>
          <t>UNI 10411-1:2024, 16</t>
        </is>
      </c>
      <c r="F311" s="10" t="inlineStr">
        <is>
          <t>ricerca, cap. 16 (testi ufficiali e schede UNI, 2026-10-02)</t>
        </is>
      </c>
      <c r="G311" s="10" t="inlineStr">
        <is>
          <t>da verificare</t>
        </is>
      </c>
      <c r="H311" s="10" t="inlineStr">
        <is>
          <t>—</t>
        </is>
      </c>
      <c r="I311" s="11" t="n"/>
      <c r="J311" s="11" t="n"/>
      <c r="K311" s="11" t="n"/>
      <c r="L311" s="11" t="n"/>
      <c r="M311" s="11" t="n"/>
      <c r="N311" s="11" t="n"/>
    </row>
    <row r="312" ht="56" customHeight="1">
      <c r="A312" s="10" t="n">
        <v>310</v>
      </c>
      <c r="B312" s="10" t="inlineStr">
        <is>
          <t>Collaudo: UNI 10411-1:2024, velocità, carichi e corsa variati</t>
        </is>
      </c>
      <c r="C312" s="10" t="inlineStr">
        <is>
          <t>UNI 10411-1:2024, 16 e 4</t>
        </is>
      </c>
      <c r="D312" s="10" t="inlineStr">
        <is>
          <t>corsa accorciata: il punto 16 tratta solo l’allungamento; la modifica (DPR 162/1999, art. 2 c.1 lett. cc) n. 3)) si valuta secondo il punto 4</t>
        </is>
      </c>
      <c r="E312" s="10" t="inlineStr">
        <is>
          <t>UNI 10411-1:2024, 16 e 4</t>
        </is>
      </c>
      <c r="F312" s="10" t="inlineStr">
        <is>
          <t>ricerca, cap. 16 (testi ufficiali e schede UNI, 2026-10-02)</t>
        </is>
      </c>
      <c r="G312" s="10" t="inlineStr">
        <is>
          <t>da verificare</t>
        </is>
      </c>
      <c r="H312" s="10" t="inlineStr">
        <is>
          <t>—</t>
        </is>
      </c>
      <c r="I312" s="11" t="n"/>
      <c r="J312" s="11" t="n"/>
      <c r="K312" s="11" t="n"/>
      <c r="L312" s="11" t="n"/>
      <c r="M312" s="11" t="n"/>
      <c r="N312" s="11" t="n"/>
    </row>
    <row r="313" ht="108" customHeight="1">
      <c r="A313" s="10" t="n">
        <v>311</v>
      </c>
      <c r="B313" s="10" t="inlineStr">
        <is>
          <t>Collaudo: UNI 10411-11:2024, velocità, carichi e corsa variati</t>
        </is>
      </c>
      <c r="C313" s="10" t="inlineStr">
        <is>
          <t>UNI 10411-11:2024, 15 a)–k) e 4.3</t>
        </is>
      </c>
      <c r="D313"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13" s="10" t="inlineStr">
        <is>
          <t>UNI 10411-11:2024, 15 a)–k) e 4.3</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56" customHeight="1">
      <c r="A314" s="10" t="n">
        <v>312</v>
      </c>
      <c r="B314" s="10" t="inlineStr">
        <is>
          <t>Collaudo: UNI 10411-11:2024, velocità, carichi e corsa variati</t>
        </is>
      </c>
      <c r="C314" s="10" t="inlineStr">
        <is>
          <t>UNI 10411-11:2024, 15 i)</t>
        </is>
      </c>
      <c r="D314" s="10" t="inlineStr">
        <is>
          <t>protezione UCM secondo la UNI EN 81-20 5.6.7, salvo con una variazione della velocità entro il 5 % su un impianto dove la 5.6.7 non era applicata</t>
        </is>
      </c>
      <c r="E314" s="10" t="inlineStr">
        <is>
          <t>UNI 10411-11:2024, 15 i)</t>
        </is>
      </c>
      <c r="F314" s="10" t="inlineStr">
        <is>
          <t>testo della norma, letto il 2026-10-06 (punti e valori con parole nostre)</t>
        </is>
      </c>
      <c r="G314" s="10" t="inlineStr">
        <is>
          <t>confermato</t>
        </is>
      </c>
      <c r="H314" s="10" t="inlineStr">
        <is>
          <t>—</t>
        </is>
      </c>
      <c r="I314" s="11" t="n"/>
      <c r="J314" s="11" t="n"/>
      <c r="K314" s="11" t="n"/>
      <c r="L314" s="11" t="n"/>
      <c r="M314" s="11" t="n"/>
      <c r="N314" s="11" t="n"/>
    </row>
    <row r="315" ht="108" customHeight="1">
      <c r="A315" s="10" t="n">
        <v>313</v>
      </c>
      <c r="B315" s="10" t="inlineStr">
        <is>
          <t>Collaudo: UNI 10411-11:2024, velocità, carichi e corsa variati</t>
        </is>
      </c>
      <c r="C315" s="10" t="inlineStr">
        <is>
          <t>UNI 10411-11:2024, 6.1–6.13</t>
        </is>
      </c>
      <c r="D315"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15" s="10" t="inlineStr">
        <is>
          <t>UNI 10411-11:2024, 6.1–6.13</t>
        </is>
      </c>
      <c r="F315" s="10" t="inlineStr">
        <is>
          <t>testo della norma, letto il 2026-10-06 (punti e valori con parole nostre)</t>
        </is>
      </c>
      <c r="G315" s="10" t="inlineStr">
        <is>
          <t>confermato</t>
        </is>
      </c>
      <c r="H315" s="10" t="inlineStr">
        <is>
          <t>—</t>
        </is>
      </c>
      <c r="I315" s="11" t="n"/>
      <c r="J315" s="11" t="n"/>
      <c r="K315" s="11" t="n"/>
      <c r="L315" s="11" t="n"/>
      <c r="M315" s="11" t="n"/>
      <c r="N315" s="11" t="n"/>
    </row>
    <row r="316" ht="56" customHeight="1">
      <c r="A316" s="10" t="n">
        <v>314</v>
      </c>
      <c r="B316" s="10" t="inlineStr">
        <is>
          <t>Collaudo: UNI 10411-11:2024, velocità, carichi e corsa variati</t>
        </is>
      </c>
      <c r="C316" s="10" t="inlineStr">
        <is>
          <t>UNI 10411-11:2024, 6.1–6.13</t>
        </is>
      </c>
      <c r="D316" s="10" t="inlineStr">
        <is>
          <t>contrappeso aumentato: i punti da 6.2 a 6.13 per i nuovi carichi, tranne l’arcata (6.9)</t>
        </is>
      </c>
      <c r="E316" s="10" t="inlineStr">
        <is>
          <t>UNI 10411-11:2024, 6.1–6.13</t>
        </is>
      </c>
      <c r="F316" s="10" t="inlineStr">
        <is>
          <t>testo della norma, letto il 2026-10-06 (punti e valori con parole nostre)</t>
        </is>
      </c>
      <c r="G316" s="10" t="inlineStr">
        <is>
          <t>confermato</t>
        </is>
      </c>
      <c r="H316" s="10" t="inlineStr">
        <is>
          <t>—</t>
        </is>
      </c>
      <c r="I316" s="11" t="n"/>
      <c r="J316" s="11" t="n"/>
      <c r="K316" s="11" t="n"/>
      <c r="L316" s="11" t="n"/>
      <c r="M316" s="11" t="n"/>
      <c r="N316" s="11" t="n"/>
    </row>
    <row r="317" ht="56" customHeight="1">
      <c r="A317" s="10" t="n">
        <v>315</v>
      </c>
      <c r="B317" s="10" t="inlineStr">
        <is>
          <t>Collaudo: UNI 10411-11:2024, velocità, carichi e corsa variati</t>
        </is>
      </c>
      <c r="C317" s="10" t="inlineStr">
        <is>
          <t>UNI 10411-11:2024, 6.1</t>
        </is>
      </c>
      <c r="D317" s="10" t="inlineStr">
        <is>
          <t>T* o contrappeso diminuiti: ammortizzatori e, se c’è, paracadute progressivo verificati per i nuovi carichi</t>
        </is>
      </c>
      <c r="E317" s="10" t="inlineStr">
        <is>
          <t>UNI 10411-11:2024, 6.1</t>
        </is>
      </c>
      <c r="F317" s="10" t="inlineStr">
        <is>
          <t>testo della norma, letto il 2026-10-06 (punti e valori con parole nostre)</t>
        </is>
      </c>
      <c r="G317" s="10" t="inlineStr">
        <is>
          <t>confermato</t>
        </is>
      </c>
      <c r="H317" s="10" t="inlineStr">
        <is>
          <t>—</t>
        </is>
      </c>
      <c r="I317" s="11" t="n"/>
      <c r="J317" s="11" t="n"/>
      <c r="K317" s="11" t="n"/>
      <c r="L317" s="11" t="n"/>
      <c r="M317" s="11" t="n"/>
      <c r="N317" s="11" t="n"/>
    </row>
    <row r="318" ht="82" customHeight="1">
      <c r="A318" s="10" t="n">
        <v>316</v>
      </c>
      <c r="B318" s="10" t="inlineStr">
        <is>
          <t>Collaudo: UNI 10411-11:2024, velocità, carichi e corsa variati</t>
        </is>
      </c>
      <c r="C318" s="10" t="inlineStr">
        <is>
          <t>UNI 10411-11:2024, 6.1</t>
        </is>
      </c>
      <c r="D318"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18" s="10" t="inlineStr">
        <is>
          <t>UNI 10411-11:2024, 6.1</t>
        </is>
      </c>
      <c r="F318" s="10" t="inlineStr">
        <is>
          <t>ricerca, cap. 16 (testi ufficiali e schede UNI, 2026-10-02)</t>
        </is>
      </c>
      <c r="G318" s="10" t="inlineStr">
        <is>
          <t>da verificare</t>
        </is>
      </c>
      <c r="H318" s="10" t="inlineStr">
        <is>
          <t>—</t>
        </is>
      </c>
      <c r="I318" s="11" t="n"/>
      <c r="J318" s="11" t="n"/>
      <c r="K318" s="11" t="n"/>
      <c r="L318" s="11" t="n"/>
      <c r="M318" s="11" t="n"/>
      <c r="N318" s="11" t="n"/>
    </row>
    <row r="319" ht="95" customHeight="1">
      <c r="A319" s="10" t="n">
        <v>317</v>
      </c>
      <c r="B319" s="10" t="inlineStr">
        <is>
          <t>Collaudo: UNI 10411-11:2024, velocità, carichi e corsa variati</t>
        </is>
      </c>
      <c r="C319" s="10" t="inlineStr">
        <is>
          <t>UNI 10411-11:2024, 16 a)–i) e 4.3</t>
        </is>
      </c>
      <c r="D319"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19" s="10" t="inlineStr">
        <is>
          <t>UNI 10411-11:2024, 16 a)–i) e 4.3</t>
        </is>
      </c>
      <c r="F319" s="10" t="inlineStr">
        <is>
          <t>testo della norma, letto il 2026-10-06 (punti e valori con parole nostre)</t>
        </is>
      </c>
      <c r="G319" s="10" t="inlineStr">
        <is>
          <t>confermato</t>
        </is>
      </c>
      <c r="H319" s="10" t="inlineStr">
        <is>
          <t>—</t>
        </is>
      </c>
      <c r="I319" s="11" t="n"/>
      <c r="J319" s="11" t="n"/>
      <c r="K319" s="11" t="n"/>
      <c r="L319" s="11" t="n"/>
      <c r="M319" s="11" t="n"/>
      <c r="N319" s="11" t="n"/>
    </row>
    <row r="320" ht="56" customHeight="1">
      <c r="A320" s="10" t="n">
        <v>318</v>
      </c>
      <c r="B320" s="10" t="inlineStr">
        <is>
          <t>Collaudo: UNI 10411-11:2024, velocità, carichi e corsa variati</t>
        </is>
      </c>
      <c r="C320" s="10" t="inlineStr">
        <is>
          <t>UNI 10411-11:2024, 16 e 4.3</t>
        </is>
      </c>
      <c r="D320" s="10" t="inlineStr">
        <is>
          <t>corsa accorciata: il punto 16 tratta solo l’allungamento; la modifica (DPR 162/1999, art. 2 c.1 lett. cc) n. 3)) si valuta con la 4.3</t>
        </is>
      </c>
      <c r="E320" s="10" t="inlineStr">
        <is>
          <t>UNI 10411-11:2024, 16 e 4.3</t>
        </is>
      </c>
      <c r="F320" s="10" t="inlineStr">
        <is>
          <t>ricerca, cap. 16 (testi ufficiali e schede UNI, 2026-10-02)</t>
        </is>
      </c>
      <c r="G320" s="10" t="inlineStr">
        <is>
          <t>da verificare</t>
        </is>
      </c>
      <c r="H320" s="10" t="inlineStr">
        <is>
          <t>—</t>
        </is>
      </c>
      <c r="I320" s="11" t="n"/>
      <c r="J320" s="11" t="n"/>
      <c r="K320" s="11" t="n"/>
      <c r="L320" s="11" t="n"/>
      <c r="M320" s="11" t="n"/>
      <c r="N320" s="11" t="n"/>
    </row>
  </sheetData>
  <autoFilter ref="A1:N320"/>
  <dataValidations count="1">
    <dataValidation sqref="I3:I320"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COUNTIF(Voci!$G$3:$G$320,"da verificare")</f>
        <v/>
      </c>
    </row>
    <row r="5">
      <c r="A5" s="6" t="inlineStr">
        <is>
          <t>confermato</t>
        </is>
      </c>
      <c r="B5" s="6">
        <f>COUNTIF(Voci!$G$3:$G$320,"confermato")</f>
        <v/>
      </c>
    </row>
    <row r="6">
      <c r="A6" s="6" t="inlineStr">
        <is>
          <t>scelta del software</t>
        </is>
      </c>
      <c r="B6" s="6">
        <f>COUNTIF(Voci!$G$3:$G$320,"scelta del software")</f>
        <v/>
      </c>
    </row>
    <row r="7">
      <c r="A7" s="6" t="inlineStr">
        <is>
          <t>stima</t>
        </is>
      </c>
      <c r="B7" s="6">
        <f>COUNTIF(Voci!$G$3:$G$320,"stima")</f>
        <v/>
      </c>
    </row>
    <row r="8">
      <c r="A8" s="6" t="inlineStr">
        <is>
          <t>derivazione</t>
        </is>
      </c>
      <c r="B8" s="6">
        <f>COUNTIF(Voci!$G$3:$G$320,"derivazione")</f>
        <v/>
      </c>
    </row>
    <row r="9">
      <c r="A9" s="6" t="inlineStr">
        <is>
          <t>prassi di cantiere</t>
        </is>
      </c>
      <c r="B9" s="6">
        <f>COUNTIF(Voci!$G$3:$G$320,"prassi di cantiere")</f>
        <v/>
      </c>
    </row>
    <row r="10">
      <c r="A10" s="3" t="inlineStr">
        <is>
          <t>Totale voci</t>
        </is>
      </c>
      <c r="B10" s="3">
        <f>COUNTA(Voci!$A$3:$A$320)</f>
        <v/>
      </c>
    </row>
    <row r="12">
      <c r="A12" s="3" t="inlineStr">
        <is>
          <t>Esito</t>
        </is>
      </c>
    </row>
    <row r="13">
      <c r="A13" s="6" t="inlineStr">
        <is>
          <t>conforme</t>
        </is>
      </c>
      <c r="B13" s="6">
        <f>COUNTIF(Voci!$I$3:$I$320,"conforme")</f>
        <v/>
      </c>
    </row>
    <row r="14">
      <c r="A14" s="6" t="inlineStr">
        <is>
          <t>diverso</t>
        </is>
      </c>
      <c r="B14" s="6">
        <f>COUNTIF(Voci!$I$3:$I$320,"diverso")</f>
        <v/>
      </c>
    </row>
    <row r="15">
      <c r="A15" s="6" t="inlineStr">
        <is>
          <t>non applicabile</t>
        </is>
      </c>
      <c r="B15" s="6">
        <f>COUNTIF(Voci!$I$3:$I$320,"non applicabile")</f>
        <v/>
      </c>
    </row>
    <row r="16">
      <c r="A16" s="6" t="inlineStr">
        <is>
          <t>da compilare</t>
        </is>
      </c>
      <c r="B16" s="6">
        <f>COUNTBLANK(Voci!$I$3:$I$320)</f>
        <v/>
      </c>
    </row>
    <row r="18">
      <c r="A18" s="13" t="inlineStr">
        <is>
          <t>Conteggi sulle righe 3–320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2026-10-15T22:30:17Z</dcterms:created>
  <dcterms:modified xmlns:dcterms="http://purl.org/dc/terms/" xmlns:xsi="http://www.w3.org/2001/XMLSchema-instance" xsi:type="dcterms:W3CDTF">2026-10-15T22:30:17Z</dcterms:modified>
</cp:coreProperties>
</file>