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'Voci'!$A$1:$N$224</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4"/>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38" customHeight="1">
      <c r="A84" s="10" t="n">
        <v>82</v>
      </c>
      <c r="B84" s="10" t="inlineStr">
        <is>
          <t>Vano: ingombri tipici</t>
        </is>
      </c>
      <c r="C84" s="10" t="inlineStr">
        <is>
          <t>Posizione del limitatore di velocità e della sua fune</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82" customHeight="1">
      <c r="A85" s="10" t="n">
        <v>83</v>
      </c>
      <c r="B85" s="10" t="inlineStr">
        <is>
          <t>Vano: sezione, spazi di rifugio e ammortizzatori</t>
        </is>
      </c>
      <c r="C85" s="10" t="inlineStr">
        <is>
          <t>Spazi di rifugio sul tetto di cabina e in fossa</t>
        </is>
      </c>
      <c r="D85"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5" s="10" t="inlineStr">
        <is>
          <t>UNI EN 81-20:2020, 5.2.5.7.1 (Prospetto 3) e 5.2.5.8.1 (Prospetto 4)</t>
        </is>
      </c>
      <c r="F85" s="10" t="inlineStr">
        <is>
          <t>UNI EN 81-20:2020, testo della norma, letto il 2026-10-06, pp. 37–40</t>
        </is>
      </c>
      <c r="G85" s="10" t="inlineStr">
        <is>
          <t>confermato</t>
        </is>
      </c>
      <c r="H85" s="10" t="inlineStr">
        <is>
          <t>spazio di rifugio in testata; spazio di rifugio in fossa</t>
        </is>
      </c>
      <c r="I85" s="11" t="n"/>
      <c r="J85" s="11" t="n"/>
      <c r="K85" s="11" t="n"/>
      <c r="L85" s="11" t="n"/>
      <c r="M85" s="11" t="n"/>
      <c r="N85" s="11" t="n"/>
    </row>
    <row r="86" ht="95" customHeight="1">
      <c r="A86" s="10" t="n">
        <v>84</v>
      </c>
      <c r="B86" s="10" t="inlineStr">
        <is>
          <t>Vano: sezione, spazi di rifugio e ammortizzatori</t>
        </is>
      </c>
      <c r="C86" s="10" t="inlineStr">
        <is>
          <t>Posizione più alta della cabina — vale per gli ascensori a frizione; le riduzioni di 5.2.5.6.1.2 (rallentamento controllato) e 5.2.5.6.1.3 (puleggia tenditrice con antirimbalzo) non sono usate: la verifica è più severa</t>
        </is>
      </c>
      <c r="D86" s="10" t="inlineStr">
        <is>
          <t>contrappeso sugli ammortizzatori completamente compressi, più il salto 0,035·v² m (v velocità nominale)</t>
        </is>
      </c>
      <c r="E86" s="10" t="inlineStr">
        <is>
          <t>UNI EN 81-20:2020, 5.2.5.6.1.1 (Prospetto 2)</t>
        </is>
      </c>
      <c r="F86" s="10" t="inlineStr">
        <is>
          <t>UNI EN 81-20:2020, testo della norma, letto il 2026-10-06, p. 36</t>
        </is>
      </c>
      <c r="G86" s="10" t="inlineStr">
        <is>
          <t>confermato</t>
        </is>
      </c>
      <c r="H86" s="10" t="inlineStr">
        <is>
          <t>spazio di rifugio in testata; distanze libere dal soffitto</t>
        </is>
      </c>
      <c r="I86" s="11" t="n"/>
      <c r="J86" s="11" t="n"/>
      <c r="K86" s="11" t="n"/>
      <c r="L86" s="11" t="n"/>
      <c r="M86" s="11" t="n"/>
      <c r="N86" s="11" t="n"/>
    </row>
    <row r="87" ht="147" customHeight="1">
      <c r="A87" s="10" t="n">
        <v>85</v>
      </c>
      <c r="B87" s="10" t="inlineStr">
        <is>
          <t>Vano: sezione, spazi di rifugio e ammortizzatori</t>
        </is>
      </c>
      <c r="C87"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7" s="10" t="inlineStr">
        <is>
          <t>≥ 500 mm sopra le apparecchiature sul tetto di cabina (operatore); ≥ 100 mm sopra pattini, attacchi delle funi e traversa dell’arcata; ≥ 300 mm sopra il corrimano della balaustra</t>
        </is>
      </c>
      <c r="E87" s="10" t="inlineStr">
        <is>
          <t>UNI EN 81-20:2020, 5.2.5.7.2 a)–c)</t>
        </is>
      </c>
      <c r="F87" s="10" t="inlineStr">
        <is>
          <t>UNI EN 81-20:2020, testo della norma, letto il 2026-10-06, p. 38</t>
        </is>
      </c>
      <c r="G87" s="10" t="inlineStr">
        <is>
          <t>da verificare</t>
        </is>
      </c>
      <c r="H87" s="10" t="inlineStr">
        <is>
          <t>distanze libere dal soffitto</t>
        </is>
      </c>
      <c r="I87" s="11" t="n"/>
      <c r="J87" s="11" t="n"/>
      <c r="K87" s="11" t="n"/>
      <c r="L87" s="11" t="n"/>
      <c r="M87" s="11" t="n"/>
      <c r="N87" s="11" t="n"/>
    </row>
    <row r="88" ht="82" customHeight="1">
      <c r="A88" s="10" t="n">
        <v>86</v>
      </c>
      <c r="B88" s="10" t="inlineStr">
        <is>
          <t>Vano: sezione, spazi di rifugio e ammortizzatori</t>
        </is>
      </c>
      <c r="C88" s="10" t="inlineStr">
        <is>
          <t>Traversa dell’arcata sotto il soffitto — La b) nomina la traversa delle porte e le parti delle porte a scorrimento verticale; quella dell’arcata non è nominata. Da concordare con l’organismo.</t>
        </is>
      </c>
      <c r="D88" s="10" t="inlineStr">
        <is>
          <t>≥ 100 mm come parte di b); sotto 500 mm «Attenzione»: se l’organismo la considera un’apparecchiatura vale a) (500 mm)</t>
        </is>
      </c>
      <c r="E88" s="10" t="inlineStr">
        <is>
          <t>UNI EN 81-20:2020, 5.2.5.7.2 a)–b); UNI EN 81-1:2008, 5.7.1.1 c)</t>
        </is>
      </c>
      <c r="F88" s="10" t="inlineStr">
        <is>
          <t>UNI EN 81-20:2020, testo della norma, letto il 2026-10-06, p. 38; UNI EN 81-1:2008, testo della norma, letto il 2026-10-06, p. 26</t>
        </is>
      </c>
      <c r="G88" s="10" t="inlineStr">
        <is>
          <t>da verificare</t>
        </is>
      </c>
      <c r="H88" s="10" t="inlineStr">
        <is>
          <t>traversa dell’arcata sotto il soffitto</t>
        </is>
      </c>
      <c r="I88" s="11" t="n"/>
      <c r="J88" s="11" t="n"/>
      <c r="K88" s="11" t="n"/>
      <c r="L88" s="11" t="n"/>
      <c r="M88" s="11" t="n"/>
      <c r="N88" s="11" t="n"/>
    </row>
    <row r="89" ht="108" customHeight="1">
      <c r="A89" s="10" t="n">
        <v>87</v>
      </c>
      <c r="B89" s="10" t="inlineStr">
        <is>
          <t>Vano: sezione, spazi di rifugio e ammortizzatori</t>
        </is>
      </c>
      <c r="C89" s="10" t="inlineStr">
        <is>
          <t>Parte più alta della cabina sotto ciò che pende sopra — fino alla versione 1.17.0 del motore del progetto la puleggia di cabina era verificata a 100 mm; i 100 mm della traversa sono la stessa lettura di spazi.testata.parti</t>
        </is>
      </c>
      <c r="D89"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89" s="10" t="inlineStr">
        <is>
          <t>UNI EN 81-20:2020, 5.2.5.7.2 a) e b)</t>
        </is>
      </c>
      <c r="F89" s="10" t="inlineStr">
        <is>
          <t>UNI EN 81-20:2020, testo della norma, letto il 2026-10-06, p. 38</t>
        </is>
      </c>
      <c r="G89" s="10" t="inlineStr">
        <is>
          <t>confermato</t>
        </is>
      </c>
      <c r="H89" s="10" t="inlineStr">
        <is>
          <t>parte più alta della cabina sotto ciò che pende sopra</t>
        </is>
      </c>
      <c r="I89" s="11" t="n"/>
      <c r="J89" s="11" t="n"/>
      <c r="K89" s="11" t="n"/>
      <c r="L89" s="11" t="n"/>
      <c r="M89" s="11" t="n"/>
      <c r="N89" s="11" t="n"/>
    </row>
    <row r="90" ht="134" customHeight="1">
      <c r="A90" s="10" t="n">
        <v>88</v>
      </c>
      <c r="B90" s="10" t="inlineStr">
        <is>
          <t>Vano: sezione, spazi di rifugio e ammortizzatori</t>
        </is>
      </c>
      <c r="C90" s="10" t="inlineStr">
        <is>
          <t>Ammortizzatori e spazio di rifugio in fossa, in pianta</t>
        </is>
      </c>
      <c r="D9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0" s="10" t="inlineStr">
        <is>
          <t>UNI EN 81-20:2020, 5.2.5.8.1</t>
        </is>
      </c>
      <c r="F90" s="10" t="inlineStr">
        <is>
          <t>scelta del software sul modello della fossa (posizioni tipiche, da confermare con i dati del fornitore degli ammortizzatori)</t>
        </is>
      </c>
      <c r="G90" s="10" t="inlineStr">
        <is>
          <t>scelta del software</t>
        </is>
      </c>
      <c r="H90" s="10" t="inlineStr">
        <is>
          <t>ammortizzatori fissati a mano: sotto cabina e contrappeso, fuori dal rifugio</t>
        </is>
      </c>
      <c r="I90" s="11" t="n"/>
      <c r="J90" s="11" t="n"/>
      <c r="K90" s="11" t="n"/>
      <c r="L90" s="11" t="n"/>
      <c r="M90" s="11" t="n"/>
      <c r="N90" s="11" t="n"/>
    </row>
    <row r="91" ht="82" customHeight="1">
      <c r="A91" s="10" t="n">
        <v>89</v>
      </c>
      <c r="B91" s="10" t="inlineStr">
        <is>
          <t>Vano: sezione, spazi di rifugio e ammortizzatori</t>
        </is>
      </c>
      <c r="C91" s="10" t="inlineStr">
        <is>
          <t>Distanze in fossa con la cabina sugli ammortizzatori compressi</t>
        </is>
      </c>
      <c r="D9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1" s="10" t="inlineStr">
        <is>
          <t>UNI EN 81-20:2020, 5.2.5.8.2 a) e 5.4.5.1–5.4.5.2</t>
        </is>
      </c>
      <c r="F91" s="10" t="inlineStr">
        <is>
          <t>UNI EN 81-20:2020, testo della norma, letto il 2026-10-06, pp. 40–41, 69</t>
        </is>
      </c>
      <c r="G91" s="10" t="inlineStr">
        <is>
          <t>confermato</t>
        </is>
      </c>
      <c r="H91" s="10" t="inlineStr">
        <is>
          <t>spazio di rifugio in fossa; grembiule sugli ammortizzatori compressi</t>
        </is>
      </c>
      <c r="I91" s="11" t="n"/>
      <c r="J91" s="11" t="n"/>
      <c r="K91" s="11" t="n"/>
      <c r="L91" s="11" t="n"/>
      <c r="M91" s="11" t="n"/>
      <c r="N91" s="11" t="n"/>
    </row>
    <row r="92" ht="108" customHeight="1">
      <c r="A92" s="10" t="n">
        <v>90</v>
      </c>
      <c r="B92" s="10" t="inlineStr">
        <is>
          <t>Vano: sezione, spazi di rifugio e ammortizzatori</t>
        </is>
      </c>
      <c r="C92" s="10" t="inlineStr">
        <is>
          <t>Balaustra sul tetto di cabina — fino alla versione 2.12.0 del motore del vano il software misurava i 500 mm dal bordo del tetto; la norma vuole la balaustra entro 150 mm dal bordo: se è più interna, la distanza cresce e può servire l’altezza maggiore</t>
        </is>
      </c>
      <c r="D9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2" s="10" t="inlineStr">
        <is>
          <t>UNI EN 81-20:2020, 5.4.7.2 b) e 5.4.7.4 b)–c)</t>
        </is>
      </c>
      <c r="F92" s="10" t="inlineStr">
        <is>
          <t>UNI EN 81-20:2020, testo della norma, letto il 2026-10-06, pp. 70–72</t>
        </is>
      </c>
      <c r="G92" s="10" t="inlineStr">
        <is>
          <t>confermato</t>
        </is>
      </c>
      <c r="H92" s="10" t="inlineStr">
        <is>
          <t>balaustra sul tetto di cabina</t>
        </is>
      </c>
      <c r="I92" s="11" t="n"/>
      <c r="J92" s="11" t="n"/>
      <c r="K92" s="11" t="n"/>
      <c r="L92" s="11" t="n"/>
      <c r="M92" s="11" t="n"/>
      <c r="N92" s="11" t="n"/>
    </row>
    <row r="93" ht="121" customHeight="1">
      <c r="A93" s="10" t="n">
        <v>91</v>
      </c>
      <c r="B93" s="10" t="inlineStr">
        <is>
          <t>Vano: sezione, spazi di rifugio e ammortizzatori</t>
        </is>
      </c>
      <c r="C9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3" s="10" t="inlineStr">
        <is>
          <t>UNI EN 81-20:2020, 5.2.5.7.1 (prospetto 3) e 5.2.5.7.3; UNI EN 81-1:2008, 8.13.2</t>
        </is>
      </c>
      <c r="F93" s="10" t="inlineStr">
        <is>
          <t>UNI EN 81-20:2020, testo della norma, letto il 2026-10-06, pp. 38–39; UNI EN 81-1:2008, testo della norma, letto il 2026-10-06, p. 52</t>
        </is>
      </c>
      <c r="G93" s="10" t="inlineStr">
        <is>
          <t>confermato</t>
        </is>
      </c>
      <c r="H93" s="10" t="inlineStr">
        <is>
          <t>spazio di rifugio sul tetto di cabina; spazio di rifugio in testata</t>
        </is>
      </c>
      <c r="I93" s="11" t="n"/>
      <c r="J93" s="11" t="n"/>
      <c r="K93" s="11" t="n"/>
      <c r="L93" s="11" t="n"/>
      <c r="M93" s="11" t="n"/>
      <c r="N93" s="11" t="n"/>
    </row>
    <row r="94" ht="212" customHeight="1">
      <c r="A94" s="10" t="n">
        <v>92</v>
      </c>
      <c r="B94" s="10" t="inlineStr">
        <is>
          <t>Vano: sezione, spazi di rifugio e ammortizzatori</t>
        </is>
      </c>
      <c r="C9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4" s="10" t="inlineStr">
        <is>
          <t>luce netta in altezza delle porte di piano e di cabina ≥ 2000 mm; altezza libera interna della cabina ≥ 2000 mm</t>
        </is>
      </c>
      <c r="E94" s="10" t="inlineStr">
        <is>
          <t>UNI EN 81-20:2020, 5.3.2.1 e 5.4.1</t>
        </is>
      </c>
      <c r="F94" s="10" t="inlineStr">
        <is>
          <t>UNI EN 81-20:2020, testo della norma, letto il 2026-10-06, pp. 49, 63; 2 m anche in DM 587/1987 (UNI EN 81-1), 7.3.1, 8.1.1 e 8.1.2</t>
        </is>
      </c>
      <c r="G94" s="10" t="inlineStr">
        <is>
          <t>confermato</t>
        </is>
      </c>
      <c r="H94" s="10" t="inlineStr">
        <is>
          <t>altezza libera degli accessi; altezza libera interna della cabina</t>
        </is>
      </c>
      <c r="I94" s="11" t="n"/>
      <c r="J94" s="11" t="n"/>
      <c r="K94" s="11" t="n"/>
      <c r="L94" s="11" t="n"/>
      <c r="M94" s="11" t="n"/>
      <c r="N94" s="11" t="n"/>
    </row>
    <row r="95" ht="160" customHeight="1">
      <c r="A95" s="10" t="n">
        <v>93</v>
      </c>
      <c r="B95" s="10" t="inlineStr">
        <is>
          <t>Vano: sezione, spazi di rifugio e ammortizzatori</t>
        </is>
      </c>
      <c r="C95" s="10" t="inlineStr">
        <is>
          <t>Corsa guidata in testata (contrappeso e cabina)</t>
        </is>
      </c>
      <c r="D9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5" s="10" t="inlineStr">
        <is>
          <t>UNI EN 81-20:2020, 5.2.5.6.2 e 5.2.5.6.1.1 (Prospetto 2: cabina sugli ammortizzatori compressi più 0,035·v²); stesso valore in UNI EN 81-1 (1999, 2008), 5.7.1.2</t>
        </is>
      </c>
      <c r="F95" s="10" t="inlineStr">
        <is>
          <t>UNI EN 81-20:2020, testo della norma, letto il 2026-10-06, p. 36; UNI EN 81-1:2008, testo della norma, letto il 2026-10-06, p. 27</t>
        </is>
      </c>
      <c r="G95" s="10" t="inlineStr">
        <is>
          <t>confermato</t>
        </is>
      </c>
      <c r="H95" s="10" t="inlineStr">
        <is>
          <t>corsa guidata del contrappeso in testata; corsa guidata della cabina in testata</t>
        </is>
      </c>
      <c r="I95" s="11" t="n"/>
      <c r="J95" s="11" t="n"/>
      <c r="K95" s="11" t="n"/>
      <c r="L95" s="11" t="n"/>
      <c r="M95" s="11" t="n"/>
      <c r="N95" s="11" t="n"/>
    </row>
    <row r="96" ht="95" customHeight="1">
      <c r="A96" s="10" t="n">
        <v>94</v>
      </c>
      <c r="B96" s="10" t="inlineStr">
        <is>
          <t>Vano: sezione, spazi di rifugio e ammortizzatori</t>
        </is>
      </c>
      <c r="C96" s="10" t="inlineStr">
        <is>
          <t>Schermo del contrappeso in fossa — non verificati: il bordo inferiore dello schermo a non più di 300 mm dal fondo della fossa (5.2.5.5.1 c)) e la protezione dello spazio oltre 300 mm tra guide del contrappeso e parete (e))</t>
        </is>
      </c>
      <c r="D96" s="10" t="inlineStr">
        <is>
          <t>dal punto più basso del contrappeso sugli ammortizzatori compressi fino ad almeno 2000 mm sopra il pavimento della fossa (altezza dello schermo modificabile sul progetto, mai sotto questo valore)</t>
        </is>
      </c>
      <c r="E96" s="10" t="inlineStr">
        <is>
          <t>UNI EN 81-20:2020, 5.2.5.5.1 b)</t>
        </is>
      </c>
      <c r="F96" s="10" t="inlineStr">
        <is>
          <t>UNI EN 81-20:2020, testo della norma, letto il 2026-10-06, p. 35</t>
        </is>
      </c>
      <c r="G96" s="10" t="inlineStr">
        <is>
          <t>confermato</t>
        </is>
      </c>
      <c r="H96" s="10" t="inlineStr">
        <is>
          <t>protezione del contrappeso in fossa</t>
        </is>
      </c>
      <c r="I96" s="11" t="n"/>
      <c r="J96" s="11" t="n"/>
      <c r="K96" s="11" t="n"/>
      <c r="L96" s="11" t="n"/>
      <c r="M96" s="11" t="n"/>
      <c r="N96" s="11" t="n"/>
    </row>
    <row r="97" ht="95" customHeight="1">
      <c r="A97" s="10" t="n">
        <v>95</v>
      </c>
      <c r="B97" s="10" t="inlineStr">
        <is>
          <t>Vano: sezione, spazi di rifugio e ammortizzatori</t>
        </is>
      </c>
      <c r="C97" s="10" t="inlineStr">
        <is>
          <t>Ammortizzatori ad accumulo di energia lineari (molle)</t>
        </is>
      </c>
      <c r="D97" s="10" t="inlineStr">
        <is>
          <t>ammessi fino a 1 m/s; corsa ≥ 0,135·v² m e comunque ≥ 65 mm; extracorsa della cabina e del contrappeso ≥ 0 (nessun minimo nella norma)</t>
        </is>
      </c>
      <c r="E97" s="10" t="inlineStr">
        <is>
          <t>UNI EN 81-20:2020, 5.8.1.5 (fino a 1 m/s) e 5.8.2.1.1.1 (corsa); nessuna extracorsa minima in metri: l’interruttore di extracorsa interviene prima che la cabina o il contrappeso tocchino gli ammortizzatori (5.12.2.1)</t>
        </is>
      </c>
      <c r="F97" s="10" t="inlineStr">
        <is>
          <t>UNI EN 81-20:2020, testo della norma, letto il 2026-10-06, pp. 98, 131</t>
        </is>
      </c>
      <c r="G97" s="10" t="inlineStr">
        <is>
          <t>confermato</t>
        </is>
      </c>
      <c r="H97" s="10" t="inlineStr">
        <is>
          <t>tipo di ammortizzatori per la velocità; corsa degli ammortizzatori di cabina; corsa dell’ammortizzatore del contrappeso; extracorsa di cabina e contrappeso</t>
        </is>
      </c>
      <c r="I97" s="11" t="n"/>
      <c r="J97" s="11" t="n"/>
      <c r="K97" s="11" t="n"/>
      <c r="L97" s="11" t="n"/>
      <c r="M97" s="11" t="n"/>
      <c r="N97" s="11" t="n"/>
    </row>
    <row r="98" ht="121" customHeight="1">
      <c r="A98" s="10" t="n">
        <v>96</v>
      </c>
      <c r="B98" s="10" t="inlineStr">
        <is>
          <t>Vano: sezione, spazi di rifugio e ammortizzatori</t>
        </is>
      </c>
      <c r="C98" s="10" t="inlineStr">
        <is>
          <t>Ammortizzatori ad accumulo di energia non lineari (tamponi in poliuretano) — il tampone tipico alto 80 mm è un dato di catalogo, non della norma: va sostituito con quello montato</t>
        </is>
      </c>
      <c r="D9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8" s="10" t="inlineStr">
        <is>
          <t>UNI EN 81-20:2020, 5.8.1.5, 5.8.1.7, 5.8.2.1.2.1 e 5.8.2.1.2.2 (compresso al 90 %); UNI EN 81-50:2020, 5.5.4 (esame di tipo)</t>
        </is>
      </c>
      <c r="F98" s="10" t="inlineStr">
        <is>
          <t>UNI EN 81-20:2020, testo della norma, letto il 2026-10-06, pp. 98–99; UNI EN 81-50:2020, testo della norma, letto il 2026-10-06, p. 24; il tampone tipico dai cataloghi P+S Diepocell (wwlift.de) e ACLA AUTAN XL (acla.de),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95" customHeight="1">
      <c r="A99" s="10" t="n">
        <v>97</v>
      </c>
      <c r="B99" s="10" t="inlineStr">
        <is>
          <t>Vano: sezione, spazi di rifugio e ammortizzatori</t>
        </is>
      </c>
      <c r="C99" s="10" t="inlineStr">
        <is>
          <t>Ammortizzatori a dissipazione di energia (idraulici) — gli ammortizzatori Oleo sono dati di catalogo, non della norma: vanno sostituiti con quelli montati</t>
        </is>
      </c>
      <c r="D9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9" s="10" t="inlineStr">
        <is>
          <t>UNI EN 81-20:2020, 5.8.1.6 e 5.8.2.2.1 (corsa); la corsa ridotta di 5.8.2.2.2 non è usata</t>
        </is>
      </c>
      <c r="F99" s="10" t="inlineStr">
        <is>
          <t>UNI EN 81-20:2020, testo della norma, letto il 2026-10-06, p. 99; gli ammortizzatori tipici dal catalogo Oleo LSB e SEB (oleo.co.uk), estratti di ricerca del 1° ottobre 2026</t>
        </is>
      </c>
      <c r="G99" s="10" t="inlineStr">
        <is>
          <t>confermato</t>
        </is>
      </c>
      <c r="H99" s="10" t="inlineStr">
        <is>
          <t>tipo di ammortizzatori per la velocità; corsa degli ammortizzatori di cabina; corsa dell’ammortizzatore del contrappeso</t>
        </is>
      </c>
      <c r="I99" s="11" t="n"/>
      <c r="J99" s="11" t="n"/>
      <c r="K99" s="11" t="n"/>
      <c r="L99" s="11" t="n"/>
      <c r="M99" s="11" t="n"/>
      <c r="N99" s="11" t="n"/>
    </row>
    <row r="100" ht="225" customHeight="1">
      <c r="A100" s="10" t="n">
        <v>98</v>
      </c>
      <c r="B100" s="10" t="inlineStr">
        <is>
          <t>Locale del macchinario</t>
        </is>
      </c>
      <c r="C100"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t>
        </is>
      </c>
      <c r="D100"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t>
        </is>
      </c>
      <c r="E100" s="10" t="inlineStr">
        <is>
          <t>UNI EN 81-20:2020, 5.2.6.3.2.1 (2,10 m e superfici libere), 5.2.6.3.2.2 (percorsi: 0,50 m di larghezza, 1,80 m di altezza), 5.2.3.2 a) (porta) e 5.2.3.3 a) (verso di apertura)</t>
        </is>
      </c>
      <c r="F100" s="10" t="inlineStr">
        <is>
          <t>UNI EN 81-20:2020, testo della norma, letto il 2026-10-06, pp. 29–30, 43; le superfici libere anche in UNI EN 81-1:1999, 6.3.2.1 (edizione 2008: 6.3.3.1)</t>
        </is>
      </c>
      <c r="G100" s="10" t="inlineStr">
        <is>
          <t>confermato</t>
        </is>
      </c>
      <c r="H100" s="10" t="inlineStr">
        <is>
          <t>altezza del locale macchina; superficie libera davanti al quadro; superficie libera accanto all’argano; percorsi dalla porta alle superfici libere; porta del locale macchina</t>
        </is>
      </c>
      <c r="I100" s="11" t="n"/>
      <c r="J100" s="11" t="n"/>
      <c r="K100" s="11" t="n"/>
      <c r="L100" s="11" t="n"/>
      <c r="M100" s="11" t="n"/>
      <c r="N100" s="11" t="n"/>
    </row>
    <row r="101" ht="95" customHeight="1">
      <c r="A101" s="10" t="n">
        <v>99</v>
      </c>
      <c r="B101" s="10" t="inlineStr">
        <is>
          <t>Locale del macchinario</t>
        </is>
      </c>
      <c r="C101" s="10" t="inlineStr">
        <is>
          <t>Il quadro di manovra fuori dall’ingombro dell’argano</t>
        </is>
      </c>
      <c r="D101"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1" s="10" t="inlineStr">
        <is>
          <t>—</t>
        </is>
      </c>
      <c r="F101" s="10" t="inlineStr">
        <is>
          <t>geometria del progetto: la pianta del locale, il quadro inserito o posto dal software, gli ingombri dell’argano, del basamento, del rinvio e del limitatore come li disegna la pianta del locale</t>
        </is>
      </c>
      <c r="G101" s="10" t="inlineStr">
        <is>
          <t>derivazione</t>
        </is>
      </c>
      <c r="H101" s="10" t="inlineStr">
        <is>
          <t>quadro di manovra fuori dall’ingombro di argano, limitatore e interruttore generale</t>
        </is>
      </c>
      <c r="I101" s="11" t="n"/>
      <c r="J101" s="11" t="n"/>
      <c r="K101" s="11" t="n"/>
      <c r="L101" s="11" t="n"/>
      <c r="M101" s="11" t="n"/>
      <c r="N101" s="11" t="n"/>
    </row>
    <row r="102" ht="238" customHeight="1">
      <c r="A102" s="10" t="n">
        <v>100</v>
      </c>
      <c r="B102" s="10" t="inlineStr">
        <is>
          <t>Locale del macchinario</t>
        </is>
      </c>
      <c r="C102" s="10" t="inlineStr">
        <is>
          <t>Dove il software mette il quadro di manovra</t>
        </is>
      </c>
      <c r="D102"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2"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2" s="10" t="inlineStr">
        <is>
          <t>UNI EN 81-20:2020, testo della norma, letto il 2026-10-06, pp. 43, 117, 129; la vicinanza alla porta, la distanza laterale e il passo sono scelte del software</t>
        </is>
      </c>
      <c r="G102" s="10" t="inlineStr">
        <is>
          <t>scelta del software</t>
        </is>
      </c>
      <c r="H102" s="10" t="inlineStr">
        <is>
          <t>—</t>
        </is>
      </c>
      <c r="I102" s="11" t="n"/>
      <c r="J102" s="11" t="n"/>
      <c r="K102" s="11" t="n"/>
      <c r="L102" s="11" t="n"/>
      <c r="M102" s="11" t="n"/>
      <c r="N102" s="11" t="n"/>
    </row>
    <row r="103" ht="69" customHeight="1">
      <c r="A103" s="10" t="n">
        <v>101</v>
      </c>
      <c r="B103" s="10" t="inlineStr">
        <is>
          <t>Locale del macchinario</t>
        </is>
      </c>
      <c r="C103" s="10" t="inlineStr">
        <is>
          <t>Illuminazione del vano e del locale del macchinario</t>
        </is>
      </c>
      <c r="D103" s="10" t="inlineStr">
        <is>
          <t>vano: luce fissa, almeno 50 lux a un metro dal tetto di cabina e dal fondo della fossa, 20 lux nel resto; locale del macchinario: almeno 200 lux al pavimento dove si lavora e 50 lux sui percorsi; 50 lux anche sull’accesso al macchinario</t>
        </is>
      </c>
      <c r="E103" s="10" t="inlineStr">
        <is>
          <t>UNI EN 81-20:2020, 5.2.1.4.1 a)–c), 5.2.1.4.2 e 5.2.2.2</t>
        </is>
      </c>
      <c r="F103" s="10" t="inlineStr">
        <is>
          <t>UNI EN 81-20:2020, testo della norma, letto il 2026-10-06, p. 25</t>
        </is>
      </c>
      <c r="G103" s="10" t="inlineStr">
        <is>
          <t>confermato</t>
        </is>
      </c>
      <c r="H103" s="10" t="inlineStr">
        <is>
          <t>—</t>
        </is>
      </c>
      <c r="I103" s="11" t="n"/>
      <c r="J103" s="11" t="n"/>
      <c r="K103" s="11" t="n"/>
      <c r="L103" s="11" t="n"/>
      <c r="M103" s="11" t="n"/>
      <c r="N103" s="11" t="n"/>
    </row>
    <row r="104" ht="43" customHeight="1">
      <c r="A104" s="10" t="n">
        <v>102</v>
      </c>
      <c r="B104" s="10" t="inlineStr">
        <is>
          <t>Locale del macchinario</t>
        </is>
      </c>
      <c r="C104" s="10" t="inlineStr">
        <is>
          <t>Temperatura dei locali del macchinario e degli armadi</t>
        </is>
      </c>
      <c r="D104" s="10" t="inlineStr">
        <is>
          <t>temperatura ambiente mantenuta tra +5 °C e +40 °C: ipotesi della norma, da garantire nell’edificio</t>
        </is>
      </c>
      <c r="E104" s="10" t="inlineStr">
        <is>
          <t>UNI EN 81-20:2020, 0.4.16 (ipotesi della norma, vale anche per il vano)</t>
        </is>
      </c>
      <c r="F104" s="10" t="inlineStr">
        <is>
          <t>UNI EN 81-20:2020, testo della norma, letto il 2026-10-06, p. 14</t>
        </is>
      </c>
      <c r="G104" s="10" t="inlineStr">
        <is>
          <t>confermato</t>
        </is>
      </c>
      <c r="H104" s="10" t="inlineStr">
        <is>
          <t>—</t>
        </is>
      </c>
      <c r="I104" s="11" t="n"/>
      <c r="J104" s="11" t="n"/>
      <c r="K104" s="11" t="n"/>
      <c r="L104" s="11" t="n"/>
      <c r="M104" s="11" t="n"/>
      <c r="N104" s="11" t="n"/>
    </row>
    <row r="105" ht="225" customHeight="1">
      <c r="A105" s="10" t="n">
        <v>103</v>
      </c>
      <c r="B105" s="10" t="inlineStr">
        <is>
          <t>Locale del macchinario</t>
        </is>
      </c>
      <c r="C105" s="10" t="inlineStr">
        <is>
          <t>Basamento dell’argano</t>
        </is>
      </c>
      <c r="D105"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5" s="10" t="inlineStr">
        <is>
          <t>UNI EN 81-20:2020, 5.2.1.8 (carichi sull’edificio); scelta del costruttore</t>
        </is>
      </c>
      <c r="F105" s="10" t="inlineStr">
        <is>
          <t>telaio basso universale per argano alto 200 mm (lift-store.it); tamponi antivibranti 25–30 mm (catalogo Donati); piastre di 20 mm e plinto di 250–300 mm nella pratica di installazione (fonti estere, da confermare); estratti di ricerca del 1° ottobre 2026</t>
        </is>
      </c>
      <c r="G105" s="10" t="inlineStr">
        <is>
          <t>scelta del software</t>
        </is>
      </c>
      <c r="H105" s="10" t="inlineStr">
        <is>
          <t>—</t>
        </is>
      </c>
      <c r="I105" s="11" t="n"/>
      <c r="J105" s="11" t="n"/>
      <c r="K105" s="11" t="n"/>
      <c r="L105" s="11" t="n"/>
      <c r="M105" s="11" t="n"/>
      <c r="N105" s="11" t="n"/>
    </row>
    <row r="106" ht="147" customHeight="1">
      <c r="A106" s="10" t="n">
        <v>104</v>
      </c>
      <c r="B106" s="10" t="inlineStr">
        <is>
          <t>Locale del macchinario</t>
        </is>
      </c>
      <c r="C106" s="10" t="inlineStr">
        <is>
          <t>Telaio sotto l’argano di un costruttore</t>
        </is>
      </c>
      <c r="D106"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6" s="10" t="inlineStr">
        <is>
          <t>—</t>
        </is>
      </c>
      <c r="F106" s="10" t="inlineStr">
        <is>
          <t>quote dei piedi, dei fori e dell’asse della puleggia dalle schede tecniche del costruttore; altezza del telaio scelta dal software, da adattare al telaio fornito</t>
        </is>
      </c>
      <c r="G106" s="10" t="inlineStr">
        <is>
          <t>scelta del software</t>
        </is>
      </c>
      <c r="H106" s="10" t="inlineStr">
        <is>
          <t>—</t>
        </is>
      </c>
      <c r="I106" s="11" t="n"/>
      <c r="J106" s="11" t="n"/>
      <c r="K106" s="11" t="n"/>
      <c r="L106" s="11" t="n"/>
      <c r="M106" s="11" t="n"/>
      <c r="N106" s="11" t="n"/>
    </row>
    <row r="107" ht="303" customHeight="1">
      <c r="A107" s="10" t="n">
        <v>105</v>
      </c>
      <c r="B107" s="10" t="inlineStr">
        <is>
          <t>Locale del macchinario</t>
        </is>
      </c>
      <c r="C107" s="10" t="inlineStr">
        <is>
          <t>Puleggia di rinvio nel locale del macchinario</t>
        </is>
      </c>
      <c r="D107"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7" s="10" t="inlineStr">
        <is>
          <t>regola del committente (Panev): il rinvio sta nel telaio del locale macchina, mai nel vano; UNI EN 81-20:2020, 5.2.1.8 (carichi sull’edificio)</t>
        </is>
      </c>
      <c r="F107"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7" s="10" t="inlineStr">
        <is>
          <t>scelta del software</t>
        </is>
      </c>
      <c r="H107" s="10" t="inlineStr">
        <is>
          <t>calata del contrappeso nel telaio con rinvio del costruttore</t>
        </is>
      </c>
      <c r="I107" s="11" t="n"/>
      <c r="J107" s="11" t="n"/>
      <c r="K107" s="11" t="n"/>
      <c r="L107" s="11" t="n"/>
      <c r="M107" s="11" t="n"/>
      <c r="N107" s="11" t="n"/>
    </row>
    <row r="108" ht="186" customHeight="1">
      <c r="A108" s="10" t="n">
        <v>106</v>
      </c>
      <c r="B108" s="10" t="inlineStr">
        <is>
          <t>Locale del macchinario</t>
        </is>
      </c>
      <c r="C108" s="10" t="inlineStr">
        <is>
          <t>L’argano dentro il locale del macchinario</t>
        </is>
      </c>
      <c r="D108"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08" s="10" t="inlineStr">
        <is>
          <t>—</t>
        </is>
      </c>
      <c r="F108" s="10" t="inlineStr">
        <is>
          <t>geometria del progetto: la pianta e l’altezza del locale inserite, gli ingombri dell’argano e del basamento</t>
        </is>
      </c>
      <c r="G108" s="10" t="inlineStr">
        <is>
          <t>derivazione</t>
        </is>
      </c>
      <c r="H108" s="10" t="inlineStr">
        <is>
          <t>argano dentro il locale (muri e soffitto); puleggia di rinvio sul suo supporto sotto l’argano</t>
        </is>
      </c>
      <c r="I108" s="11" t="n"/>
      <c r="J108" s="11" t="n"/>
      <c r="K108" s="11" t="n"/>
      <c r="L108" s="11" t="n"/>
      <c r="M108" s="11" t="n"/>
      <c r="N108" s="11" t="n"/>
    </row>
    <row r="109" ht="134" customHeight="1">
      <c r="A109" s="10" t="n">
        <v>107</v>
      </c>
      <c r="B109" s="10" t="inlineStr">
        <is>
          <t>Locale del macchinario</t>
        </is>
      </c>
      <c r="C109" s="10" t="inlineStr">
        <is>
          <t>Verifica delle putrelle sotto l’argano — verifica semplice a carico concentrato in mezzeria su trave appoggiata; gli appoggi nei muri e la muratura vanno verificati dal progettista</t>
        </is>
      </c>
      <c r="D109"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9"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9" s="10" t="inlineStr">
        <is>
          <t>NTC 2018 (DM 17/01/2018); catalogo dei profilati ArcelorMittal (EN 10365) confrontato con due tabelle indipendenti; DPR 1497/1963 letto per intero (research/argano-geared, cap. 15, §1.1)</t>
        </is>
      </c>
      <c r="G109" s="10" t="inlineStr">
        <is>
          <t>da verificare</t>
        </is>
      </c>
      <c r="H109" s="10" t="inlineStr">
        <is>
          <t>tensione nelle putrelle sotto l’argano; freccia delle putrelle sotto l’argano</t>
        </is>
      </c>
      <c r="I109" s="11" t="n"/>
      <c r="J109" s="11" t="n"/>
      <c r="K109" s="11" t="n"/>
      <c r="L109" s="11" t="n"/>
      <c r="M109" s="11" t="n"/>
      <c r="N109" s="11" t="n"/>
    </row>
    <row r="110" ht="147" customHeight="1">
      <c r="A110" s="10" t="n">
        <v>108</v>
      </c>
      <c r="B110" s="10" t="inlineStr">
        <is>
          <t>Locale del macchinario</t>
        </is>
      </c>
      <c r="C110" s="10" t="inlineStr">
        <is>
          <t>Sostituzione dell’argano: calate esistenti e calate della nuova macchina</t>
        </is>
      </c>
      <c r="D110"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0" s="10" t="inlineStr">
        <is>
          <t>—</t>
        </is>
      </c>
      <c r="F110" s="10" t="inlineStr">
        <is>
          <t>tolleranza scelta dal software per il rilievo in sito (le funi a qualche metro dal basamento): da confermare con l’installatore</t>
        </is>
      </c>
      <c r="G110" s="10" t="inlineStr">
        <is>
          <t>scelta del software</t>
        </is>
      </c>
      <c r="H110" s="10" t="inlineStr">
        <is>
          <t>sostituzione: calate della nuova macchina sulle calate esistenti</t>
        </is>
      </c>
      <c r="I110" s="11" t="n"/>
      <c r="J110" s="11" t="n"/>
      <c r="K110" s="11" t="n"/>
      <c r="L110" s="11" t="n"/>
      <c r="M110" s="11" t="n"/>
      <c r="N110" s="11" t="n"/>
    </row>
    <row r="111" ht="472" customHeight="1">
      <c r="A111" s="10" t="n">
        <v>109</v>
      </c>
      <c r="B111" s="10" t="inlineStr">
        <is>
          <t>Locale del macchinario</t>
        </is>
      </c>
      <c r="C111"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1"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1" s="10" t="inlineStr">
        <is>
          <t>UNI EN 81-20:2020, 5.2.1.8.1 e appendice E.1 (carichi sull’edificio); NTC 2018, §4.2.4.1.1 (γM0), Tab. 11.3.IX (S275), §11.3.4.1 (E); DPR 1497/1963, art. 5.1–5.2 (freccia ≤ 1/1500 della luce libera); proprietà dei profili EN 10365</t>
        </is>
      </c>
      <c r="F111"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1" s="10" t="inlineStr">
        <is>
          <t>scelta del software</t>
        </is>
      </c>
      <c r="H111" s="10" t="inlineStr">
        <is>
          <t>tensione nelle putrelle HEB sui muri del vano; freccia delle putrelle HEB sui muri del vano; basamento dell’argano sulle putrelle HEB; funi lontane dalle putrelle HEB; appoggio delle putrelle HEB nei muri del vano</t>
        </is>
      </c>
      <c r="I111" s="11" t="n"/>
      <c r="J111" s="11" t="n"/>
      <c r="K111" s="11" t="n"/>
      <c r="L111" s="11" t="n"/>
      <c r="M111" s="11" t="n"/>
      <c r="N111" s="11" t="n"/>
    </row>
    <row r="112" ht="147" customHeight="1">
      <c r="A112" s="10" t="n">
        <v>110</v>
      </c>
      <c r="B112" s="10" t="inlineStr">
        <is>
          <t>Carichi sull’edificio e spinte sulle guide</t>
        </is>
      </c>
      <c r="C112"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2"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2" s="10" t="inlineStr">
        <is>
          <t>UNI EN 81-20:2020, 5.2.1.8.4–5.2.1.8.6, 5.7.2.3.5 e Prospetto 14 (k1)</t>
        </is>
      </c>
      <c r="F112" s="10" t="inlineStr">
        <is>
          <t>UNI EN 81-20:2020, testo della norma, letto il 2026-10-06, pp. 27, 94–96</t>
        </is>
      </c>
      <c r="G112" s="10" t="inlineStr">
        <is>
          <t>confermato</t>
        </is>
      </c>
      <c r="H112" s="10" t="inlineStr">
        <is>
          <t>—</t>
        </is>
      </c>
      <c r="I112" s="11" t="n"/>
      <c r="J112" s="11" t="n"/>
      <c r="K112" s="11" t="n"/>
      <c r="L112" s="11" t="n"/>
      <c r="M112" s="11" t="n"/>
      <c r="N112" s="11" t="n"/>
    </row>
    <row r="113" ht="108" customHeight="1">
      <c r="A113" s="10" t="n">
        <v>111</v>
      </c>
      <c r="B113" s="10" t="inlineStr">
        <is>
          <t>Carichi sull’edificio e spinte sulle guide</t>
        </is>
      </c>
      <c r="C113" s="10" t="inlineStr">
        <is>
          <t>Spinte sulle guide di cabina — h, la distanza tra i pattini, è una stima del software (l’ingombro verticale dell’arcata)</t>
        </is>
      </c>
      <c r="D113"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3" s="10" t="inlineStr">
        <is>
          <t>UNI EN 81-50:2020, appendice C (informativa), C.2.1.1 e C.2.2.1; UNI EN 81-20:2020, 5.7.2.3.4 (portata su 3/4 della superficie: 1/8) e Prospetto 14 (k1; k2 = 1,2)</t>
        </is>
      </c>
      <c r="F113" s="10" t="inlineStr">
        <is>
          <t>UNI EN 81-50:2020, testo della norma, letto il 2026-10-06, pp. 77–79; UNI EN 81-20:2020, testo della norma, letto il 2026-10-06, pp. 94–96</t>
        </is>
      </c>
      <c r="G113" s="10" t="inlineStr">
        <is>
          <t>confermato</t>
        </is>
      </c>
      <c r="H113" s="10" t="inlineStr">
        <is>
          <t>—</t>
        </is>
      </c>
      <c r="I113" s="11" t="n"/>
      <c r="J113" s="11" t="n"/>
      <c r="K113" s="11" t="n"/>
      <c r="L113" s="11" t="n"/>
      <c r="M113" s="11" t="n"/>
      <c r="N113" s="11" t="n"/>
    </row>
    <row r="114" ht="108" customHeight="1">
      <c r="A114" s="10" t="n">
        <v>112</v>
      </c>
      <c r="B114" s="10" t="inlineStr">
        <is>
          <t>Carichi sull’edificio e spinte sulle guide</t>
        </is>
      </c>
      <c r="C114" s="10" t="inlineStr">
        <is>
          <t>Carico della macchina sulla soletta</t>
        </is>
      </c>
      <c r="D114" s="10" t="inlineStr">
        <is>
          <t>carico statico sull’asse (cabina, portata, contrappeso, funi, cavi; in taglia 2:1 la metà di cabina, portata e contrappeso) × 2 come coefficiente dinamico; sulla soletta anche la massa di macchina e telaio</t>
        </is>
      </c>
      <c r="E114" s="10" t="inlineStr">
        <is>
          <t>UNI EN 81-20:2020, 5.2.1.8.1 e appendice E.1 (informativa: l’effetto dinamico delle masse in moto con un fattore 2); il DPR 1497/1963, art. 5.1, per gli impianti costruiti secondo esso chiedeva 1,5 volte il carico statico delle funi</t>
        </is>
      </c>
      <c r="F114" s="10" t="inlineStr">
        <is>
          <t>UNI EN 81-20:2020, testo della norma, letto il 2026-10-06, pp. 26, 148</t>
        </is>
      </c>
      <c r="G114" s="10" t="inlineStr">
        <is>
          <t>confermato</t>
        </is>
      </c>
      <c r="H114" s="10" t="inlineStr">
        <is>
          <t>—</t>
        </is>
      </c>
      <c r="I114" s="11" t="n"/>
      <c r="J114" s="11" t="n"/>
      <c r="K114" s="11" t="n"/>
      <c r="L114" s="11" t="n"/>
      <c r="M114" s="11" t="n"/>
      <c r="N114" s="11" t="n"/>
    </row>
    <row r="115" ht="43" customHeight="1">
      <c r="A115" s="10" t="n">
        <v>113</v>
      </c>
      <c r="B115" s="10" t="inlineStr">
        <is>
          <t>Carichi sull’edificio e spinte sulle guide</t>
        </is>
      </c>
      <c r="C115" s="10" t="inlineStr">
        <is>
          <t>Massa dei cavi flessibili</t>
        </is>
      </c>
      <c r="D115" s="10" t="inlineStr">
        <is>
          <t>0,5 kg/m per metà della corsa più 3 m (cavo piatto 24G0,75), sul basamento dell’argano, nella relazione e nel foglio 1</t>
        </is>
      </c>
      <c r="E115" s="10" t="inlineStr">
        <is>
          <t>—</t>
        </is>
      </c>
      <c r="F115" s="10" t="inlineStr">
        <is>
          <t>schede dei costruttori di cavi piatti (0,48–0,57 kg/m)</t>
        </is>
      </c>
      <c r="G115" s="10" t="inlineStr">
        <is>
          <t>stima</t>
        </is>
      </c>
      <c r="H115" s="10" t="inlineStr">
        <is>
          <t>—</t>
        </is>
      </c>
      <c r="I115" s="11" t="n"/>
      <c r="J115" s="11" t="n"/>
      <c r="K115" s="11" t="n"/>
      <c r="L115" s="11" t="n"/>
      <c r="M115" s="11" t="n"/>
      <c r="N115" s="11" t="n"/>
    </row>
    <row r="116" ht="121" customHeight="1">
      <c r="A116" s="10" t="n">
        <v>114</v>
      </c>
      <c r="B116" s="10" t="inlineStr">
        <is>
          <t>Carichi sull’edificio e spinte sulle guide</t>
        </is>
      </c>
      <c r="C116" s="10" t="inlineStr">
        <is>
          <t>Numero e posizione delle staffe delle guide — il passo delle staffe va confermato con la verifica delle guide (UNI EN 81-50:2020, 5.10), che usa la distanza tra le staffe</t>
        </is>
      </c>
      <c r="D116"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6" s="10" t="inlineStr">
        <is>
          <t>regola di montaggio indicata dal committente</t>
        </is>
      </c>
      <c r="F116" s="10" t="inlineStr">
        <is>
          <t>scelta del committente</t>
        </is>
      </c>
      <c r="G116" s="10" t="inlineStr">
        <is>
          <t>scelta del software</t>
        </is>
      </c>
      <c r="H116" s="10" t="inlineStr">
        <is>
          <t>—</t>
        </is>
      </c>
      <c r="I116" s="11" t="n"/>
      <c r="J116" s="11" t="n"/>
      <c r="K116" s="11" t="n"/>
      <c r="L116" s="11" t="n"/>
      <c r="M116" s="11" t="n"/>
      <c r="N116" s="11" t="n"/>
    </row>
    <row r="117" ht="82" customHeight="1">
      <c r="A117" s="10" t="n">
        <v>115</v>
      </c>
      <c r="B117" s="10" t="inlineStr">
        <is>
          <t>Carichi sull’edificio e spinte sulle guide</t>
        </is>
      </c>
      <c r="C117" s="10" t="inlineStr">
        <is>
          <t>Lunghezze stimate nel foglio dei dati</t>
        </is>
      </c>
      <c r="D117"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17" s="10" t="inlineStr">
        <is>
          <t>—</t>
        </is>
      </c>
      <c r="F117" s="10" t="inlineStr">
        <is>
          <t>stima del software, da sostituire con le misure di cantiere</t>
        </is>
      </c>
      <c r="G117" s="10" t="inlineStr">
        <is>
          <t>stima</t>
        </is>
      </c>
      <c r="H117" s="10" t="inlineStr">
        <is>
          <t>—</t>
        </is>
      </c>
      <c r="I117" s="11" t="n"/>
      <c r="J117" s="11" t="n"/>
      <c r="K117" s="11" t="n"/>
      <c r="L117" s="11" t="n"/>
      <c r="M117" s="11" t="n"/>
      <c r="N117" s="11" t="n"/>
    </row>
    <row r="118" ht="329" customHeight="1">
      <c r="A118" s="10" t="n">
        <v>116</v>
      </c>
      <c r="B118" s="10" t="inlineStr">
        <is>
          <t>Carichi sull’edificio e spinte sulle guide</t>
        </is>
      </c>
      <c r="C118"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8"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8" s="10" t="inlineStr">
        <is>
          <t>UNI EN 81-50:2020, 5.10.2–5.10.6; UNI EN 81-20:2020, 5.7.2.3.5, 5.7.2.3.6, 5.7.4.5 (Prospetto 15), 5.7.4.6 e Prospetto 14; UNI EN 81-1:2008, G.2.5 (l’uso non indicato)</t>
        </is>
      </c>
      <c r="F118" s="10" t="inlineStr">
        <is>
          <t>UNI EN 81-50:2020, testo della norma, letto il 2026-10-06, pp. 35–39; UNI EN 81-20:2020, testo della norma, letto il 2026-10-06, pp. 94–97; Rm 370 è scelta del software (il valore più basso)</t>
        </is>
      </c>
      <c r="G118" s="10" t="inlineStr">
        <is>
          <t>confermato</t>
        </is>
      </c>
      <c r="H118" s="10" t="inlineStr">
        <is>
          <t>tensioni nelle guide di cabina; flessione della suola delle guide di cabina; frecce delle guide di cabina</t>
        </is>
      </c>
      <c r="I118" s="11" t="n"/>
      <c r="J118" s="11" t="n"/>
      <c r="K118" s="11" t="n"/>
      <c r="L118" s="11" t="n"/>
      <c r="M118" s="11" t="n"/>
      <c r="N118" s="11" t="n"/>
    </row>
    <row r="119" ht="147" customHeight="1">
      <c r="A119" s="10" t="n">
        <v>117</v>
      </c>
      <c r="B119" s="10" t="inlineStr">
        <is>
          <t>Carichi sull’edificio e spinte sulle guide</t>
        </is>
      </c>
      <c r="C119" s="10" t="inlineStr">
        <is>
          <t>Sezioni delle guide di cabina</t>
        </is>
      </c>
      <c r="D119" s="10" t="inlineStr">
        <is>
          <t>area, momenti d’inerzia e moduli di resistenza minimi attorno all’asse parallelo alla suola (x) e all’asse di simmetria (y), spessore c del collo tra lama e suola, per ogni profilo del software; raggi d’inerzia calcolati come √(I/A)</t>
        </is>
      </c>
      <c r="E119" s="10" t="inlineStr">
        <is>
          <t>ISO 7465:2007 (ora ISO 8100-33:2022); EN 10055:1995 per il T 70×70×8 laminato</t>
        </is>
      </c>
      <c r="F119"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9" s="10" t="inlineStr">
        <is>
          <t>da verificare</t>
        </is>
      </c>
      <c r="H119" s="10" t="inlineStr">
        <is>
          <t>—</t>
        </is>
      </c>
      <c r="I119" s="11" t="n"/>
      <c r="J119" s="11" t="n"/>
      <c r="K119" s="11" t="n"/>
      <c r="L119" s="11" t="n"/>
      <c r="M119" s="11" t="n"/>
      <c r="N119" s="11" t="n"/>
    </row>
    <row r="120" ht="69" customHeight="1">
      <c r="A120" s="10" t="n">
        <v>118</v>
      </c>
      <c r="B120" s="10" t="inlineStr">
        <is>
          <t>Carichi sull’edificio e spinte sulle guide</t>
        </is>
      </c>
      <c r="C120" s="10" t="inlineStr">
        <is>
          <t>Tipo di paracadute per la velocità nominale</t>
        </is>
      </c>
      <c r="D120" s="10" t="inlineStr">
        <is>
          <t>istantaneo (anche a rulli imprigionati) fino a 0,63 m/s; oltre, progressivo (la UNI EN 81-20 non ha più l’istantaneo con effetto ammortizzato fino a 1 m/s); il tipo viene dai dati dell’impianto (se manca: progressivo, con la nota sul foglio)</t>
        </is>
      </c>
      <c r="E120" s="10" t="inlineStr">
        <is>
          <t>UNI EN 81-20:2020, 5.6.2.1.2.1; la regola precedente in UNI EN 81-1 (1999, 2008), 9.8.2.1</t>
        </is>
      </c>
      <c r="F120" s="10" t="inlineStr">
        <is>
          <t>UNI EN 81-20:2020, testo della norma, letto il 2026-10-06, p. 81; UNI EN 81-1:2008, testo della norma, letto il 2026-10-06, p. 58</t>
        </is>
      </c>
      <c r="G120" s="10" t="inlineStr">
        <is>
          <t>confermato</t>
        </is>
      </c>
      <c r="H120" s="10" t="inlineStr">
        <is>
          <t>tipo di paracadute per la velocità</t>
        </is>
      </c>
      <c r="I120" s="11" t="n"/>
      <c r="J120" s="11" t="n"/>
      <c r="K120" s="11" t="n"/>
      <c r="L120" s="11" t="n"/>
      <c r="M120" s="11" t="n"/>
      <c r="N120" s="11" t="n"/>
    </row>
    <row r="121" ht="43" customHeight="1">
      <c r="A121" s="10" t="n">
        <v>119</v>
      </c>
      <c r="B121" s="10" t="inlineStr">
        <is>
          <t>Vano: limiti del progetto</t>
        </is>
      </c>
      <c r="C121" s="10" t="inlineStr">
        <is>
          <t>Dimensioni proposte della cabina</t>
        </is>
      </c>
      <c r="D121" s="10" t="inlineStr">
        <is>
          <t>la cabina più grande che entra nel vano, a passi di 10 mm, con superficie entro il limite della portata; a parità di superficie, la più profonda</t>
        </is>
      </c>
      <c r="E121" s="10" t="inlineStr">
        <is>
          <t>—</t>
        </is>
      </c>
      <c r="F121" s="10" t="inlineStr">
        <is>
          <t>scelta del software</t>
        </is>
      </c>
      <c r="G121" s="10" t="inlineStr">
        <is>
          <t>scelta del software</t>
        </is>
      </c>
      <c r="H121" s="10" t="inlineStr">
        <is>
          <t>—</t>
        </is>
      </c>
      <c r="I121" s="11" t="n"/>
      <c r="J121" s="11" t="n"/>
      <c r="K121" s="11" t="n"/>
      <c r="L121" s="11" t="n"/>
      <c r="M121" s="11" t="n"/>
      <c r="N121" s="11" t="n"/>
    </row>
    <row r="122" ht="225" customHeight="1">
      <c r="A122" s="10" t="n">
        <v>120</v>
      </c>
      <c r="B122" s="10" t="inlineStr">
        <is>
          <t>Vano: limiti del progetto</t>
        </is>
      </c>
      <c r="C122" s="10" t="inlineStr">
        <is>
          <t>Quote della pianta fissate a mano</t>
        </is>
      </c>
      <c r="D12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2" s="10" t="inlineStr">
        <is>
          <t>—</t>
        </is>
      </c>
      <c r="F122" s="10" t="inlineStr">
        <is>
          <t>scelta del software</t>
        </is>
      </c>
      <c r="G122" s="10" t="inlineStr">
        <is>
          <t>scelta del software</t>
        </is>
      </c>
      <c r="H122" s="10" t="inlineStr">
        <is>
          <t>quote fissate a mano: ingombri al loro posto; quote fissate a mano: porte dentro la cabina; ammortizzatori fissati a mano: sotto cabina e contrappeso, fuori dal rifugio</t>
        </is>
      </c>
      <c r="I122" s="11" t="n"/>
      <c r="J122" s="11" t="n"/>
      <c r="K122" s="11" t="n"/>
      <c r="L122" s="11" t="n"/>
      <c r="M122" s="11" t="n"/>
      <c r="N122" s="11" t="n"/>
    </row>
    <row r="123" ht="82" customHeight="1">
      <c r="A123" s="10" t="n">
        <v>121</v>
      </c>
      <c r="B123" s="10" t="inlineStr">
        <is>
          <t>Vano: limiti del progetto</t>
        </is>
      </c>
      <c r="C123" s="10" t="inlineStr">
        <is>
          <t>Limiti del modello del vano</t>
        </is>
      </c>
      <c r="D123" s="10" t="inlineStr">
        <is>
          <t>pianta, sezione A-A e locale macchina da un modello semplificato: arcata, operatori delle porte, ammortizzatori e macchina hanno posizioni e ingombri tipici, da sostituire con i dati dei fornitori; il rilievo dal disegno CAD va controllato in cantiere</t>
        </is>
      </c>
      <c r="E123" s="10" t="inlineStr">
        <is>
          <t>—</t>
        </is>
      </c>
      <c r="F123" s="10" t="inlineStr">
        <is>
          <t>limite del modello attuale</t>
        </is>
      </c>
      <c r="G123" s="10" t="inlineStr">
        <is>
          <t>scelta del software</t>
        </is>
      </c>
      <c r="H123" s="10" t="inlineStr">
        <is>
          <t>—</t>
        </is>
      </c>
      <c r="I123" s="11" t="n"/>
      <c r="J123" s="11" t="n"/>
      <c r="K123" s="11" t="n"/>
      <c r="L123" s="11" t="n"/>
      <c r="M123" s="11" t="n"/>
      <c r="N123" s="11" t="n"/>
    </row>
    <row r="124" ht="238" customHeight="1">
      <c r="A124" s="10" t="n">
        <v>122</v>
      </c>
      <c r="B124" s="10" t="inlineStr">
        <is>
          <t>Vano: limiti del progetto</t>
        </is>
      </c>
      <c r="C124" s="10" t="inlineStr">
        <is>
          <t>Verifiche che il software non calcola</t>
        </is>
      </c>
      <c r="D124"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4"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4" s="10" t="inlineStr">
        <is>
          <t>UNI EN 81-20:2020, testo della norma, letto il 2026-10-06, pp. 31–43, 89–97; analisi delle lacune del 2026-10-03</t>
        </is>
      </c>
      <c r="G124" s="10" t="inlineStr">
        <is>
          <t>scelta del software</t>
        </is>
      </c>
      <c r="H124" s="10" t="inlineStr">
        <is>
          <t>—</t>
        </is>
      </c>
      <c r="I124" s="11" t="n"/>
      <c r="J124" s="11" t="n"/>
      <c r="K124" s="11" t="n"/>
      <c r="L124" s="11" t="n"/>
      <c r="M124" s="11" t="n"/>
      <c r="N124" s="11" t="n"/>
    </row>
    <row r="125" ht="56" customHeight="1">
      <c r="A125" s="10" t="n">
        <v>123</v>
      </c>
      <c r="B125" s="10" t="inlineStr">
        <is>
          <t>Impianto: valori calcolati dai dati inseriti una volta</t>
        </is>
      </c>
      <c r="C125" s="10" t="inlineStr">
        <is>
          <t>Corsa</t>
        </is>
      </c>
      <c r="D125" s="10" t="inlineStr">
        <is>
          <t>somma delle altezze tra i piani, dal più basso al più alto</t>
        </is>
      </c>
      <c r="E125" s="10" t="inlineStr">
        <is>
          <t>—</t>
        </is>
      </c>
      <c r="F125" s="10" t="inlineStr">
        <is>
          <t>dati dei piani inseriti</t>
        </is>
      </c>
      <c r="G125" s="10" t="inlineStr">
        <is>
          <t>derivazione</t>
        </is>
      </c>
      <c r="H125" s="10" t="inlineStr">
        <is>
          <t>—</t>
        </is>
      </c>
      <c r="I125" s="11" t="n"/>
      <c r="J125" s="11" t="n"/>
      <c r="K125" s="11" t="n"/>
      <c r="L125" s="11" t="n"/>
      <c r="M125" s="11" t="n"/>
      <c r="N125" s="11" t="n"/>
    </row>
    <row r="126" ht="56" customHeight="1">
      <c r="A126" s="10" t="n">
        <v>124</v>
      </c>
      <c r="B126" s="10" t="inlineStr">
        <is>
          <t>Impianto: valori calcolati dai dati inseriti una volta</t>
        </is>
      </c>
      <c r="C126" s="10" t="inlineStr">
        <is>
          <t>Portata e velocità — In una modifica il confronto con i carichi documentati è nella voce impianto.variazione.carico.</t>
        </is>
      </c>
      <c r="D126" s="10" t="inlineStr">
        <is>
          <t>la portata inserita, oppure quella della cabina più grande che entra nel vano (Tabella 6); la velocità è una sola per il vano e per la macchina</t>
        </is>
      </c>
      <c r="E126" s="10" t="inlineStr">
        <is>
          <t>UNI EN 81-20:2020, 5.4.2.1</t>
        </is>
      </c>
      <c r="F126" s="10" t="inlineStr">
        <is>
          <t>progetto del vano</t>
        </is>
      </c>
      <c r="G126" s="10" t="inlineStr">
        <is>
          <t>derivazione</t>
        </is>
      </c>
      <c r="H126" s="10" t="inlineStr">
        <is>
          <t>—</t>
        </is>
      </c>
      <c r="I126" s="11" t="n"/>
      <c r="J126" s="11" t="n"/>
      <c r="K126" s="11" t="n"/>
      <c r="L126" s="11" t="n"/>
      <c r="M126" s="11" t="n"/>
      <c r="N126" s="11" t="n"/>
    </row>
    <row r="127" ht="212" customHeight="1">
      <c r="A127" s="10" t="n">
        <v>125</v>
      </c>
      <c r="B127" s="10" t="inlineStr">
        <is>
          <t>Impianto: valori calcolati dai dati inseriti una volta</t>
        </is>
      </c>
      <c r="C12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7" s="10" t="inlineStr">
        <is>
          <t>UNI 10411-1:2024, 6.1 (prospetti 1 e 2); UNI 10411-11:2024, 6.1 e 6.2</t>
        </is>
      </c>
      <c r="F127" s="10" t="inlineStr">
        <is>
          <t>UNI 10411-1:2024, testo della norma, letto il 2026-10-06, p. 7; UNI 10411-11:2024, testo della norma, letto il 2026-10-06, pp. 7–8</t>
        </is>
      </c>
      <c r="G127" s="10" t="inlineStr">
        <is>
          <t>confermato</t>
        </is>
      </c>
      <c r="H127" s="10" t="inlineStr">
        <is>
          <t>—</t>
        </is>
      </c>
      <c r="I127" s="11" t="n"/>
      <c r="J127" s="11" t="n"/>
      <c r="K127" s="11" t="n"/>
      <c r="L127" s="11" t="n"/>
      <c r="M127" s="11" t="n"/>
      <c r="N127" s="11" t="n"/>
    </row>
    <row r="128" ht="108" customHeight="1">
      <c r="A128" s="10" t="n">
        <v>126</v>
      </c>
      <c r="B128" s="10" t="inlineStr">
        <is>
          <t>Impianto: valori calcolati dai dati inseriti una volta</t>
        </is>
      </c>
      <c r="C128" s="10" t="inlineStr">
        <is>
          <t>Modifica: UNI 10411-1 o UNI 10411-11 — la data dal DPR 162/1999 è una lettura dell’articolo 19 (messa in servizio secondo le regole precedenti fino al 30 giugno 1999)</t>
        </is>
      </c>
      <c r="D128"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8" s="10" t="inlineStr">
        <is>
          <t>UNI 10411-11:2024, 1 e 3.3–3.4; UNI 10411-1:2024, 1; DPR 162/1999, art. 7 c.2, art. 16 c.1 e c.3, art. 19 c.1</t>
        </is>
      </c>
      <c r="F128" s="10" t="inlineStr">
        <is>
          <t>UNI 10411-1:2024, testo della norma, letto il 2026-10-06, p. 5; UNI 10411-11:2024, testo della norma, letto il 2026-10-06, pp. 5–6; DPR 162/1999 (testo su Normattiva)</t>
        </is>
      </c>
      <c r="G128" s="10" t="inlineStr">
        <is>
          <t>confermato</t>
        </is>
      </c>
      <c r="H128" s="10" t="inlineStr">
        <is>
          <t>—</t>
        </is>
      </c>
      <c r="I128" s="11" t="n"/>
      <c r="J128" s="11" t="n"/>
      <c r="K128" s="11" t="n"/>
      <c r="L128" s="11" t="n"/>
      <c r="M128" s="11" t="n"/>
      <c r="N128" s="11" t="n"/>
    </row>
    <row r="129" ht="316" customHeight="1">
      <c r="A129" s="10" t="n">
        <v>127</v>
      </c>
      <c r="B129" s="10" t="inlineStr">
        <is>
          <t>Impianto: valori calcolati dai dati inseriti una volta</t>
        </is>
      </c>
      <c r="C129"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9"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9" s="10" t="inlineStr">
        <is>
          <t>DPR 162/1999 e s.m.i.; UNI 10411-1:2024; UNI 10411-11:2024; UNI EN 81-20:2020; UNI EN 81-50:2020</t>
        </is>
      </c>
      <c r="F129" s="10" t="inlineStr">
        <is>
          <t>UNI 10411-1:2024, testo della norma, letto il 2026-10-06, pp. 5, 13–14; UNI 10411-11:2024, testo della norma, letto il 2026-10-06, pp. 5, 12; schema ICIM delle verifiche (la verifica straordinaria si limita di norma alle modifiche); ricerca, capitoli 2.4 e 6.6</t>
        </is>
      </c>
      <c r="G129" s="10" t="inlineStr">
        <is>
          <t>scelta del software</t>
        </is>
      </c>
      <c r="H129" s="10" t="inlineStr">
        <is>
          <t>—</t>
        </is>
      </c>
      <c r="I129" s="11" t="n"/>
      <c r="J129" s="11" t="n"/>
      <c r="K129" s="11" t="n"/>
      <c r="L129" s="11" t="n"/>
      <c r="M129" s="11" t="n"/>
      <c r="N129" s="11" t="n"/>
    </row>
    <row r="130" ht="264" customHeight="1">
      <c r="A130" s="10" t="n">
        <v>128</v>
      </c>
      <c r="B130" s="10" t="inlineStr">
        <is>
          <t>Impianto: valori calcolati dai dati inseriti una volta</t>
        </is>
      </c>
      <c r="C130"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0"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0" s="10" t="inlineStr">
        <is>
          <t>DPR 162/1999 e s.m.i., art. 2 c.1 lett. cc), art. 12 c.4, art. 14 c.3; UNI 10411-1:2024; UNI 10411-11:2024; UNI EN 81-21:2022 (scopo)</t>
        </is>
      </c>
      <c r="F130" s="10" t="inlineStr">
        <is>
          <t>indicazione del cliente (5 ottobre 2026): prassi di lasciare l’arcata; ricerca, capitolo 16 §3.2 e §5.3</t>
        </is>
      </c>
      <c r="G130" s="10" t="inlineStr">
        <is>
          <t>prassi di cantiere</t>
        </is>
      </c>
      <c r="H130" s="10" t="inlineStr">
        <is>
          <t>—</t>
        </is>
      </c>
      <c r="I130" s="11" t="n"/>
      <c r="J130" s="11" t="n"/>
      <c r="K130" s="11" t="n"/>
      <c r="L130" s="11" t="n"/>
      <c r="M130" s="11" t="n"/>
      <c r="N130" s="11" t="n"/>
    </row>
    <row r="131" ht="69" customHeight="1">
      <c r="A131" s="10" t="n">
        <v>129</v>
      </c>
      <c r="B131" s="10" t="inlineStr">
        <is>
          <t>Impianto: valori calcolati dai dati inseriti una volta</t>
        </is>
      </c>
      <c r="C131" s="10" t="inlineStr">
        <is>
          <t>Massa della cabina non inserita — va sostituita con la massa del libretto o con quella ricavata dalla prova di bilanciamento; la sensibilità ±10% ne mostra l’effetto</t>
        </is>
      </c>
      <c r="D131" s="10" t="inlineStr">
        <is>
          <t>P = 1,1·Q arrotondata per eccesso a 10 kg: valore di partenza per far girare il calcolo</t>
        </is>
      </c>
      <c r="E131" s="10" t="inlineStr">
        <is>
          <t>ricerca, capitoli 3 e 6 (origine della massa della cabina)</t>
        </is>
      </c>
      <c r="F131" s="10" t="inlineStr">
        <is>
          <t>scelta del software, senza fonte</t>
        </is>
      </c>
      <c r="G131" s="10" t="inlineStr">
        <is>
          <t>stima</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Fune oltre la corsa (L0)</t>
        </is>
      </c>
      <c r="D132"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2" s="10" t="inlineStr">
        <is>
          <t>—</t>
        </is>
      </c>
      <c r="F132" s="10" t="inlineStr">
        <is>
          <t>dati verticali del vano; altezza dell’asse scelta dal software</t>
        </is>
      </c>
      <c r="G132" s="10" t="inlineStr">
        <is>
          <t>scelta del software</t>
        </is>
      </c>
      <c r="H132" s="10" t="inlineStr">
        <is>
          <t>—</t>
        </is>
      </c>
      <c r="I132" s="11" t="n"/>
      <c r="J132" s="11" t="n"/>
      <c r="K132" s="11" t="n"/>
      <c r="L132" s="11" t="n"/>
      <c r="M132" s="11" t="n"/>
      <c r="N132" s="11" t="n"/>
    </row>
    <row r="133" ht="147" customHeight="1">
      <c r="A133" s="10" t="n">
        <v>131</v>
      </c>
      <c r="B133" s="10" t="inlineStr">
        <is>
          <t>Impianto: valori calcolati dai dati inseriti una volta</t>
        </is>
      </c>
      <c r="C133" s="10" t="inlineStr">
        <is>
          <t>Distanza orizzontale della puleggia di rinvio (dx)</t>
        </is>
      </c>
      <c r="D133"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3" s="10" t="inlineStr">
        <is>
          <t>ricerca, capitolo 5.3</t>
        </is>
      </c>
      <c r="F133" s="10" t="inlineStr">
        <is>
          <t>pianta del vano</t>
        </is>
      </c>
      <c r="G133" s="10" t="inlineStr">
        <is>
          <t>derivazione</t>
        </is>
      </c>
      <c r="H133" s="10" t="inlineStr">
        <is>
          <t>—</t>
        </is>
      </c>
      <c r="I133" s="11" t="n"/>
      <c r="J133" s="11" t="n"/>
      <c r="K133" s="11" t="n"/>
      <c r="L133" s="11" t="n"/>
      <c r="M133" s="11" t="n"/>
      <c r="N133" s="11" t="n"/>
    </row>
    <row r="134" ht="160" customHeight="1">
      <c r="A134" s="10" t="n">
        <v>132</v>
      </c>
      <c r="B134" s="10" t="inlineStr">
        <is>
          <t>Impianto: valori calcolati dai dati inseriti una volta</t>
        </is>
      </c>
      <c r="C134"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4"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4" s="10" t="inlineStr">
        <is>
          <t>ricerca, capitolo 5.3 (angolo di avvolgimento del tiro diretto)</t>
        </is>
      </c>
      <c r="F134" s="10" t="inlineStr">
        <is>
          <t>geometria delle funi</t>
        </is>
      </c>
      <c r="G134" s="10" t="inlineStr">
        <is>
          <t>derivazione</t>
        </is>
      </c>
      <c r="H134" s="10" t="inlineStr">
        <is>
          <t>—</t>
        </is>
      </c>
      <c r="I134" s="11" t="n"/>
      <c r="J134" s="11" t="n"/>
      <c r="K134" s="11" t="n"/>
      <c r="L134" s="11" t="n"/>
      <c r="M134" s="11" t="n"/>
      <c r="N134" s="11" t="n"/>
    </row>
    <row r="135" ht="56" customHeight="1">
      <c r="A135" s="10" t="n">
        <v>133</v>
      </c>
      <c r="B135" s="10" t="inlineStr">
        <is>
          <t>Impianto: valori calcolati dai dati inseriti una volta</t>
        </is>
      </c>
      <c r="C135" s="10" t="inlineStr">
        <is>
          <t>Macchina in basso: altezza fino alle pulegge in alto (Hv)</t>
        </is>
      </c>
      <c r="D135" s="10" t="inlineStr">
        <is>
          <t>dall’asse dei rinvii in testata all’asse della puleggia di frizione, secondo lo schema delle funi (impianto.basso.schema); la puleggia ha l’asse a 0,9·D sul pavimento del suo locale</t>
        </is>
      </c>
      <c r="E135" s="10" t="inlineStr">
        <is>
          <t>ricerca, capitolo 5; funi con la macchina in basso, capitolo 2.6</t>
        </is>
      </c>
      <c r="F135" s="10" t="inlineStr">
        <is>
          <t>dati verticali del vano</t>
        </is>
      </c>
      <c r="G135" s="10" t="inlineStr">
        <is>
          <t>derivazione</t>
        </is>
      </c>
      <c r="H135" s="10" t="inlineStr">
        <is>
          <t>—</t>
        </is>
      </c>
      <c r="I135" s="11" t="n"/>
      <c r="J135" s="11" t="n"/>
      <c r="K135" s="11" t="n"/>
      <c r="L135" s="11" t="n"/>
      <c r="M135" s="11" t="n"/>
      <c r="N135" s="11" t="n"/>
    </row>
    <row r="136" ht="381" customHeight="1">
      <c r="A136" s="10" t="n">
        <v>134</v>
      </c>
      <c r="B136" s="10" t="inlineStr">
        <is>
          <t>Impianto: valori calcolati dai dati inseriti una volta</t>
        </is>
      </c>
      <c r="C136"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6"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6" s="10" t="inlineStr">
        <is>
          <t>ricerca, funi con la macchina in basso, capitoli 2–5; DPR 1497/1963 artt. 5–9, 33</t>
        </is>
      </c>
      <c r="F136" s="10" t="inlineStr">
        <is>
          <t>geometria ricostruita dal software</t>
        </is>
      </c>
      <c r="G136" s="10" t="inlineStr">
        <is>
          <t>scelta del software</t>
        </is>
      </c>
      <c r="H136" s="10" t="inlineStr">
        <is>
          <t>—</t>
        </is>
      </c>
      <c r="I136" s="11" t="n"/>
      <c r="J136" s="11" t="n"/>
      <c r="K136" s="11" t="n"/>
      <c r="L136" s="11" t="n"/>
      <c r="M136" s="11" t="n"/>
      <c r="N136" s="11" t="n"/>
    </row>
    <row r="137" ht="251" customHeight="1">
      <c r="A137" s="10" t="n">
        <v>135</v>
      </c>
      <c r="B137" s="10" t="inlineStr">
        <is>
          <t>Impianto: valori calcolati dai dati inseriti una volta</t>
        </is>
      </c>
      <c r="C137"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7"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7" s="10" t="inlineStr">
        <is>
          <t>ricerca, capitolo 12 (catalogo degli argani)</t>
        </is>
      </c>
      <c r="F137" s="10" t="inlineStr">
        <is>
          <t>SICOR: schede tecniche 2025 e modelli CAD scaricati da sicoritaly.com il 2 ottobre 2026 (solo le quote); Sassi, Montanari, GEM, FAER: estratti delle pagine dei costruttori e dei rivenditori, 1° ottobre 2026</t>
        </is>
      </c>
      <c r="G137" s="10" t="inlineStr">
        <is>
          <t>scelta del software</t>
        </is>
      </c>
      <c r="H137" s="10" t="inlineStr">
        <is>
          <t>—</t>
        </is>
      </c>
      <c r="I137" s="11" t="n"/>
      <c r="J137" s="11" t="n"/>
      <c r="K137" s="11" t="n"/>
      <c r="L137" s="11" t="n"/>
      <c r="M137" s="11" t="n"/>
      <c r="N137" s="11" t="n"/>
    </row>
    <row r="138" ht="134" customHeight="1">
      <c r="A138" s="10" t="n">
        <v>136</v>
      </c>
      <c r="B138" s="10" t="inlineStr">
        <is>
          <t>Impianto: valori calcolati dai dati inseriti una volta</t>
        </is>
      </c>
      <c r="C138"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8" s="10" t="inlineStr">
        <is>
          <t>la prima opzione del dimensionamento (capitolo 8): puleggia, funi, rapporto, gola, motore e freno che passano ogni verifica; con le ipotesi del gruppo (poli, giri, rendimenti, inerzie) inserite</t>
        </is>
      </c>
      <c r="E138" s="10" t="inlineStr">
        <is>
          <t>ricerca, capitolo 8</t>
        </is>
      </c>
      <c r="F138" s="10" t="inlineStr">
        <is>
          <t>motore di calcolo</t>
        </is>
      </c>
      <c r="G138" s="10" t="inlineStr">
        <is>
          <t>scelta del software</t>
        </is>
      </c>
      <c r="H138" s="10" t="inlineStr">
        <is>
          <t>—</t>
        </is>
      </c>
      <c r="I138" s="11" t="n"/>
      <c r="J138" s="11" t="n"/>
      <c r="K138" s="11" t="n"/>
      <c r="L138" s="11" t="n"/>
      <c r="M138" s="11" t="n"/>
      <c r="N138" s="11" t="n"/>
    </row>
    <row r="139" ht="69" customHeight="1">
      <c r="A139" s="10" t="n">
        <v>137</v>
      </c>
      <c r="B139" s="10" t="inlineStr">
        <is>
          <t>Simulazione nel tempo (3D e grafici)</t>
        </is>
      </c>
      <c r="C139" s="10" t="inlineStr">
        <is>
          <t>Forze nella simulazione — agli estremi della corsa e alle accelerazioni della verifica i valori coincidono con quelli della verifica (test automatico)</t>
        </is>
      </c>
      <c r="D139" s="10" t="inlineStr">
        <is>
          <t>tiri delle funi, T1/T2, e^(f·α), coppie e decelerazione del freno con le stesse funzioni della verifica (modello delle funi del motore di calcolo), valutate istante per istante con la posizione e l’accelerazione della cabina</t>
        </is>
      </c>
      <c r="E139" s="10" t="inlineStr">
        <is>
          <t>UNI EN 81-50:2020, 5.11 (aderenza); ricerca, capitolo 4</t>
        </is>
      </c>
      <c r="F139" s="10" t="inlineStr">
        <is>
          <t>motore di calcolo (src/calc/model.ts)</t>
        </is>
      </c>
      <c r="G139" s="10" t="inlineStr">
        <is>
          <t>derivazione</t>
        </is>
      </c>
      <c r="H139" s="10" t="inlineStr">
        <is>
          <t>—</t>
        </is>
      </c>
      <c r="I139" s="11" t="n"/>
      <c r="J139" s="11" t="n"/>
      <c r="K139" s="11" t="n"/>
      <c r="L139" s="11" t="n"/>
      <c r="M139" s="11" t="n"/>
      <c r="N139" s="11" t="n"/>
    </row>
    <row r="140" ht="56" customHeight="1">
      <c r="A140" s="10" t="n">
        <v>138</v>
      </c>
      <c r="B140" s="10" t="inlineStr">
        <is>
          <t>Simulazione nel tempo (3D e grafici)</t>
        </is>
      </c>
      <c r="C140" s="10" t="inlineStr">
        <is>
          <t>Profilo del moto tra i piani — accelerazione e strappo sono dati di progetto dell’azionamento, non limiti normativi</t>
        </is>
      </c>
      <c r="D140" s="10" t="inlineStr">
        <is>
          <t>profilo a strappo limitato: velocità nominale, accelerazione di progetto e strappo 1 m/s³; se il tragitto è corto, la velocità più alta che ci sta</t>
        </is>
      </c>
      <c r="E140" s="10" t="inlineStr">
        <is>
          <t>ISO 18738-1:2012 (misura della qualità di marcia, nessun limite)</t>
        </is>
      </c>
      <c r="F140" s="10" t="inlineStr">
        <is>
          <t>scelta del software</t>
        </is>
      </c>
      <c r="G140" s="10" t="inlineStr">
        <is>
          <t>scelta del software</t>
        </is>
      </c>
      <c r="H140" s="10" t="inlineStr">
        <is>
          <t>—</t>
        </is>
      </c>
      <c r="I140" s="11" t="n"/>
      <c r="J140" s="11" t="n"/>
      <c r="K140" s="11" t="n"/>
      <c r="L140" s="11" t="n"/>
      <c r="M140" s="11" t="n"/>
      <c r="N140" s="11" t="n"/>
    </row>
    <row r="141" ht="69" customHeight="1">
      <c r="A141" s="10" t="n">
        <v>139</v>
      </c>
      <c r="B141" s="10" t="inlineStr">
        <is>
          <t>Simulazione nel tempo (3D e grafici)</t>
        </is>
      </c>
      <c r="C141" s="10" t="inlineStr">
        <is>
          <t>Limite di aderenza mostrato durante la marcia</t>
        </is>
      </c>
      <c r="D141" s="10" t="inlineStr">
        <is>
          <t>e^(f·α) con il coefficiente d’attrito della frenatura (μ ridotto con la velocità delle funi): il confronto è indicativo (oltre il limite: avviso, non verifica fallita), la verifica resta quella dei casi della norma</t>
        </is>
      </c>
      <c r="E141" s="10" t="inlineStr">
        <is>
          <t>UNI EN 81-50:2020, 5.11.1 e 5.11.2.3.2 (μ della frenatura)</t>
        </is>
      </c>
      <c r="F141" s="10" t="inlineStr">
        <is>
          <t>scelta del software</t>
        </is>
      </c>
      <c r="G141" s="10" t="inlineStr">
        <is>
          <t>scelta del software</t>
        </is>
      </c>
      <c r="H141" s="10" t="inlineStr">
        <is>
          <t>—</t>
        </is>
      </c>
      <c r="I141" s="11" t="n"/>
      <c r="J141" s="11" t="n"/>
      <c r="K141" s="11" t="n"/>
      <c r="L141" s="11" t="n"/>
      <c r="M141" s="11" t="n"/>
      <c r="N141" s="11" t="n"/>
    </row>
    <row r="142" ht="108" customHeight="1">
      <c r="A142" s="10" t="n">
        <v>140</v>
      </c>
      <c r="B142" s="10" t="inlineStr">
        <is>
          <t>Simulazione nel tempo (3D e grafici)</t>
        </is>
      </c>
      <c r="C142" s="10" t="inlineStr">
        <is>
          <t>Tempi delle porte — La norma non dà tempi: per le porte automatiche orizzontali dà l’energia cinetica (≤ 10 J, ≤ 4 J con il dispositivo di protezione escluso) e la forza contro la chiusura (≤ 150 N) (UNI EN 81-20:2020, 5.3.6.2.2.1), dati del fornitore delle porte.</t>
        </is>
      </c>
      <c r="D142" s="10" t="inlineStr">
        <is>
          <t>apertura 2,5 s, chiusura 3 s, sosta a porte aperte 3 s, partenza 0,5 s dopo la chiusura</t>
        </is>
      </c>
      <c r="E142" s="10" t="inlineStr">
        <is>
          <t>—</t>
        </is>
      </c>
      <c r="F142" s="10" t="inlineStr">
        <is>
          <t>scelta del software (solo animazione)</t>
        </is>
      </c>
      <c r="G142" s="10" t="inlineStr">
        <is>
          <t>scelta del software</t>
        </is>
      </c>
      <c r="H142" s="10" t="inlineStr">
        <is>
          <t>—</t>
        </is>
      </c>
      <c r="I142" s="11" t="n"/>
      <c r="J142" s="11" t="n"/>
      <c r="K142" s="11" t="n"/>
      <c r="L142" s="11" t="n"/>
      <c r="M142" s="11" t="n"/>
      <c r="N142" s="11" t="n"/>
    </row>
    <row r="143" ht="212" customHeight="1">
      <c r="A143" s="10" t="n">
        <v>141</v>
      </c>
      <c r="B143" s="10" t="inlineStr">
        <is>
          <t>Simulazione nel tempo (3D e grafici)</t>
        </is>
      </c>
      <c r="C14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3" s="10" t="inlineStr">
        <is>
          <t>UNI EN 81-20:2020, 5.8.2.1.1.1–5.8.2.1.1.2 (urto al 115 %; corsa piena con un carico statico tra 2,5 e 4 volte: il software prende 4), 5.8.2.1.2.2 (90 %), 5.8.2.2.1 e 5.8.2.2.3 a)</t>
        </is>
      </c>
      <c r="F143" s="10" t="inlineStr">
        <is>
          <t>UNI EN 81-20:2020, testo della norma, letto il 2026-10-06, pp. 98–99</t>
        </is>
      </c>
      <c r="G143" s="10" t="inlineStr">
        <is>
          <t>scelta del software</t>
        </is>
      </c>
      <c r="H143" s="10" t="inlineStr">
        <is>
          <t>—</t>
        </is>
      </c>
      <c r="I143" s="11" t="n"/>
      <c r="J143" s="11" t="n"/>
      <c r="K143" s="11" t="n"/>
      <c r="L143" s="11" t="n"/>
      <c r="M143" s="11" t="n"/>
      <c r="N143" s="11" t="n"/>
    </row>
    <row r="144" ht="82" customHeight="1">
      <c r="A144" s="10" t="n">
        <v>142</v>
      </c>
      <c r="B144" s="10" t="inlineStr">
        <is>
          <t>Simulazione nel tempo (3D e grafici)</t>
        </is>
      </c>
      <c r="C144" s="10" t="inlineStr">
        <is>
          <t>Cabina bloccata: rotazione in salita — La simulazione mostra il contrappeso sugli ammortizzatori con la cabina in alto; la norma chiede anche la cabina vuota in basso, che il calcolo verifica (tr_stall).</t>
        </is>
      </c>
      <c r="D144" s="10" t="inlineStr">
        <is>
          <t>la macchina gira in salita a 0,3 m/s finché il contrappeso poggia sui suoi ammortizzatori; poi le funi devono slittare (T1/T2 ≥ e^(f·α), μ della cabina bloccata)</t>
        </is>
      </c>
      <c r="E144" s="10" t="inlineStr">
        <is>
          <t>UNI EN 81-50:2020, 5.11.2.2.3</t>
        </is>
      </c>
      <c r="F144" s="10" t="inlineStr">
        <is>
          <t>motore di calcolo; velocità scelta dal software</t>
        </is>
      </c>
      <c r="G144" s="10" t="inlineStr">
        <is>
          <t>scelta del software</t>
        </is>
      </c>
      <c r="H144" s="10" t="inlineStr">
        <is>
          <t>—</t>
        </is>
      </c>
      <c r="I144" s="11" t="n"/>
      <c r="J144" s="11" t="n"/>
      <c r="K144" s="11" t="n"/>
      <c r="L144" s="11" t="n"/>
      <c r="M144" s="11" t="n"/>
      <c r="N144" s="11" t="n"/>
    </row>
    <row r="145" ht="43" customHeight="1">
      <c r="A145" s="10" t="n">
        <v>143</v>
      </c>
      <c r="B145" s="10" t="inlineStr">
        <is>
          <t>Simulazione nel tempo (3D e grafici)</t>
        </is>
      </c>
      <c r="C145" s="10" t="inlineStr">
        <is>
          <t>Passo di campionamento</t>
        </is>
      </c>
      <c r="D145" s="10" t="inlineStr">
        <is>
          <t>0,02 s; tra due campioni i valori sono interpolati linearmente</t>
        </is>
      </c>
      <c r="E145" s="10" t="inlineStr">
        <is>
          <t>—</t>
        </is>
      </c>
      <c r="F145" s="10" t="inlineStr">
        <is>
          <t>scelta del software</t>
        </is>
      </c>
      <c r="G145" s="10" t="inlineStr">
        <is>
          <t>scelta del software</t>
        </is>
      </c>
      <c r="H145" s="10" t="inlineStr">
        <is>
          <t>—</t>
        </is>
      </c>
      <c r="I145" s="11" t="n"/>
      <c r="J145" s="11" t="n"/>
      <c r="K145" s="11" t="n"/>
      <c r="L145" s="11" t="n"/>
      <c r="M145" s="11" t="n"/>
      <c r="N145" s="11" t="n"/>
    </row>
    <row r="146" ht="56" customHeight="1">
      <c r="A146" s="10" t="n">
        <v>144</v>
      </c>
      <c r="B146" s="10" t="inlineStr">
        <is>
          <t>Collaudo: adempimenti del DPR 162/1999 (impianto nuovo)</t>
        </is>
      </c>
      <c r="C146" s="10" t="inlineStr">
        <is>
          <t>DPR 162/1999, art. 4-bis</t>
        </is>
      </c>
      <c r="D146" s="10" t="inlineStr">
        <is>
          <t>progetto, fabbricazione, installazione e prove conformi all’All. I; documentazione tecnica e dichiarazione di conformità conservate per 10 anni</t>
        </is>
      </c>
      <c r="E146" s="10" t="inlineStr">
        <is>
          <t>DPR 162/1999, art. 4-bis</t>
        </is>
      </c>
      <c r="F146" s="10" t="inlineStr">
        <is>
          <t>ricerca, cap. 16 (testi ufficiali e schede UNI, 2026-10-02)</t>
        </is>
      </c>
      <c r="G146" s="10" t="inlineStr">
        <is>
          <t>confermato</t>
        </is>
      </c>
      <c r="H146" s="10" t="inlineStr">
        <is>
          <t>—</t>
        </is>
      </c>
      <c r="I146" s="11" t="n"/>
      <c r="J146" s="11" t="n"/>
      <c r="K146" s="11" t="n"/>
      <c r="L146" s="11" t="n"/>
      <c r="M146" s="11" t="n"/>
      <c r="N146" s="11" t="n"/>
    </row>
    <row r="147" ht="56" customHeight="1">
      <c r="A147" s="10" t="n">
        <v>145</v>
      </c>
      <c r="B147" s="10" t="inlineStr">
        <is>
          <t>Collaudo: adempimenti del DPR 162/1999 (impianto nuovo)</t>
        </is>
      </c>
      <c r="C147" s="10" t="inlineStr">
        <is>
          <t>DPR 162/1999 e s.m.i., artt. 6-bis e 7 c.3</t>
        </is>
      </c>
      <c r="D147" s="10" t="inlineStr">
        <is>
          <t>procedura con un organismo notificato (ascensore modello con esame UE del tipo, All. IV B, più All. V, X o XII; oppure All. VIII o XI); marcatura CE in cabina con il numero dell’organismo</t>
        </is>
      </c>
      <c r="E147" s="10" t="inlineStr">
        <is>
          <t>DPR 162/1999 e s.m.i., artt. 6-bis e 7 c.3</t>
        </is>
      </c>
      <c r="F147" s="10" t="inlineStr">
        <is>
          <t>ricerca, cap. 16 (testi ufficiali e schede UNI, 2026-10-02)</t>
        </is>
      </c>
      <c r="G147" s="10" t="inlineStr">
        <is>
          <t>confermato</t>
        </is>
      </c>
      <c r="H147" s="10" t="inlineStr">
        <is>
          <t>—</t>
        </is>
      </c>
      <c r="I147" s="11" t="n"/>
      <c r="J147" s="11" t="n"/>
      <c r="K147" s="11" t="n"/>
      <c r="L147" s="11" t="n"/>
      <c r="M147" s="11" t="n"/>
      <c r="N147" s="11" t="n"/>
    </row>
    <row r="148" ht="56" customHeight="1">
      <c r="A148" s="10" t="n">
        <v>146</v>
      </c>
      <c r="B148" s="10" t="inlineStr">
        <is>
          <t>Collaudo: adempimenti del DPR 162/1999 (impianto nuovo)</t>
        </is>
      </c>
      <c r="C148" s="10" t="inlineStr">
        <is>
          <t>DPR 162/1999 e s.m.i., art. 12 c.1–3</t>
        </is>
      </c>
      <c r="D148" s="10" t="inlineStr">
        <is>
          <t>comunicazione al Comune entro 60 giorni dalla dichiarazione di conformità (oltre: con il verbale di una verifica straordinaria di attivazione); matricola entro 30 giorni</t>
        </is>
      </c>
      <c r="E148" s="10" t="inlineStr">
        <is>
          <t>DPR 162/1999 e s.m.i., art. 12 c.1–3</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adempimenti del DPR 162/1999 (impianto nuovo)</t>
        </is>
      </c>
      <c r="C149" s="10" t="inlineStr">
        <is>
          <t>DPR 162/1999, artt. 13, 15 c.4 e 16 c.3</t>
        </is>
      </c>
      <c r="D149" s="10" t="inlineStr">
        <is>
          <t>verifiche periodiche ogni 2 anni; controllo dei dispositivi di sicurezza, delle funi e dell’isolamento almeno ogni 6 mesi; targa in cabina</t>
        </is>
      </c>
      <c r="E149" s="10" t="inlineStr">
        <is>
          <t>DPR 162/1999, artt. 13, 15 c.4 e 16 c.3</t>
        </is>
      </c>
      <c r="F149" s="10" t="inlineStr">
        <is>
          <t>ricerca, cap. 16 (testi ufficiali e schede UNI, 2026-10-02)</t>
        </is>
      </c>
      <c r="G149" s="10" t="inlineStr">
        <is>
          <t>confermato</t>
        </is>
      </c>
      <c r="H149" s="10" t="inlineStr">
        <is>
          <t>—</t>
        </is>
      </c>
      <c r="I149" s="11" t="n"/>
      <c r="J149" s="11" t="n"/>
      <c r="K149" s="11" t="n"/>
      <c r="L149" s="11" t="n"/>
      <c r="M149" s="11" t="n"/>
      <c r="N149" s="11" t="n"/>
    </row>
    <row r="150" ht="43" customHeight="1">
      <c r="A150" s="10" t="n">
        <v>148</v>
      </c>
      <c r="B150" s="10" t="inlineStr">
        <is>
          <t>Collaudo: adempimenti del DPR 162/1999 (modifica)</t>
        </is>
      </c>
      <c r="C150" s="10" t="inlineStr">
        <is>
          <t>DPR 162/1999, art. 2 c.1 lett. cc)</t>
        </is>
      </c>
      <c r="D150" s="10" t="inlineStr">
        <is>
          <t>la modifica è costruttiva: la sostituzione del macchinario ne è il caso n. 5)</t>
        </is>
      </c>
      <c r="E150" s="10" t="inlineStr">
        <is>
          <t>DPR 162/1999, art. 2 c.1 lett. cc)</t>
        </is>
      </c>
      <c r="F150" s="10" t="inlineStr">
        <is>
          <t>ricerca, cap. 16 (testi ufficiali e schede UNI, 2026-10-02)</t>
        </is>
      </c>
      <c r="G150" s="10" t="inlineStr">
        <is>
          <t>confermato</t>
        </is>
      </c>
      <c r="H150" s="10" t="inlineStr">
        <is>
          <t>—</t>
        </is>
      </c>
      <c r="I150" s="11" t="n"/>
      <c r="J150" s="11" t="n"/>
      <c r="K150" s="11" t="n"/>
      <c r="L150" s="11" t="n"/>
      <c r="M150" s="11" t="n"/>
      <c r="N150" s="11" t="n"/>
    </row>
    <row r="151" ht="43" customHeight="1">
      <c r="A151" s="10" t="n">
        <v>149</v>
      </c>
      <c r="B151" s="10" t="inlineStr">
        <is>
          <t>Collaudo: adempimenti del DPR 162/1999 (modifica)</t>
        </is>
      </c>
      <c r="C151" s="10" t="inlineStr">
        <is>
          <t>DPR 162/1999, art. 12 c.4</t>
        </is>
      </c>
      <c r="D151" s="10" t="inlineStr">
        <is>
          <t>prima della comunicazione, adeguamento della parte modificata o sostituita e delle altre parti interessate</t>
        </is>
      </c>
      <c r="E151" s="10" t="inlineStr">
        <is>
          <t>DPR 162/1999, art. 12 c.4</t>
        </is>
      </c>
      <c r="F151" s="10" t="inlineStr">
        <is>
          <t>ricerca, cap. 16 (testi ufficiali e schede UNI, 2026-10-02)</t>
        </is>
      </c>
      <c r="G151" s="10" t="inlineStr">
        <is>
          <t>confermato</t>
        </is>
      </c>
      <c r="H151" s="10" t="inlineStr">
        <is>
          <t>—</t>
        </is>
      </c>
      <c r="I151" s="11" t="n"/>
      <c r="J151" s="11" t="n"/>
      <c r="K151" s="11" t="n"/>
      <c r="L151" s="11" t="n"/>
      <c r="M151" s="11" t="n"/>
      <c r="N151" s="11" t="n"/>
    </row>
    <row r="152" ht="43" customHeight="1">
      <c r="A152" s="10" t="n">
        <v>150</v>
      </c>
      <c r="B152" s="10" t="inlineStr">
        <is>
          <t>Collaudo: adempimenti del DPR 162/1999 (modifica)</t>
        </is>
      </c>
      <c r="C152" s="10" t="inlineStr">
        <is>
          <t>DPR 162/1999, art. 12 c.4–5</t>
        </is>
      </c>
      <c r="D152" s="10" t="inlineStr">
        <is>
          <t>comunicazione al Comune e al soggetto delle verifiche periodiche; l’impianto non resta in esercizio senza le comunicazioni aggiornate</t>
        </is>
      </c>
      <c r="E152" s="10" t="inlineStr">
        <is>
          <t>DPR 162/1999, art. 12 c.4–5</t>
        </is>
      </c>
      <c r="F152" s="10" t="inlineStr">
        <is>
          <t>ricerca, cap. 16 (testi ufficiali e schede UNI, 2026-10-02)</t>
        </is>
      </c>
      <c r="G152" s="10" t="inlineStr">
        <is>
          <t>confermato</t>
        </is>
      </c>
      <c r="H152" s="10" t="inlineStr">
        <is>
          <t>—</t>
        </is>
      </c>
      <c r="I152" s="11" t="n"/>
      <c r="J152" s="11" t="n"/>
      <c r="K152" s="11" t="n"/>
      <c r="L152" s="11" t="n"/>
      <c r="M152" s="11" t="n"/>
      <c r="N152" s="11" t="n"/>
    </row>
    <row r="153" ht="69" customHeight="1">
      <c r="A153" s="10" t="n">
        <v>151</v>
      </c>
      <c r="B153" s="10" t="inlineStr">
        <is>
          <t>Collaudo: adempimenti del DPR 162/1999 (modifica)</t>
        </is>
      </c>
      <c r="C153" s="10" t="inlineStr">
        <is>
          <t>DPR 162/1999 e s.m.i., art. 14 c.3; schema ICIM SCI 162 rev. 02</t>
        </is>
      </c>
      <c r="D153" s="10" t="inlineStr">
        <is>
          <t>verifica straordinaria da uno dei soggetti dell’art. 13 c.1 (la legge); secondo lo schema ICIM è di norma limitata ai controlli sulle modifiche, con la documentazione delle modifiche e dei componenti sostituiti</t>
        </is>
      </c>
      <c r="E153" s="10" t="inlineStr">
        <is>
          <t>DPR 162/1999 e s.m.i., art. 14 c.3; schema ICIM SCI 162 rev. 02</t>
        </is>
      </c>
      <c r="F153" s="10" t="inlineStr">
        <is>
          <t>ricerca, cap. 16 (testi ufficiali e schede UNI, 2026-10-02)</t>
        </is>
      </c>
      <c r="G153" s="10" t="inlineStr">
        <is>
          <t>confermato</t>
        </is>
      </c>
      <c r="H153" s="10" t="inlineStr">
        <is>
          <t>—</t>
        </is>
      </c>
      <c r="I153" s="11" t="n"/>
      <c r="J153" s="11" t="n"/>
      <c r="K153" s="11" t="n"/>
      <c r="L153" s="11" t="n"/>
      <c r="M153" s="11" t="n"/>
      <c r="N153" s="11" t="n"/>
    </row>
    <row r="154" ht="82" customHeight="1">
      <c r="A154" s="10" t="n">
        <v>152</v>
      </c>
      <c r="B154" s="10" t="inlineStr">
        <is>
          <t>Collaudo: adempimenti del DPR 162/1999 (modifica)</t>
        </is>
      </c>
      <c r="C154" s="10" t="inlineStr">
        <is>
          <t>UNI 10411-1:2024 e UNI 10411-11:2024, 25</t>
        </is>
      </c>
      <c r="D15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4" s="10" t="inlineStr">
        <is>
          <t>UNI 10411-1:2024 e UNI 10411-11:2024, 25</t>
        </is>
      </c>
      <c r="F154" s="10" t="inlineStr">
        <is>
          <t>testo della norma, letto il 2026-10-06 (punti e valori con parole nostre)</t>
        </is>
      </c>
      <c r="G154" s="10" t="inlineStr">
        <is>
          <t>confermato</t>
        </is>
      </c>
      <c r="H154" s="10" t="inlineStr">
        <is>
          <t>—</t>
        </is>
      </c>
      <c r="I154" s="11" t="n"/>
      <c r="J154" s="11" t="n"/>
      <c r="K154" s="11" t="n"/>
      <c r="L154" s="11" t="n"/>
      <c r="M154" s="11" t="n"/>
      <c r="N154" s="11" t="n"/>
    </row>
    <row r="155" ht="56" customHeight="1">
      <c r="A155" s="10" t="n">
        <v>153</v>
      </c>
      <c r="B155" s="10" t="inlineStr">
        <is>
          <t>Collaudo: UNI EN 81-20:2020 e UNI EN 81-50:2020</t>
        </is>
      </c>
      <c r="C155" s="10" t="inlineStr">
        <is>
          <t>DPR 162/1999, All. V 3.3 (All. VIII 4)</t>
        </is>
      </c>
      <c r="D155" s="10" t="inlineStr">
        <is>
          <t>prove dell’organismo notificato: funzionamento a vuoto e a pieno carico, in mancanza di energia, prova statica a 1,25 volte la portata e controllo che non restino deformazioni</t>
        </is>
      </c>
      <c r="E155" s="10" t="inlineStr">
        <is>
          <t>DPR 162/1999, All. V 3.3 (All. VIII 4)</t>
        </is>
      </c>
      <c r="F155" s="10" t="inlineStr">
        <is>
          <t>ricerca, cap. 16 (testi ufficiali e schede UNI, 2026-10-02)</t>
        </is>
      </c>
      <c r="G155" s="10" t="inlineStr">
        <is>
          <t>confermato</t>
        </is>
      </c>
      <c r="H155" s="10" t="inlineStr">
        <is>
          <t>—</t>
        </is>
      </c>
      <c r="I155" s="11" t="n"/>
      <c r="J155" s="11" t="n"/>
      <c r="K155" s="11" t="n"/>
      <c r="L155" s="11" t="n"/>
      <c r="M155" s="11" t="n"/>
      <c r="N155" s="11" t="n"/>
    </row>
    <row r="156" ht="56" customHeight="1">
      <c r="A156" s="10" t="n">
        <v>154</v>
      </c>
      <c r="B156" s="10" t="inlineStr">
        <is>
          <t>Collaudo: UNI EN 81-20:2020 e UNI EN 81-50:2020</t>
        </is>
      </c>
      <c r="C156" s="10" t="inlineStr">
        <is>
          <t>DPR 162/1999, All. VIII 3 e), g), h)</t>
        </is>
      </c>
      <c r="D156" s="10" t="inlineStr">
        <is>
          <t>documentazione tecnica con i risultati dei calcoli di progetto, le relazioni sulle prove e l’elenco delle norme armonizzate applicate, anche in parte</t>
        </is>
      </c>
      <c r="E156" s="10" t="inlineStr">
        <is>
          <t>DPR 162/1999, All. VIII 3 e), g), h)</t>
        </is>
      </c>
      <c r="F156" s="10" t="inlineStr">
        <is>
          <t>ricerca, cap. 16 (testi ufficiali e schede UNI, 2026-10-02)</t>
        </is>
      </c>
      <c r="G156" s="10" t="inlineStr">
        <is>
          <t>confermato</t>
        </is>
      </c>
      <c r="H156" s="10" t="inlineStr">
        <is>
          <t>—</t>
        </is>
      </c>
      <c r="I156" s="11" t="n"/>
      <c r="J156" s="11" t="n"/>
      <c r="K156" s="11" t="n"/>
      <c r="L156" s="11" t="n"/>
      <c r="M156" s="11" t="n"/>
      <c r="N156" s="11" t="n"/>
    </row>
    <row r="157" ht="56" customHeight="1">
      <c r="A157" s="10" t="n">
        <v>155</v>
      </c>
      <c r="B157" s="10" t="inlineStr">
        <is>
          <t>Collaudo: UNI EN 81-20:2020 e UNI EN 81-50:2020</t>
        </is>
      </c>
      <c r="C157" s="10" t="inlineStr">
        <is>
          <t>Regolamento (UE) 2023/1230, art. 51 par. 2</t>
        </is>
      </c>
      <c r="D157" s="10" t="inlineStr">
        <is>
          <t>per gli ascensori dichiarati conformi dal 20/01/2027: requisiti dell’All. III del Regolamento macchine (tra cui 1.1.9 e 1.2.1), con una valutazione aggiuntiva per i requisiti nuovi o cambiati</t>
        </is>
      </c>
      <c r="E157" s="10" t="inlineStr">
        <is>
          <t>Regolamento (UE) 2023/1230, art. 51 par. 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UNI EN 81-20:2020 e UNI EN 81-50:2020</t>
        </is>
      </c>
      <c r="C158" s="10" t="inlineStr">
        <is>
          <t>UNI EN 81-50:2020, 5.12.1 e 5.12.2.1</t>
        </is>
      </c>
      <c r="D15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8" s="10" t="inlineStr">
        <is>
          <t>UNI EN 81-50:2020, 5.12.1 e 5.12.2.1</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43" customHeight="1">
      <c r="A159" s="10" t="n">
        <v>157</v>
      </c>
      <c r="B159" s="10" t="inlineStr">
        <is>
          <t>Collaudo: UNI EN 81-20:2020 e UNI EN 81-50:2020</t>
        </is>
      </c>
      <c r="C159" s="10" t="inlineStr">
        <is>
          <t>UNI EN 81-20:2020, 5.6.2.2.1.2</t>
        </is>
      </c>
      <c r="D159" s="10" t="inlineStr">
        <is>
          <t>tempo di risposta del limitatore di velocità: i suoi punti d’intervento distano al massimo 250 mm di corsa della fune del limitatore</t>
        </is>
      </c>
      <c r="E159" s="10" t="inlineStr">
        <is>
          <t>UNI EN 81-20:2020, 5.6.2.2.1.2</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UNI EN 81-20:2020, 5.8.2.1.2.1 e 5.8.2.2.3</t>
        </is>
      </c>
      <c r="D160" s="10" t="inlineStr">
        <is>
          <t>ammortizzatori (dato del fornitore): decelerazione non oltre 1 gn, sopra 2,5 gn al massimo per 0,04 s; per quelli ad accumulo non lineari anche picco non oltre 6 gn e rimbalzo non oltre 1 m/s</t>
        </is>
      </c>
      <c r="E160" s="10" t="inlineStr">
        <is>
          <t>UNI EN 81-20:2020, 5.8.2.1.2.1 e 5.8.2.2.3</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69" customHeight="1">
      <c r="A161" s="10" t="n">
        <v>159</v>
      </c>
      <c r="B161" s="10" t="inlineStr">
        <is>
          <t>Collaudo: UNI EN 81-20:2020 e UNI EN 81-50:2020</t>
        </is>
      </c>
      <c r="C161" s="10" t="inlineStr">
        <is>
          <t>UNI EN 81-20:2020, 5.2.5.7.1</t>
        </is>
      </c>
      <c r="D161" s="10" t="inlineStr">
        <is>
          <t>cartello sopra o accanto allo schermo del contrappeso (5.2.5.5.1) con il gioco massimo ammesso tra contrappeso e ammortizzatore con la cabina al piano più alto, per conservare gli spazi in testata</t>
        </is>
      </c>
      <c r="E161" s="10" t="inlineStr">
        <is>
          <t>UNI EN 81-20:2020, 5.2.5.7.1</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43" customHeight="1">
      <c r="A162" s="10" t="n">
        <v>160</v>
      </c>
      <c r="B162" s="10" t="inlineStr">
        <is>
          <t>Collaudo: UNI EN 81-20:2020 e UNI EN 81-50:2020</t>
        </is>
      </c>
      <c r="C162" s="10" t="inlineStr">
        <is>
          <t>UNI EN 81-20:2020, 5.2.2.4</t>
        </is>
      </c>
      <c r="D162" s="10" t="inlineStr">
        <is>
          <t>fossa più profonda di 2,50 m: porta di accesso; fino a 2,50 m porta di accesso oppure scala dentro il vano (appendice F)</t>
        </is>
      </c>
      <c r="E162" s="10" t="inlineStr">
        <is>
          <t>UNI EN 81-20:2020, 5.2.2.4</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5.2.1.5.1 b)</t>
        </is>
      </c>
      <c r="D163" s="10" t="inlineStr">
        <is>
          <t>in fossa un commutatore di ispezione fisso, manovrabile da non oltre 0,30 m da uno spazio di rifugio</t>
        </is>
      </c>
      <c r="E163" s="10" t="inlineStr">
        <is>
          <t>UNI EN 81-20:2020, 5.2.1.5.1 b)</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43" customHeight="1">
      <c r="A164" s="10" t="n">
        <v>162</v>
      </c>
      <c r="B164" s="10" t="inlineStr">
        <is>
          <t>Collaudo: UNI EN 81-20:2020 e UNI EN 81-50:2020</t>
        </is>
      </c>
      <c r="C164" s="10" t="inlineStr">
        <is>
          <t>UNI EN 81-20:2020, 5.2.5.7.1 e 5.2.5.8.1</t>
        </is>
      </c>
      <c r="D164" s="10" t="inlineStr">
        <is>
          <t>uno spazio di rifugio per ogni persona, tutti dello stesso tipo e senza sovrapposizioni; cartello con il numero di persone ammesse e la postura</t>
        </is>
      </c>
      <c r="E164" s="10" t="inlineStr">
        <is>
          <t>UNI EN 81-20:2020, 5.2.5.7.1 e 5.2.5.8.1</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5.2.1.4.1</t>
        </is>
      </c>
      <c r="D165" s="10" t="inlineStr">
        <is>
          <t>illuminazione del vano: almeno 50 lux a 1 m sopra il tetto della cabina nella sua proiezione e a 1 m sopra il fondo della fossa dove si sta, si lavora o si passa tra le zone di lavoro; almeno 20 lux altrove</t>
        </is>
      </c>
      <c r="E165" s="10" t="inlineStr">
        <is>
          <t>UNI EN 81-20:2020, 5.2.1.4.1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56" customHeight="1">
      <c r="A166" s="10" t="n">
        <v>164</v>
      </c>
      <c r="B166" s="10" t="inlineStr">
        <is>
          <t>Collaudo: UNI EN 81-20:2020 e UNI EN 81-50:2020</t>
        </is>
      </c>
      <c r="C166" s="10" t="inlineStr">
        <is>
          <t>UNI EN 81-20:2020, 5.4.10.1 e 5.4.10.4</t>
        </is>
      </c>
      <c r="D166" s="10" t="inlineStr">
        <is>
          <t>luce in cabina almeno 100 lux sui comandi e a 1 m dal pavimento; luce di emergenza di almeno 5 lux per un’ora presso gli allarmi in cabina e sul tetto e al centro di cabina e tetto, a 1 m</t>
        </is>
      </c>
      <c r="E166" s="10" t="inlineStr">
        <is>
          <t>UNI EN 81-20:2020, 5.4.10.1 e 5.4.10.4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5.4.4</t>
        </is>
      </c>
      <c r="D167" s="10" t="inlineStr">
        <is>
          <t>materiali della cabina secondo EN 13501-1: pavimento Cfl-s2, pareti C-s2,d1, soffitto C-s2,d0</t>
        </is>
      </c>
      <c r="E167" s="10" t="inlineStr">
        <is>
          <t>UNI EN 81-20:2020, 5.4.4</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95" customHeight="1">
      <c r="A168" s="10" t="n">
        <v>166</v>
      </c>
      <c r="B168" s="10" t="inlineStr">
        <is>
          <t>Collaudo: UNI EN 81-20:2020 e UNI EN 81-50:2020</t>
        </is>
      </c>
      <c r="C168" s="10" t="inlineStr">
        <is>
          <t>UNI EN 81-20:2020, 6.3.1</t>
        </is>
      </c>
      <c r="D168"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8" s="10" t="inlineStr">
        <is>
          <t>UNI EN 81-20:2020, 6.3.1</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69" customHeight="1">
      <c r="A169" s="10" t="n">
        <v>167</v>
      </c>
      <c r="B169" s="10" t="inlineStr">
        <is>
          <t>Collaudo: UNI EN 81-20:2020 e UNI EN 81-50:2020</t>
        </is>
      </c>
      <c r="C169" s="10" t="inlineStr">
        <is>
          <t>UNI EN 81-20:2020, 6.3.2</t>
        </is>
      </c>
      <c r="D169" s="10" t="inlineStr">
        <is>
          <t>impianto elettrico: esame a vista, continuità dei conduttori di protezione, isolamento circuito per circuito con l’elettronica scollegata, efficacia dell’interruzione automatica in caso di guasto</t>
        </is>
      </c>
      <c r="E169" s="10" t="inlineStr">
        <is>
          <t>UNI EN 81-20:2020, 6.3.2</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82" customHeight="1">
      <c r="A170" s="10" t="n">
        <v>168</v>
      </c>
      <c r="B170" s="10" t="inlineStr">
        <is>
          <t>Collaudo: UNI EN 81-20:2020 e UNI EN 81-50:2020</t>
        </is>
      </c>
      <c r="C170" s="10" t="inlineStr">
        <is>
          <t>UNI EN 81-20:2020, 6.3.3</t>
        </is>
      </c>
      <c r="D170"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0" s="10" t="inlineStr">
        <is>
          <t>UNI EN 81-20:2020, 6.3.3</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121" customHeight="1">
      <c r="A171" s="10" t="n">
        <v>169</v>
      </c>
      <c r="B171" s="10" t="inlineStr">
        <is>
          <t>Collaudo: UNI EN 81-20:2020 e UNI EN 81-50:2020</t>
        </is>
      </c>
      <c r="C171" s="10" t="inlineStr">
        <is>
          <t>UNI EN 81-20:2020, 6.3.4, 6.3.5 e 6.3.7</t>
        </is>
      </c>
      <c r="D171"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1" s="10" t="inlineStr">
        <is>
          <t>UNI EN 81-20:2020, 6.3.4, 6.3.5 e 6.3.7</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108" customHeight="1">
      <c r="A172" s="10" t="n">
        <v>170</v>
      </c>
      <c r="B172" s="10" t="inlineStr">
        <is>
          <t>Collaudo: UNI EN 81-20:2020 e UNI EN 81-50:2020</t>
        </is>
      </c>
      <c r="C172" s="10" t="inlineStr">
        <is>
          <t>UNI EN 81-20:2020, 6.3.11, 6.3.12 e 6.3.13</t>
        </is>
      </c>
      <c r="D172"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2" s="10" t="inlineStr">
        <is>
          <t>UNI EN 81-20:2020, 6.3.11, 6.3.12 e 6.3.13</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43" customHeight="1">
      <c r="A173" s="10" t="n">
        <v>171</v>
      </c>
      <c r="B173" s="10" t="inlineStr">
        <is>
          <t>Collaudo: UNI EN 81-20:2020 e UNI EN 81-50:2020</t>
        </is>
      </c>
      <c r="C173" s="10" t="inlineStr">
        <is>
          <t>UNI EN 81-20:2020, 6.3.14</t>
        </is>
      </c>
      <c r="D173" s="10" t="inlineStr">
        <is>
          <t>cabina fuori dalla zona di sbloccaggio e porta di piano tenuta aperta di 100 mm: lasciata, la porta si richiude e si blocca</t>
        </is>
      </c>
      <c r="E173" s="10" t="inlineStr">
        <is>
          <t>UNI EN 81-20:2020, 6.3.14</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43" customHeight="1">
      <c r="A174" s="10" t="n">
        <v>172</v>
      </c>
      <c r="B174" s="10" t="inlineStr">
        <is>
          <t>Collaudo: UNI EN 81-20:2020 e UNI EN 81-50:2020</t>
        </is>
      </c>
      <c r="C174" s="10" t="inlineStr">
        <is>
          <t>UNI EN 81-20:2020, C.2 e 7.3.2</t>
        </is>
      </c>
      <c r="D174" s="10" t="inlineStr">
        <is>
          <t>la sostituzione della macchina o della puleggia di frizione è una trasformazione importante: si annota nel registro dell’impianto, da aggiornare</t>
        </is>
      </c>
      <c r="E174" s="10" t="inlineStr">
        <is>
          <t>UNI EN 81-20:2020, C.2 e 7.3.2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108" customHeight="1">
      <c r="A175" s="10" t="n">
        <v>173</v>
      </c>
      <c r="B175" s="10" t="inlineStr">
        <is>
          <t>Collaudo: UNI EN 81-20:2020 e UNI EN 81-50:2020</t>
        </is>
      </c>
      <c r="C175" s="10" t="inlineStr">
        <is>
          <t>UNI EN 81-20:2020, 5.3.5.3.2, 5.3.5.3.4, 5.3.6.2.2.1 b) e 5.3.15.2 b)</t>
        </is>
      </c>
      <c r="D175"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5" s="10" t="inlineStr">
        <is>
          <t>UNI EN 81-20:2020, 5.3.5.3.2, 5.3.5.3.4, 5.3.6.2.2.1 b) e 5.3.15.2 b)</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5.3.6.2.2.1 a)–d)</t>
        </is>
      </c>
      <c r="D176"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6" s="10" t="inlineStr">
        <is>
          <t>UNI EN 81-20:2020, 5.3.6.2.2.1 a)–d)</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10411-1:2024</t>
        </is>
      </c>
      <c r="C177" s="10" t="inlineStr">
        <is>
          <t>UNI 10411-1:2024, scopo</t>
        </is>
      </c>
      <c r="D177" s="10" t="inlineStr">
        <is>
          <t>impianti elettrici a frizione fuori dalla 95/16/CE e dalla 2014/33/UE; esclude le modifiche che cambiano le misure antincendio (per queste, a nostro giudizio, il DM 15/09/2005 o il Codice V.3)</t>
        </is>
      </c>
      <c r="E177" s="10" t="inlineStr">
        <is>
          <t>UNI 10411-1:2024, scopo</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121" customHeight="1">
      <c r="A178" s="10" t="n">
        <v>176</v>
      </c>
      <c r="B178" s="10" t="inlineStr">
        <is>
          <t>Collaudo: UNI 10411-1:2024</t>
        </is>
      </c>
      <c r="C178" s="10" t="inlineStr">
        <is>
          <t>UNI 10411-1:2024, 14.4 a)–g)</t>
        </is>
      </c>
      <c r="D178"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8" s="10" t="inlineStr">
        <is>
          <t>UNI 10411-1:2024, 14.4 a)–g)</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56" customHeight="1">
      <c r="A179" s="10" t="n">
        <v>177</v>
      </c>
      <c r="B179" s="10" t="inlineStr">
        <is>
          <t>Collaudo: UNI 10411-11:2024</t>
        </is>
      </c>
      <c r="C179" s="10" t="inlineStr">
        <is>
          <t>UNI 10411-11:2024, scopo</t>
        </is>
      </c>
      <c r="D179" s="10" t="inlineStr">
        <is>
          <t>impianti elettrici a frizione marcati CE secondo la Direttiva; esclude le modifiche che cambiano le misure antincendio (per queste, a nostro giudizio, il DM 15/09/2005 o il Codice V.3)</t>
        </is>
      </c>
      <c r="E179" s="10" t="inlineStr">
        <is>
          <t>UNI 10411-11:2024, scopo</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10411-11:2024</t>
        </is>
      </c>
      <c r="C180" s="10" t="inlineStr">
        <is>
          <t>UNI 10411-11:2024, 14.3 a) e App. A (14); UNI EN 81-20:2020, 5.6.6.2 e 5.6.7.3</t>
        </is>
      </c>
      <c r="D180"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0" s="10" t="inlineStr">
        <is>
          <t>UNI 10411-11:2024, 14.3 a) e App. A (14); UNI EN 81-20:2020, 5.6.6.2 e 5.6.7.3</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56" customHeight="1">
      <c r="A181" s="10" t="n">
        <v>179</v>
      </c>
      <c r="B181" s="10" t="inlineStr">
        <is>
          <t>Collaudo: UNI 10411-11:2024</t>
        </is>
      </c>
      <c r="C181" s="10" t="inlineStr">
        <is>
          <t>UNI 10411-11:2024, 14.3 b)</t>
        </is>
      </c>
      <c r="D181" s="10" t="inlineStr">
        <is>
          <t>senza UCM conforme alla 5.6.7 e con il rallentamento controllato: macchinario senza alimentazione se il freno non si apre, al più tardi all’arrivo al piano, con ripristino solo manuale</t>
        </is>
      </c>
      <c r="E181" s="10" t="inlineStr">
        <is>
          <t>UNI 10411-11:2024, 14.3 b)</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EN 81-21:2022 (ascensori nuovi in edifici esistenti)</t>
        </is>
      </c>
      <c r="C182" s="10" t="inlineStr">
        <is>
          <t>UNI EN 81-21:2022, 1</t>
        </is>
      </c>
      <c r="D182" s="10" t="inlineStr">
        <is>
          <t>ascensori nuovi in un edificio esistente, dove l’edificio non permette di rispettare tutta la UNI EN 81-20:2020; esclusi gli impianti montati prima della sua pubblicazione</t>
        </is>
      </c>
      <c r="E182" s="10" t="inlineStr">
        <is>
          <t>UNI EN 81-21:2022, 1</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95" customHeight="1">
      <c r="A183" s="10" t="n">
        <v>181</v>
      </c>
      <c r="B183" s="10" t="inlineStr">
        <is>
          <t>Collaudo: UNI EN 81-21:2022 (ascensori nuovi in edifici esistenti)</t>
        </is>
      </c>
      <c r="C183" s="10" t="inlineStr">
        <is>
          <t>UNI EN 81-21:2022, 6.2 e 7.1</t>
        </is>
      </c>
      <c r="D183"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83" s="10" t="inlineStr">
        <is>
          <t>UNI EN 81-21:2022, 6.2 e 7.1</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82" customHeight="1">
      <c r="A184" s="10" t="n">
        <v>182</v>
      </c>
      <c r="B184" s="10" t="inlineStr">
        <is>
          <t>Collaudo: UNI EN 81-21:2022 (ascensori nuovi in edifici esistenti)</t>
        </is>
      </c>
      <c r="C184" s="10" t="inlineStr">
        <is>
          <t>DPR 162/1999, art. 17-bis; DM 19/03/2015; linee guida MIMIT 2022</t>
        </is>
      </c>
      <c r="D184"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4" s="10" t="inlineStr">
        <is>
          <t>DPR 162/1999, art. 17-bis; DM 19/03/2015; linee guida MIMIT 2022</t>
        </is>
      </c>
      <c r="F184" s="10" t="inlineStr">
        <is>
          <t>ricerca, cap. 16 (testi ufficiali e schede UNI, 2026-10-02)</t>
        </is>
      </c>
      <c r="G184" s="10" t="inlineStr">
        <is>
          <t>confermato</t>
        </is>
      </c>
      <c r="H184" s="10" t="inlineStr">
        <is>
          <t>—</t>
        </is>
      </c>
      <c r="I184" s="11" t="n"/>
      <c r="J184" s="11" t="n"/>
      <c r="K184" s="11" t="n"/>
      <c r="L184" s="11" t="n"/>
      <c r="M184" s="11" t="n"/>
      <c r="N184" s="11" t="n"/>
    </row>
    <row r="185" ht="82" customHeight="1">
      <c r="A185" s="10" t="n">
        <v>183</v>
      </c>
      <c r="B185" s="10" t="inlineStr">
        <is>
          <t>Collaudo: UNI EN 81-28:2022 (teleallarme)</t>
        </is>
      </c>
      <c r="C185" s="10" t="inlineStr">
        <is>
          <t>UNI EN 81-20:2020, 5.12.3.1; UNI EN 81-28:2004, 4.1.3, 4.2.1 e 7</t>
        </is>
      </c>
      <c r="D185"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5" s="10" t="inlineStr">
        <is>
          <t>UNI EN 81-20:2020, 5.12.3.1; UNI EN 81-28:2004, 4.1.3, 4.2.1 e 7</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EN 81-28:2022 (teleallarme)</t>
        </is>
      </c>
      <c r="C186" s="10" t="inlineStr">
        <is>
          <t>UNI EN 81-28:2022</t>
        </is>
      </c>
      <c r="D186" s="10" t="inlineStr">
        <is>
          <t>requisiti dell’edizione citata in GUUE da verificare sul testo; nelle modifiche la UNI 10411-1/-11:2024 (punto 23) ammette l’allarme nuovo secondo la EN 81-20 5.12.3.1 o la UNI EN 81-28:2022</t>
        </is>
      </c>
      <c r="E186" s="10" t="inlineStr">
        <is>
          <t>UNI EN 81-28:2022</t>
        </is>
      </c>
      <c r="F186" s="10" t="inlineStr">
        <is>
          <t>ricerca, cap. 16 (testi ufficiali e schede UNI, 2026-10-02)</t>
        </is>
      </c>
      <c r="G186" s="10" t="inlineStr">
        <is>
          <t>da verificare</t>
        </is>
      </c>
      <c r="H186" s="10" t="inlineStr">
        <is>
          <t>—</t>
        </is>
      </c>
      <c r="I186" s="11" t="n"/>
      <c r="J186" s="11" t="n"/>
      <c r="K186" s="11" t="n"/>
      <c r="L186" s="11" t="n"/>
      <c r="M186" s="11" t="n"/>
      <c r="N186" s="11" t="n"/>
    </row>
    <row r="187" ht="95" customHeight="1">
      <c r="A187" s="10" t="n">
        <v>185</v>
      </c>
      <c r="B187" s="10" t="inlineStr">
        <is>
          <t>Collaudo: UNI EN 81-58:2022 (resistenza al fuoco delle porte di piano)</t>
        </is>
      </c>
      <c r="C187" s="10" t="inlineStr">
        <is>
          <t>UNI EN 81-58:2022; DM 15/09/2005, 3.2–3.3 e art. 1 c.2 lett. c)</t>
        </is>
      </c>
      <c r="D187"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7" s="10" t="inlineStr">
        <is>
          <t>UNI EN 81-58:2022; DM 15/09/2005, 3.2–3.3 e art. 1 c.2 lett. c)</t>
        </is>
      </c>
      <c r="F187" s="10" t="inlineStr">
        <is>
          <t>ricerca, cap. 16 (testi ufficiali e schede UNI, 2026-10-02)</t>
        </is>
      </c>
      <c r="G187" s="10" t="inlineStr">
        <is>
          <t>confermato</t>
        </is>
      </c>
      <c r="H187" s="10" t="inlineStr">
        <is>
          <t>—</t>
        </is>
      </c>
      <c r="I187" s="11" t="n"/>
      <c r="J187" s="11" t="n"/>
      <c r="K187" s="11" t="n"/>
      <c r="L187" s="11" t="n"/>
      <c r="M187" s="11" t="n"/>
      <c r="N187" s="11" t="n"/>
    </row>
    <row r="188" ht="95" customHeight="1">
      <c r="A188" s="10" t="n">
        <v>186</v>
      </c>
      <c r="B188" s="10" t="inlineStr">
        <is>
          <t>Collaudo: UNI EN 81-70:2022 (accessibilità)</t>
        </is>
      </c>
      <c r="C188" s="10" t="inlineStr">
        <is>
          <t>UNI EN 81-70:2022, 5.3.1</t>
        </is>
      </c>
      <c r="D188"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8" s="10" t="inlineStr">
        <is>
          <t>UNI EN 81-70:2022, 5.3.1</t>
        </is>
      </c>
      <c r="F188" s="10" t="inlineStr">
        <is>
          <t>ricerca, cap. 16 (testi ufficiali e schede UNI, 2026-10-02)</t>
        </is>
      </c>
      <c r="G188" s="10" t="inlineStr">
        <is>
          <t>da verificare</t>
        </is>
      </c>
      <c r="H188" s="10" t="inlineStr">
        <is>
          <t>—</t>
        </is>
      </c>
      <c r="I188" s="11" t="n"/>
      <c r="J188" s="11" t="n"/>
      <c r="K188" s="11" t="n"/>
      <c r="L188" s="11" t="n"/>
      <c r="M188" s="11" t="n"/>
      <c r="N188" s="11" t="n"/>
    </row>
    <row r="189" ht="95" customHeight="1">
      <c r="A189" s="10" t="n">
        <v>187</v>
      </c>
      <c r="B189" s="10" t="inlineStr">
        <is>
          <t>Collaudo: UNI EN 81-70:2022 (accessibilità)</t>
        </is>
      </c>
      <c r="C189" s="10" t="inlineStr">
        <is>
          <t>UNI EN 81-70:2022, 5.3.2 e 5.4</t>
        </is>
      </c>
      <c r="D189"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9" s="10" t="inlineStr">
        <is>
          <t>UNI EN 81-70:2022, 5.3.2 e 5.4</t>
        </is>
      </c>
      <c r="F189" s="10" t="inlineStr">
        <is>
          <t>ricerca, cap. 16 (testi ufficiali e schede UNI, 2026-10-02)</t>
        </is>
      </c>
      <c r="G189" s="10" t="inlineStr">
        <is>
          <t>da verificare</t>
        </is>
      </c>
      <c r="H189" s="10" t="inlineStr">
        <is>
          <t>—</t>
        </is>
      </c>
      <c r="I189" s="11" t="n"/>
      <c r="J189" s="11" t="n"/>
      <c r="K189" s="11" t="n"/>
      <c r="L189" s="11" t="n"/>
      <c r="M189" s="11" t="n"/>
      <c r="N189" s="11" t="n"/>
    </row>
    <row r="190" ht="43" customHeight="1">
      <c r="A190" s="10" t="n">
        <v>188</v>
      </c>
      <c r="B190" s="10" t="inlineStr">
        <is>
          <t>Collaudo: UNI EN 81-70:2022 (accessibilità)</t>
        </is>
      </c>
      <c r="C190" s="10" t="inlineStr">
        <is>
          <t>UNI EN 81-70:2022, scopo</t>
        </is>
      </c>
      <c r="D190" s="10" t="inlineStr">
        <is>
          <t>si usa con la UNI EN 81-20:2020; per gli impianti esistenti vale la UNI EN 81-82</t>
        </is>
      </c>
      <c r="E190" s="10" t="inlineStr">
        <is>
          <t>UNI EN 81-70:2022, scopo</t>
        </is>
      </c>
      <c r="F190" s="10" t="inlineStr">
        <is>
          <t>ricerca, cap. 16 (testi ufficiali e schede UNI, 2026-10-02)</t>
        </is>
      </c>
      <c r="G190" s="10" t="inlineStr">
        <is>
          <t>confermato</t>
        </is>
      </c>
      <c r="H190" s="10" t="inlineStr">
        <is>
          <t>—</t>
        </is>
      </c>
      <c r="I190" s="11" t="n"/>
      <c r="J190" s="11" t="n"/>
      <c r="K190" s="11" t="n"/>
      <c r="L190" s="11" t="n"/>
      <c r="M190" s="11" t="n"/>
      <c r="N190" s="11" t="n"/>
    </row>
    <row r="191" ht="43" customHeight="1">
      <c r="A191" s="10" t="n">
        <v>189</v>
      </c>
      <c r="B191" s="10" t="inlineStr">
        <is>
          <t>Collaudo: UNI EN 81-71 (ascensori antivandalo)</t>
        </is>
      </c>
      <c r="C191" s="10" t="inlineStr">
        <is>
          <t>UNI EN 81-71</t>
        </is>
      </c>
      <c r="D191" s="10" t="inlineStr">
        <is>
          <t>categoria antivandalo da concordare con il committente; per la presunzione di conformità vale l’edizione 2005+A1:2006</t>
        </is>
      </c>
      <c r="E191" s="10" t="inlineStr">
        <is>
          <t>UNI EN 81-71</t>
        </is>
      </c>
      <c r="F191" s="10" t="inlineStr">
        <is>
          <t>ricerca, cap. 16 (testi ufficiali e schede UNI, 2026-10-02)</t>
        </is>
      </c>
      <c r="G191" s="10" t="inlineStr">
        <is>
          <t>da verificare</t>
        </is>
      </c>
      <c r="H191" s="10" t="inlineStr">
        <is>
          <t>—</t>
        </is>
      </c>
      <c r="I191" s="11" t="n"/>
      <c r="J191" s="11" t="n"/>
      <c r="K191" s="11" t="n"/>
      <c r="L191" s="11" t="n"/>
      <c r="M191" s="11" t="n"/>
      <c r="N191" s="11" t="n"/>
    </row>
    <row r="192" ht="108" customHeight="1">
      <c r="A192" s="10" t="n">
        <v>190</v>
      </c>
      <c r="B192" s="10" t="inlineStr">
        <is>
          <t>Collaudo: UNI EN 81-72:2020 (ascensori antincendio)</t>
        </is>
      </c>
      <c r="C192" s="10" t="inlineStr">
        <is>
          <t>DM 15/09/2005, punto 7 (valori); Codice V.3.3.4</t>
        </is>
      </c>
      <c r="D192"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92" s="10" t="inlineStr">
        <is>
          <t>DM 15/09/2005, punto 7 (valori); Codice V.3.3.4</t>
        </is>
      </c>
      <c r="F192" s="10" t="inlineStr">
        <is>
          <t>ricerca, cap. 16 (testi ufficiali e schede UNI, 2026-10-02)</t>
        </is>
      </c>
      <c r="G192" s="10" t="inlineStr">
        <is>
          <t>confermato</t>
        </is>
      </c>
      <c r="H192" s="10" t="inlineStr">
        <is>
          <t>—</t>
        </is>
      </c>
      <c r="I192" s="11" t="n"/>
      <c r="J192" s="11" t="n"/>
      <c r="K192" s="11" t="n"/>
      <c r="L192" s="11" t="n"/>
      <c r="M192" s="11" t="n"/>
      <c r="N192" s="11" t="n"/>
    </row>
    <row r="193" ht="56" customHeight="1">
      <c r="A193" s="10" t="n">
        <v>191</v>
      </c>
      <c r="B193" s="10" t="inlineStr">
        <is>
          <t>Collaudo: UNI EN 81-72:2020 (ascensori antincendio)</t>
        </is>
      </c>
      <c r="C193" s="10" t="inlineStr">
        <is>
          <t>Codice S.10, Tab. S.10-2</t>
        </is>
      </c>
      <c r="D193" s="10" t="inlineStr">
        <is>
          <t>alimentazione di sicurezza dell’ascensore antincendio: interruzione al massimo 15 s, autonomia oltre 30 min</t>
        </is>
      </c>
      <c r="E193" s="10" t="inlineStr">
        <is>
          <t>Codice S.10, Tab. S.10-2</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UNI EN 81-72:2020 (ascensori antincendio)</t>
        </is>
      </c>
      <c r="C194" s="10" t="inlineStr">
        <is>
          <t>UNI EN 81-72:2020</t>
        </is>
      </c>
      <c r="D194" s="10" t="inlineStr">
        <is>
          <t>requisiti propri della norma (cabina, tempi, protezione dall’acqua) da verificare sul testo</t>
        </is>
      </c>
      <c r="E194" s="10" t="inlineStr">
        <is>
          <t>UNI EN 81-72:2020</t>
        </is>
      </c>
      <c r="F194" s="10" t="inlineStr">
        <is>
          <t>ricerca, cap. 16 (testi ufficiali e schede UNI, 2026-10-02)</t>
        </is>
      </c>
      <c r="G194" s="10" t="inlineStr">
        <is>
          <t>da verificare</t>
        </is>
      </c>
      <c r="H194" s="10" t="inlineStr">
        <is>
          <t>—</t>
        </is>
      </c>
      <c r="I194" s="11" t="n"/>
      <c r="J194" s="11" t="n"/>
      <c r="K194" s="11" t="n"/>
      <c r="L194" s="11" t="n"/>
      <c r="M194" s="11" t="n"/>
      <c r="N194" s="11" t="n"/>
    </row>
    <row r="195" ht="69" customHeight="1">
      <c r="A195" s="10" t="n">
        <v>193</v>
      </c>
      <c r="B195" s="10" t="inlineStr">
        <is>
          <t>Collaudo: UNI EN 81-73:2020 (comportamento in caso d’incendio)</t>
        </is>
      </c>
      <c r="C195" s="10" t="inlineStr">
        <is>
          <t>DM 15/09/2005, punto 6; Codice V.3.3.1</t>
        </is>
      </c>
      <c r="D195" s="10" t="inlineStr">
        <is>
          <t>quando la compartimentazione lo richiede, su comando della rivelazione incendio la cabina va al piano prestabilito e lascia uscire i passeggeri; con il Codice l’ascensore «dovrebbe» essere conforme alla UNI EN 81-73</t>
        </is>
      </c>
      <c r="E195" s="10" t="inlineStr">
        <is>
          <t>DM 15/09/2005, punto 6; Codice V.3.3.1</t>
        </is>
      </c>
      <c r="F195" s="10" t="inlineStr">
        <is>
          <t>ricerca, cap. 16 (testi ufficiali e schede UNI, 2026-10-02)</t>
        </is>
      </c>
      <c r="G195" s="10" t="inlineStr">
        <is>
          <t>confermato</t>
        </is>
      </c>
      <c r="H195" s="10" t="inlineStr">
        <is>
          <t>—</t>
        </is>
      </c>
      <c r="I195" s="11" t="n"/>
      <c r="J195" s="11" t="n"/>
      <c r="K195" s="11" t="n"/>
      <c r="L195" s="11" t="n"/>
      <c r="M195" s="11" t="n"/>
      <c r="N195" s="11" t="n"/>
    </row>
    <row r="196" ht="56" customHeight="1">
      <c r="A196" s="10" t="n">
        <v>194</v>
      </c>
      <c r="B196" s="10" t="inlineStr">
        <is>
          <t>Collaudo: UNI EN 81-73:2020 (comportamento in caso d’incendio)</t>
        </is>
      </c>
      <c r="C196" s="10" t="inlineStr">
        <is>
          <t>UNI EN 81-73:2020</t>
        </is>
      </c>
      <c r="D196" s="10" t="inlineStr">
        <is>
          <t>segnali e comportamento della manovra da verificare sul testo; la norma serve anche da base per migliorare gli esistenti (così la UNI EN 81-73:2005 letta, punto 1)</t>
        </is>
      </c>
      <c r="E196" s="10" t="inlineStr">
        <is>
          <t>UNI EN 81-73:2020</t>
        </is>
      </c>
      <c r="F196" s="10" t="inlineStr">
        <is>
          <t>ricerca, cap. 16 (testi ufficiali e schede UNI, 2026-10-02)</t>
        </is>
      </c>
      <c r="G196" s="10" t="inlineStr">
        <is>
          <t>da verificare</t>
        </is>
      </c>
      <c r="H196" s="10" t="inlineStr">
        <is>
          <t>—</t>
        </is>
      </c>
      <c r="I196" s="11" t="n"/>
      <c r="J196" s="11" t="n"/>
      <c r="K196" s="11" t="n"/>
      <c r="L196" s="11" t="n"/>
      <c r="M196" s="11" t="n"/>
      <c r="N196" s="11" t="n"/>
    </row>
    <row r="197" ht="69" customHeight="1">
      <c r="A197" s="10" t="n">
        <v>195</v>
      </c>
      <c r="B197" s="10" t="inlineStr">
        <is>
          <t>Collaudo: UNI EN 81-76:2025 (evacuazione delle persone con disabilità)</t>
        </is>
      </c>
      <c r="C197" s="10" t="inlineStr">
        <is>
          <t>UNI EN 81-76:2025</t>
        </is>
      </c>
      <c r="D197" s="10" t="inlineStr">
        <is>
          <t>evacuazione delle persone con disabilità con l’ascensore: requisiti aggiuntivi alla EN 81-20 (manovra, alimentazione) da verificare sul testo</t>
        </is>
      </c>
      <c r="E197" s="10" t="inlineStr">
        <is>
          <t>UNI EN 81-76:2025</t>
        </is>
      </c>
      <c r="F197" s="10" t="inlineStr">
        <is>
          <t>ricerca, cap. 16 (testi ufficiali e schede UNI, 2026-10-02)</t>
        </is>
      </c>
      <c r="G197" s="10" t="inlineStr">
        <is>
          <t>da verificare</t>
        </is>
      </c>
      <c r="H197" s="10" t="inlineStr">
        <is>
          <t>—</t>
        </is>
      </c>
      <c r="I197" s="11" t="n"/>
      <c r="J197" s="11" t="n"/>
      <c r="K197" s="11" t="n"/>
      <c r="L197" s="11" t="n"/>
      <c r="M197" s="11" t="n"/>
      <c r="N197" s="11" t="n"/>
    </row>
    <row r="198" ht="56" customHeight="1">
      <c r="A198" s="10" t="n">
        <v>196</v>
      </c>
      <c r="B198" s="10" t="inlineStr">
        <is>
          <t>Collaudo: UNI EN 81-77:2022 (azioni sismiche)</t>
        </is>
      </c>
      <c r="C198" s="10" t="inlineStr">
        <is>
          <t>UNI EN 81-77:2022, 1</t>
        </is>
      </c>
      <c r="D198" s="10" t="inlineStr">
        <is>
          <t>con accelerazione di progetto a_d fino a 1 m/s² nessuna prescrizione specifica; a_d e la posizione dei rilevatori si concordano con il progettista dell’edificio</t>
        </is>
      </c>
      <c r="E198" s="10" t="inlineStr">
        <is>
          <t>UNI EN 81-77:2022, 1</t>
        </is>
      </c>
      <c r="F198" s="10" t="inlineStr">
        <is>
          <t>ricerca, cap. 16 (testi ufficiali e schede UNI, 2026-10-02)</t>
        </is>
      </c>
      <c r="G198" s="10" t="inlineStr">
        <is>
          <t>confermato</t>
        </is>
      </c>
      <c r="H198" s="10" t="inlineStr">
        <is>
          <t>—</t>
        </is>
      </c>
      <c r="I198" s="11" t="n"/>
      <c r="J198" s="11" t="n"/>
      <c r="K198" s="11" t="n"/>
      <c r="L198" s="11" t="n"/>
      <c r="M198" s="11" t="n"/>
      <c r="N198" s="11" t="n"/>
    </row>
    <row r="199" ht="95" customHeight="1">
      <c r="A199" s="10" t="n">
        <v>197</v>
      </c>
      <c r="B199" s="10" t="inlineStr">
        <is>
          <t>Collaudo: UNI EN 81-77:2022 (azioni sismiche)</t>
        </is>
      </c>
      <c r="C199" s="10" t="inlineStr">
        <is>
          <t>UNI EN 81-77:2022, 5.4–5.10, All. A, B, D</t>
        </is>
      </c>
      <c r="D199"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9" s="10" t="inlineStr">
        <is>
          <t>UNI EN 81-77:2022, 5.4–5.10, All. A, B, D</t>
        </is>
      </c>
      <c r="F199" s="10" t="inlineStr">
        <is>
          <t>ricerca, cap. 16 (testi ufficiali e schede UNI, 2026-10-02)</t>
        </is>
      </c>
      <c r="G199" s="10" t="inlineStr">
        <is>
          <t>da verificare</t>
        </is>
      </c>
      <c r="H199" s="10" t="inlineStr">
        <is>
          <t>—</t>
        </is>
      </c>
      <c r="I199" s="11" t="n"/>
      <c r="J199" s="11" t="n"/>
      <c r="K199" s="11" t="n"/>
      <c r="L199" s="11" t="n"/>
      <c r="M199" s="11" t="n"/>
      <c r="N199" s="11" t="n"/>
    </row>
    <row r="200" ht="43" customHeight="1">
      <c r="A200" s="10" t="n">
        <v>198</v>
      </c>
      <c r="B200" s="10" t="inlineStr">
        <is>
          <t>Collaudo: UNI EN 81-77:2022 (azioni sismiche)</t>
        </is>
      </c>
      <c r="C200" s="10" t="inlineStr">
        <is>
          <t>UNI EN 81-77:2022, 0.3</t>
        </is>
      </c>
      <c r="D200" s="10" t="inlineStr">
        <is>
          <t>non si applica agli impianti installati prima della sua pubblicazione</t>
        </is>
      </c>
      <c r="E200" s="10" t="inlineStr">
        <is>
          <t>UNI EN 81-77:2022, 0.3</t>
        </is>
      </c>
      <c r="F200" s="10" t="inlineStr">
        <is>
          <t>ricerca, cap. 16 (testi ufficiali e schede UNI, 2026-10-02)</t>
        </is>
      </c>
      <c r="G200" s="10" t="inlineStr">
        <is>
          <t>confermato</t>
        </is>
      </c>
      <c r="H200" s="10" t="inlineStr">
        <is>
          <t>—</t>
        </is>
      </c>
      <c r="I200" s="11" t="n"/>
      <c r="J200" s="11" t="n"/>
      <c r="K200" s="11" t="n"/>
      <c r="L200" s="11" t="n"/>
      <c r="M200" s="11" t="n"/>
      <c r="N200" s="11" t="n"/>
    </row>
    <row r="201" ht="69" customHeight="1">
      <c r="A201" s="10" t="n">
        <v>199</v>
      </c>
      <c r="B201" s="10" t="inlineStr">
        <is>
          <t>Collaudo: UNI EN 81-80:2019 (miglioramento della sicurezza degli esistenti)</t>
        </is>
      </c>
      <c r="C201" s="10" t="inlineStr">
        <is>
          <t>UNI EN 81-80:2004 e 2009, 1 e appendice A</t>
        </is>
      </c>
      <c r="D201" s="10" t="inlineStr">
        <is>
          <t>analisi dei rischi dell’impianto esistente e piano di miglioramento per priorità; quali misure e in che tempi lo decide la legislazione nazionale, non la norma</t>
        </is>
      </c>
      <c r="E201" s="10" t="inlineStr">
        <is>
          <t>UNI EN 81-80:2004 e 2009, 1 e appendice A</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69" customHeight="1">
      <c r="A202" s="10" t="n">
        <v>200</v>
      </c>
      <c r="B202" s="10" t="inlineStr">
        <is>
          <t>Collaudo: UNI EN 81-80:2019 (miglioramento della sicurezza degli esistenti)</t>
        </is>
      </c>
      <c r="C202" s="10" t="inlineStr">
        <is>
          <t>UNI EN 81-80:2019</t>
        </is>
      </c>
      <c r="D202" s="10" t="inlineStr">
        <is>
          <t>la stessa analisi nell’edizione in vigore, con una struttura diversa: da verificare sul testo</t>
        </is>
      </c>
      <c r="E202" s="10" t="inlineStr">
        <is>
          <t>UNI EN 81-80:2019</t>
        </is>
      </c>
      <c r="F202" s="10" t="inlineStr">
        <is>
          <t>ricerca, cap. 16 (testi ufficiali e schede UNI, 2026-10-02)</t>
        </is>
      </c>
      <c r="G202" s="10" t="inlineStr">
        <is>
          <t>da verificare</t>
        </is>
      </c>
      <c r="H202" s="10" t="inlineStr">
        <is>
          <t>—</t>
        </is>
      </c>
      <c r="I202" s="11" t="n"/>
      <c r="J202" s="11" t="n"/>
      <c r="K202" s="11" t="n"/>
      <c r="L202" s="11" t="n"/>
      <c r="M202" s="11" t="n"/>
      <c r="N202" s="11" t="n"/>
    </row>
    <row r="203" ht="56" customHeight="1">
      <c r="A203" s="10" t="n">
        <v>201</v>
      </c>
      <c r="B203" s="10" t="inlineStr">
        <is>
          <t>Collaudo: UNI EN 81-82:2026 (accessibilità degli esistenti)</t>
        </is>
      </c>
      <c r="C203" s="10" t="inlineStr">
        <is>
          <t>UNI EN 81-82:2026</t>
        </is>
      </c>
      <c r="D203" s="10" t="inlineStr">
        <is>
          <t>miglioramento dell’accessibilità di un impianto esistente secondo i requisiti della EN 81-70</t>
        </is>
      </c>
      <c r="E203" s="10" t="inlineStr">
        <is>
          <t>UNI EN 81-82:2026</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81-83:2026 (antivandalo degli esistenti)</t>
        </is>
      </c>
      <c r="C204" s="10" t="inlineStr">
        <is>
          <t>UNI EN 81-83:2026</t>
        </is>
      </c>
      <c r="D204" s="10" t="inlineStr">
        <is>
          <t>miglioramento della resistenza agli atti vandalici di un impianto esistente secondo la EN 81-71:2022 (voce 1.2 della Tab. A.1 della EN 81-80)</t>
        </is>
      </c>
      <c r="E204" s="10" t="inlineStr">
        <is>
          <t>UNI EN 81-83:2026</t>
        </is>
      </c>
      <c r="F204" s="10" t="inlineStr">
        <is>
          <t>ricerca, cap. 16 (testi ufficiali e schede UNI, 2026-10-02)</t>
        </is>
      </c>
      <c r="G204" s="10" t="inlineStr">
        <is>
          <t>confermato</t>
        </is>
      </c>
      <c r="H204" s="10" t="inlineStr">
        <is>
          <t>—</t>
        </is>
      </c>
      <c r="I204" s="11" t="n"/>
      <c r="J204" s="11" t="n"/>
      <c r="K204" s="11" t="n"/>
      <c r="L204" s="11" t="n"/>
      <c r="M204" s="11" t="n"/>
      <c r="N204" s="11" t="n"/>
    </row>
    <row r="205" ht="82" customHeight="1">
      <c r="A205" s="10" t="n">
        <v>203</v>
      </c>
      <c r="B205" s="10" t="inlineStr">
        <is>
          <t>Collaudo: DM 236/1989 (barriere architettoniche)</t>
        </is>
      </c>
      <c r="C205" s="10" t="inlineStr">
        <is>
          <t>DM 236/1989, 8.1.12</t>
        </is>
      </c>
      <c r="D205" s="10" t="inlineStr">
        <is>
          <t>piattaforma di distribuzione davanti alla porta di cabina: 1,50 × 1,50 m negli edifici nuovi, 1,40 × 1,40 m nell’adeguamento (fuori dal vano: in sito)</t>
        </is>
      </c>
      <c r="E205" s="10" t="inlineStr">
        <is>
          <t>DM 236/1989, 8.1.12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8.1.12</t>
        </is>
      </c>
      <c r="D206" s="10" t="inlineStr">
        <is>
          <t>porte di cabina e di piano a scorrimento automatico (nell’adeguamento la porta di piano può essere a battente se ad apertura automatica); porte aperte almeno 8 s, chiusura in almeno 4 s</t>
        </is>
      </c>
      <c r="E206" s="10" t="inlineStr">
        <is>
          <t>DM 236/1989, 8.1.12</t>
        </is>
      </c>
      <c r="F206" s="10" t="inlineStr">
        <is>
          <t>testo ufficiale del DM 236/1989</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82" customHeight="1">
      <c r="A207" s="10" t="n">
        <v>205</v>
      </c>
      <c r="B207" s="10" t="inlineStr">
        <is>
          <t>Collaudo: DM 236/1989 (barriere architettoniche)</t>
        </is>
      </c>
      <c r="C207" s="10" t="inlineStr">
        <is>
          <t>DM 236/1989, 8.1.12</t>
        </is>
      </c>
      <c r="D207" s="10" t="inlineStr">
        <is>
          <t>arresto ai piani con autolivellamento entro ± 2 cm; sosta ai piani con le porte chiuse</t>
        </is>
      </c>
      <c r="E207" s="10" t="inlineStr">
        <is>
          <t>DM 236/1989, 8.1.12</t>
        </is>
      </c>
      <c r="F207" s="10" t="inlineStr">
        <is>
          <t>testo ufficiale del DM 236/1989</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82" customHeight="1">
      <c r="A208" s="10" t="n">
        <v>206</v>
      </c>
      <c r="B208" s="10" t="inlineStr">
        <is>
          <t>Collaudo: DM 236/1989 (barriere architettoniche)</t>
        </is>
      </c>
      <c r="C208" s="10" t="inlineStr">
        <is>
          <t>DM 236/1989, 8.1.12 e 8.0.1</t>
        </is>
      </c>
      <c r="D208" s="10" t="inlineStr">
        <is>
          <t>pulsanti di cabina e di piano: il più alto tra 1,10 e 1,40 m, misurato all’asse del comando; bottoniera di cabina su una parete laterale ad almeno 0,35 m dalla porta</t>
        </is>
      </c>
      <c r="E208" s="10" t="inlineStr">
        <is>
          <t>DM 236/1989, 8.1.12 e 8.0.1</t>
        </is>
      </c>
      <c r="F208" s="10" t="inlineStr">
        <is>
          <t>testo ufficiale del DM 236/1989</t>
        </is>
      </c>
      <c r="G208" s="10" t="inlineStr">
        <is>
          <t>confermato</t>
        </is>
      </c>
      <c r="H208" s="10" t="inlineStr">
        <is>
          <t>cabina minima (DM 236/1989); porta minima (DM 236/1989); porta sul lato corto; motivazione del caso c) (DM 236/1989); pulsanti più alti delle bottoniere (DM 236/1989)</t>
        </is>
      </c>
      <c r="I208" s="11" t="n"/>
      <c r="J208" s="11" t="n"/>
      <c r="K208" s="11" t="n"/>
      <c r="L208" s="11" t="n"/>
      <c r="M208" s="11" t="n"/>
      <c r="N208" s="11" t="n"/>
    </row>
    <row r="209" ht="95" customHeight="1">
      <c r="A209" s="10" t="n">
        <v>207</v>
      </c>
      <c r="B209" s="10" t="inlineStr">
        <is>
          <t>Collaudo: DM 236/1989 (barriere architettoniche)</t>
        </is>
      </c>
      <c r="C209" s="10" t="inlineStr">
        <is>
          <t>DM 236/1989, 8.1.12 e 4.1.12</t>
        </is>
      </c>
      <c r="D209"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9" s="10" t="inlineStr">
        <is>
          <t>DM 236/1989, 8.1.12 e 4.1.12</t>
        </is>
      </c>
      <c r="F209" s="10" t="inlineStr">
        <is>
          <t>testo ufficiale del DM 236/1989</t>
        </is>
      </c>
      <c r="G209" s="10" t="inlineStr">
        <is>
          <t>confermato</t>
        </is>
      </c>
      <c r="H209" s="10" t="inlineStr">
        <is>
          <t>cabina minima (DM 236/1989); porta minima (DM 236/1989); porta sul lato corto; motivazione del caso c) (DM 236/1989); pulsanti più alti delle bottoniere (DM 236/1989)</t>
        </is>
      </c>
      <c r="I209" s="11" t="n"/>
      <c r="J209" s="11" t="n"/>
      <c r="K209" s="11" t="n"/>
      <c r="L209" s="11" t="n"/>
      <c r="M209" s="11" t="n"/>
      <c r="N209" s="11" t="n"/>
    </row>
    <row r="210" ht="82" customHeight="1">
      <c r="A210" s="10" t="n">
        <v>208</v>
      </c>
      <c r="B210" s="10" t="inlineStr">
        <is>
          <t>Collaudo: DM 236/1989 (barriere architettoniche)</t>
        </is>
      </c>
      <c r="C210" s="10" t="inlineStr">
        <is>
          <t>DM 236/1989, 3.2; L. 13/1989, art. 1 c.3 lett. d)</t>
        </is>
      </c>
      <c r="D210" s="10" t="inlineStr">
        <is>
          <t>ascensore obbligatorio oltre il terzo livello (contati interrati e porticati); negli immobili con più di tre livelli fuori terra un ascensore per ogni scala principale</t>
        </is>
      </c>
      <c r="E210" s="10" t="inlineStr">
        <is>
          <t>DM 236/1989, 3.2; L. 13/1989, art. 1 c.3 lett. d)</t>
        </is>
      </c>
      <c r="F210" s="10" t="inlineStr">
        <is>
          <t>testo ufficiale del DM 236/1989; L. 13/1989: ricerca, cap. 16</t>
        </is>
      </c>
      <c r="G210" s="10" t="inlineStr">
        <is>
          <t>confermato</t>
        </is>
      </c>
      <c r="H210" s="10" t="inlineStr">
        <is>
          <t>cabina minima (DM 236/1989); porta minima (DM 236/1989); porta sul lato corto; motivazione del caso c) (DM 236/1989); pulsanti più alti delle bottoniere (DM 236/1989)</t>
        </is>
      </c>
      <c r="I210" s="11" t="n"/>
      <c r="J210" s="11" t="n"/>
      <c r="K210" s="11" t="n"/>
      <c r="L210" s="11" t="n"/>
      <c r="M210" s="11" t="n"/>
      <c r="N210" s="11" t="n"/>
    </row>
    <row r="211" ht="82" customHeight="1">
      <c r="A211" s="10" t="n">
        <v>209</v>
      </c>
      <c r="B211" s="10" t="inlineStr">
        <is>
          <t>Collaudo: DM 236/1989 (barriere architettoniche)</t>
        </is>
      </c>
      <c r="C211" s="10" t="inlineStr">
        <is>
          <t>DM 236/1989, 7.5; DPR 503/1996, art. 19</t>
        </is>
      </c>
      <c r="D211" s="10" t="inlineStr">
        <is>
          <t>nelle ristrutturazioni deroghe per impossibilità tecnica strutturale o impiantistica (privati: concesse dal Sindaco); edifici vincolati: deroga se le opere pregiudicano il bene</t>
        </is>
      </c>
      <c r="E211" s="10" t="inlineStr">
        <is>
          <t>DM 236/1989, 7.5; DPR 503/1996, art. 19</t>
        </is>
      </c>
      <c r="F211" s="10" t="inlineStr">
        <is>
          <t>testo ufficiale del DM 236/1989; DPR 503/1996: ricerca, cap. 16</t>
        </is>
      </c>
      <c r="G211" s="10" t="inlineStr">
        <is>
          <t>confermato</t>
        </is>
      </c>
      <c r="H211" s="10" t="inlineStr">
        <is>
          <t>cabina minima (DM 236/1989); porta minima (DM 236/1989); porta sul lato corto; motivazione del caso c) (DM 236/1989); pulsanti più alti delle bottoniere (DM 236/1989)</t>
        </is>
      </c>
      <c r="I211" s="11" t="n"/>
      <c r="J211" s="11" t="n"/>
      <c r="K211" s="11" t="n"/>
      <c r="L211" s="11" t="n"/>
      <c r="M211" s="11" t="n"/>
      <c r="N211" s="11" t="n"/>
    </row>
    <row r="212" ht="69" customHeight="1">
      <c r="A212" s="10" t="n">
        <v>210</v>
      </c>
      <c r="B212" s="10" t="inlineStr">
        <is>
          <t>Collaudo: DM 15/09/2005 o Codice di prevenzione incendi, RTV V.3 (antincendio)</t>
        </is>
      </c>
      <c r="C212" s="10" t="inlineStr">
        <is>
          <t>DM 3/8/2015, art. 5 c.1-bis lett. e)</t>
        </is>
      </c>
      <c r="D212" s="10" t="inlineStr">
        <is>
          <t>il progettista applica il DM 15/09/2005 oppure la RTV V.3 del Codice: dove si usa il Codice il DM 2005 non si applica</t>
        </is>
      </c>
      <c r="E212" s="10" t="inlineStr">
        <is>
          <t>DM 3/8/2015, art. 5 c.1-bis lett. e)</t>
        </is>
      </c>
      <c r="F212" s="10" t="inlineStr">
        <is>
          <t>ricerca, cap. 16 (testi ufficiali e schede UNI, 2026-10-02)</t>
        </is>
      </c>
      <c r="G212" s="10" t="inlineStr">
        <is>
          <t>confermato</t>
        </is>
      </c>
      <c r="H212" s="10" t="inlineStr">
        <is>
          <t>—</t>
        </is>
      </c>
      <c r="I212" s="11" t="n"/>
      <c r="J212" s="11" t="n"/>
      <c r="K212" s="11" t="n"/>
      <c r="L212" s="11" t="n"/>
      <c r="M212" s="11" t="n"/>
      <c r="N212" s="11" t="n"/>
    </row>
    <row r="213" ht="95" customHeight="1">
      <c r="A213" s="10" t="n">
        <v>211</v>
      </c>
      <c r="B213" s="10" t="inlineStr">
        <is>
          <t>Collaudo: DM 15/09/2005 o Codice di prevenzione incendi, RTV V.3 (antincendio)</t>
        </is>
      </c>
      <c r="C213" s="10" t="inlineStr">
        <is>
          <t>DM 15/09/2005, art. 1 c.2</t>
        </is>
      </c>
      <c r="D213"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13" s="10" t="inlineStr">
        <is>
          <t>DM 15/09/2005, art. 1 c.2</t>
        </is>
      </c>
      <c r="F213" s="10" t="inlineStr">
        <is>
          <t>ricerca, cap. 16 (testi ufficiali e schede UNI, 2026-10-02)</t>
        </is>
      </c>
      <c r="G213" s="10" t="inlineStr">
        <is>
          <t>confermato</t>
        </is>
      </c>
      <c r="H213" s="10" t="inlineStr">
        <is>
          <t>—</t>
        </is>
      </c>
      <c r="I213" s="11" t="n"/>
      <c r="J213" s="11" t="n"/>
      <c r="K213" s="11" t="n"/>
      <c r="L213" s="11" t="n"/>
      <c r="M213" s="11" t="n"/>
      <c r="N213" s="11" t="n"/>
    </row>
    <row r="214" ht="69" customHeight="1">
      <c r="A214" s="10" t="n">
        <v>212</v>
      </c>
      <c r="B214" s="10" t="inlineStr">
        <is>
          <t>Collaudo: DM 15/09/2005 o Codice di prevenzione incendi, RTV V.3 (antincendio)</t>
        </is>
      </c>
      <c r="C214" s="10" t="inlineStr">
        <is>
          <t>DM 15/09/2005, 3.1–3.3; Codice V.3.2</t>
        </is>
      </c>
      <c r="D214" s="10" t="inlineStr">
        <is>
          <t>tipo di vano: aperto, protetto o a prova di fumo (Codice: classi da SA a SE)</t>
        </is>
      </c>
      <c r="E214" s="10" t="inlineStr">
        <is>
          <t>DM 15/09/2005, 3.1–3.3; Codice V.3.2</t>
        </is>
      </c>
      <c r="F214" s="10" t="inlineStr">
        <is>
          <t>ricerca, cap. 16 (testi ufficiali e schede UNI, 2026-10-02)</t>
        </is>
      </c>
      <c r="G214" s="10" t="inlineStr">
        <is>
          <t>confermato</t>
        </is>
      </c>
      <c r="H214" s="10" t="inlineStr">
        <is>
          <t>—</t>
        </is>
      </c>
      <c r="I214" s="11" t="n"/>
      <c r="J214" s="11" t="n"/>
      <c r="K214" s="11" t="n"/>
      <c r="L214" s="11" t="n"/>
      <c r="M214" s="11" t="n"/>
      <c r="N214" s="11" t="n"/>
    </row>
    <row r="215" ht="69" customHeight="1">
      <c r="A215" s="10" t="n">
        <v>213</v>
      </c>
      <c r="B215" s="10" t="inlineStr">
        <is>
          <t>Collaudo: DM 15/09/2005 o Codice di prevenzione incendi, RTV V.3 (antincendio)</t>
        </is>
      </c>
      <c r="C215" s="10" t="inlineStr">
        <is>
          <t>DM 15/09/2005, punto 2</t>
        </is>
      </c>
      <c r="D215" s="10" t="inlineStr">
        <is>
          <t>pareti del vano, locale macchina e pulegge, setti e arcata non combustibili; pareti, pavimento e tetto della cabina in classe di reazione al fuoco non oltre 1</t>
        </is>
      </c>
      <c r="E215" s="10" t="inlineStr">
        <is>
          <t>DM 15/09/2005, punto 2</t>
        </is>
      </c>
      <c r="F215" s="10" t="inlineStr">
        <is>
          <t>ricerca, cap. 16 (testi ufficiali e schede UNI, 2026-10-02)</t>
        </is>
      </c>
      <c r="G215" s="10" t="inlineStr">
        <is>
          <t>confermato</t>
        </is>
      </c>
      <c r="H215" s="10" t="inlineStr">
        <is>
          <t>—</t>
        </is>
      </c>
      <c r="I215" s="11" t="n"/>
      <c r="J215" s="11" t="n"/>
      <c r="K215" s="11" t="n"/>
      <c r="L215" s="11" t="n"/>
      <c r="M215" s="11" t="n"/>
      <c r="N215" s="11" t="n"/>
    </row>
    <row r="216" ht="108" customHeight="1">
      <c r="A216" s="10" t="n">
        <v>214</v>
      </c>
      <c r="B216" s="10" t="inlineStr">
        <is>
          <t>Collaudo: DM 15/09/2005 o Codice di prevenzione incendi, RTV V.3 (antincendio)</t>
        </is>
      </c>
      <c r="C216" s="10" t="inlineStr">
        <is>
          <t>DM 15/03/2005 (tabella di confronto); UNI EN 81-20:2020, 5.4.4</t>
        </is>
      </c>
      <c r="D216"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6" s="10" t="inlineStr">
        <is>
          <t>DM 15/03/2005 (tabella di confronto); UNI EN 81-20:2020, 5.4.4</t>
        </is>
      </c>
      <c r="F216" s="10" t="inlineStr">
        <is>
          <t>ricerca, cap. 16 (testi ufficiali e schede UNI, 2026-10-02)</t>
        </is>
      </c>
      <c r="G216" s="10" t="inlineStr">
        <is>
          <t>da verificare</t>
        </is>
      </c>
      <c r="H216" s="10" t="inlineStr">
        <is>
          <t>—</t>
        </is>
      </c>
      <c r="I216" s="11" t="n"/>
      <c r="J216" s="11" t="n"/>
      <c r="K216" s="11" t="n"/>
      <c r="L216" s="11" t="n"/>
      <c r="M216" s="11" t="n"/>
      <c r="N216" s="11" t="n"/>
    </row>
    <row r="217" ht="82" customHeight="1">
      <c r="A217" s="10" t="n">
        <v>215</v>
      </c>
      <c r="B217" s="10" t="inlineStr">
        <is>
          <t>Collaudo: DM 15/09/2005 o Codice di prevenzione incendi, RTV V.3 (antincendio)</t>
        </is>
      </c>
      <c r="C217" s="10" t="inlineStr">
        <is>
          <t>DM 15/09/2005, punto 5</t>
        </is>
      </c>
      <c r="D217"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17" s="10" t="inlineStr">
        <is>
          <t>DM 15/09/2005, punto 5</t>
        </is>
      </c>
      <c r="F217" s="10" t="inlineStr">
        <is>
          <t>ricerca, cap. 16 (testi ufficiali e schede UNI, 2026-10-02)</t>
        </is>
      </c>
      <c r="G217" s="10" t="inlineStr">
        <is>
          <t>confermato</t>
        </is>
      </c>
      <c r="H217" s="10" t="inlineStr">
        <is>
          <t>—</t>
        </is>
      </c>
      <c r="I217" s="11" t="n"/>
      <c r="J217" s="11" t="n"/>
      <c r="K217" s="11" t="n"/>
      <c r="L217" s="11" t="n"/>
      <c r="M217" s="11" t="n"/>
      <c r="N217" s="11" t="n"/>
    </row>
    <row r="218" ht="69" customHeight="1">
      <c r="A218" s="10" t="n">
        <v>216</v>
      </c>
      <c r="B218" s="10" t="inlineStr">
        <is>
          <t>Collaudo: DM 15/09/2005 o Codice di prevenzione incendi, RTV V.3 (antincendio)</t>
        </is>
      </c>
      <c r="C218" s="10" t="inlineStr">
        <is>
          <t>DM 15/09/2005, punto 6; Codice V.3.3.1 c.5</t>
        </is>
      </c>
      <c r="D218" s="10" t="inlineStr">
        <is>
          <t>estintore 21A89BC vicino all’accesso al macchinario; richiamo della cabina al piano prestabilito su comando della rivelazione quando la compartimentazione lo richiede</t>
        </is>
      </c>
      <c r="E218" s="10" t="inlineStr">
        <is>
          <t>DM 15/09/2005, punto 6; Codice V.3.3.1 c.5</t>
        </is>
      </c>
      <c r="F218" s="10" t="inlineStr">
        <is>
          <t>ricerca, cap. 16 (testi ufficiali e schede UNI, 2026-10-02)</t>
        </is>
      </c>
      <c r="G218" s="10" t="inlineStr">
        <is>
          <t>confermato</t>
        </is>
      </c>
      <c r="H218" s="10" t="inlineStr">
        <is>
          <t>—</t>
        </is>
      </c>
      <c r="I218" s="11" t="n"/>
      <c r="J218" s="11" t="n"/>
      <c r="K218" s="11" t="n"/>
      <c r="L218" s="11" t="n"/>
      <c r="M218" s="11" t="n"/>
      <c r="N218" s="11" t="n"/>
    </row>
    <row r="219" ht="69" customHeight="1">
      <c r="A219" s="10" t="n">
        <v>217</v>
      </c>
      <c r="B219" s="10" t="inlineStr">
        <is>
          <t>Collaudo: DM 15/09/2005 o Codice di prevenzione incendi, RTV V.3 (antincendio)</t>
        </is>
      </c>
      <c r="C219" s="10" t="inlineStr">
        <is>
          <t>Codice S.9, Tab. S.9-3</t>
        </is>
      </c>
      <c r="D219" s="10" t="inlineStr">
        <is>
          <t>piani tra 32 e 54 m: almeno un ascensore antincendio; oltre 54 m: almeno uno di soccorso; interrati tra −10 e −15 m: antincendio; sotto −15 m: soccorso</t>
        </is>
      </c>
      <c r="E219" s="10" t="inlineStr">
        <is>
          <t>Codice S.9, Tab. S.9-3</t>
        </is>
      </c>
      <c r="F219" s="10" t="inlineStr">
        <is>
          <t>ricerca, cap. 16 (testi ufficiali e schede UNI, 2026-10-02)</t>
        </is>
      </c>
      <c r="G219" s="10" t="inlineStr">
        <is>
          <t>confermato</t>
        </is>
      </c>
      <c r="H219" s="10" t="inlineStr">
        <is>
          <t>—</t>
        </is>
      </c>
      <c r="I219" s="11" t="n"/>
      <c r="J219" s="11" t="n"/>
      <c r="K219" s="11" t="n"/>
      <c r="L219" s="11" t="n"/>
      <c r="M219" s="11" t="n"/>
      <c r="N219" s="11" t="n"/>
    </row>
    <row r="220" ht="82" customHeight="1">
      <c r="A220" s="10" t="n">
        <v>218</v>
      </c>
      <c r="B220" s="10" t="inlineStr">
        <is>
          <t>Collaudo: NTC 2018 (strutture e azioni sismiche)</t>
        </is>
      </c>
      <c r="C220" s="10" t="inlineStr">
        <is>
          <t>NTC 2018, §3.1.4</t>
        </is>
      </c>
      <c r="D220" s="10" t="inlineStr">
        <is>
          <t>carichi del macchinario valutati caso per caso sui massimi prevedibili e riportati nel progetto e nel collaudo statico</t>
        </is>
      </c>
      <c r="E220" s="10" t="inlineStr">
        <is>
          <t>NTC 2018, §3.1.4</t>
        </is>
      </c>
      <c r="F220" s="10" t="inlineStr">
        <is>
          <t>ricerca, cap. 16 (testi ufficiali e schede UNI, 2026-10-02)</t>
        </is>
      </c>
      <c r="G220" s="10" t="inlineStr">
        <is>
          <t>confermato</t>
        </is>
      </c>
      <c r="H220" s="10" t="inlineStr">
        <is>
          <t>tensione nelle putrelle sotto l’argano; freccia delle putrelle sotto l’argano; tensione nelle putrelle HEB sui muri del vano; freccia delle putrelle HEB sui muri del vano</t>
        </is>
      </c>
      <c r="I220" s="11" t="n"/>
      <c r="J220" s="11" t="n"/>
      <c r="K220" s="11" t="n"/>
      <c r="L220" s="11" t="n"/>
      <c r="M220" s="11" t="n"/>
      <c r="N220" s="11" t="n"/>
    </row>
    <row r="221" ht="82" customHeight="1">
      <c r="A221" s="10" t="n">
        <v>219</v>
      </c>
      <c r="B221" s="10" t="inlineStr">
        <is>
          <t>Collaudo: NTC 2018 (strutture e azioni sismiche)</t>
        </is>
      </c>
      <c r="C221" s="10" t="inlineStr">
        <is>
          <t>NTC 2018, §8.4.1</t>
        </is>
      </c>
      <c r="D221" s="10" t="inlineStr">
        <is>
          <t>su un edificio esistente l’intervento è locale: verifica limitata alle parti interessate, senza ridurre la sicurezza preesistente</t>
        </is>
      </c>
      <c r="E221" s="10" t="inlineStr">
        <is>
          <t>NTC 2018, §8.4.1</t>
        </is>
      </c>
      <c r="F221" s="10" t="inlineStr">
        <is>
          <t>ricerca, cap. 16 (testi ufficiali e schede UNI, 2026-10-02)</t>
        </is>
      </c>
      <c r="G221" s="10" t="inlineStr">
        <is>
          <t>confermato</t>
        </is>
      </c>
      <c r="H221" s="10" t="inlineStr">
        <is>
          <t>tensione nelle putrelle sotto l’argano; freccia delle putrelle sotto l’argano; tensione nelle putrelle HEB sui muri del vano; freccia delle putrelle HEB sui muri del vano</t>
        </is>
      </c>
      <c r="I221" s="11" t="n"/>
      <c r="J221" s="11" t="n"/>
      <c r="K221" s="11" t="n"/>
      <c r="L221" s="11" t="n"/>
      <c r="M221" s="11" t="n"/>
      <c r="N221" s="11" t="n"/>
    </row>
    <row r="222" ht="82" customHeight="1">
      <c r="A222" s="10" t="n">
        <v>220</v>
      </c>
      <c r="B222" s="10" t="inlineStr">
        <is>
          <t>Collaudo: NTC 2018 (strutture e azioni sismiche)</t>
        </is>
      </c>
      <c r="C222" s="10" t="inlineStr">
        <is>
          <t>NTC 2018, §11.4.1</t>
        </is>
      </c>
      <c r="D222" s="10" t="inlineStr">
        <is>
          <t>ancoranti per uso strutturale qualificati; con azioni sismiche categoria C2 per tutte le classi d’uso</t>
        </is>
      </c>
      <c r="E222" s="10" t="inlineStr">
        <is>
          <t>NTC 2018, §11.4.1</t>
        </is>
      </c>
      <c r="F222" s="10" t="inlineStr">
        <is>
          <t>ricerca, cap. 16 (testi ufficiali e schede UNI, 2026-10-02)</t>
        </is>
      </c>
      <c r="G222" s="10" t="inlineStr">
        <is>
          <t>confermato</t>
        </is>
      </c>
      <c r="H222" s="10" t="inlineStr">
        <is>
          <t>tensione nelle putrelle sotto l’argano; freccia delle putrelle sotto l’argano; tensione nelle putrelle HEB sui muri del vano; freccia delle putrelle HEB sui muri del vano</t>
        </is>
      </c>
      <c r="I222" s="11" t="n"/>
      <c r="J222" s="11" t="n"/>
      <c r="K222" s="11" t="n"/>
      <c r="L222" s="11" t="n"/>
      <c r="M222" s="11" t="n"/>
      <c r="N222" s="11" t="n"/>
    </row>
    <row r="223" ht="108" customHeight="1">
      <c r="A223" s="10" t="n">
        <v>221</v>
      </c>
      <c r="B223" s="10" t="inlineStr">
        <is>
          <t>Collaudo: NTC 2018 (strutture e azioni sismiche)</t>
        </is>
      </c>
      <c r="C223" s="10" t="inlineStr">
        <is>
          <t>NTC 2018, §7.2.3–7.2.4</t>
        </is>
      </c>
      <c r="D223"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23" s="10" t="inlineStr">
        <is>
          <t>NTC 2018, §7.2.3–7.2.4</t>
        </is>
      </c>
      <c r="F223" s="10" t="inlineStr">
        <is>
          <t>ricerca, cap. 16 (testi ufficiali e schede UNI, 2026-10-02)</t>
        </is>
      </c>
      <c r="G223" s="10" t="inlineStr">
        <is>
          <t>confermato</t>
        </is>
      </c>
      <c r="H223" s="10" t="inlineStr">
        <is>
          <t>tensione nelle putrelle sotto l’argano; freccia delle putrelle sotto l’argano; tensione nelle putrelle HEB sui muri del vano; freccia delle putrelle HEB sui muri del vano</t>
        </is>
      </c>
      <c r="I223" s="11" t="n"/>
      <c r="J223" s="11" t="n"/>
      <c r="K223" s="11" t="n"/>
      <c r="L223" s="11" t="n"/>
      <c r="M223" s="11" t="n"/>
      <c r="N223" s="11" t="n"/>
    </row>
    <row r="224" ht="82" customHeight="1">
      <c r="A224" s="10" t="n">
        <v>222</v>
      </c>
      <c r="B224" s="10" t="inlineStr">
        <is>
          <t>Collaudo: NTC 2018 (strutture e azioni sismiche)</t>
        </is>
      </c>
      <c r="C224" s="10" t="inlineStr">
        <is>
          <t>NTC 2018, Tab. 7.3.III e §7.3.6.3</t>
        </is>
      </c>
      <c r="D224" s="10" t="inlineStr">
        <is>
          <t>impianti: stabilità allo SLV per tutte le classi d’uso; nelle classi III e IV anche funzionamento allo SLO</t>
        </is>
      </c>
      <c r="E224" s="10" t="inlineStr">
        <is>
          <t>NTC 2018, Tab. 7.3.III e §7.3.6.3</t>
        </is>
      </c>
      <c r="F224" s="10" t="inlineStr">
        <is>
          <t>ricerca, cap. 16 (testi ufficiali e schede UNI, 2026-10-02)</t>
        </is>
      </c>
      <c r="G224" s="10" t="inlineStr">
        <is>
          <t>confermato</t>
        </is>
      </c>
      <c r="H224" s="10" t="inlineStr">
        <is>
          <t>tensione nelle putrelle sotto l’argano; freccia delle putrelle sotto l’argano; tensione nelle putrelle HEB sui muri del vano; freccia delle putrelle HEB sui muri del vano</t>
        </is>
      </c>
      <c r="I224" s="11" t="n"/>
      <c r="J224" s="11" t="n"/>
      <c r="K224" s="11" t="n"/>
      <c r="L224" s="11" t="n"/>
      <c r="M224" s="11" t="n"/>
      <c r="N224" s="11" t="n"/>
    </row>
  </sheetData>
  <autoFilter ref="A1:N224"/>
  <dataValidations count="1">
    <dataValidation sqref="I3:I224"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COUNTIF(Voci!$G$3:$G$224,"da verificare")</f>
        <v/>
      </c>
    </row>
    <row r="5">
      <c r="A5" s="6" t="inlineStr">
        <is>
          <t>confermato</t>
        </is>
      </c>
      <c r="B5" s="6">
        <f>COUNTIF(Voci!$G$3:$G$224,"confermato")</f>
        <v/>
      </c>
    </row>
    <row r="6">
      <c r="A6" s="6" t="inlineStr">
        <is>
          <t>scelta del software</t>
        </is>
      </c>
      <c r="B6" s="6">
        <f>COUNTIF(Voci!$G$3:$G$224,"scelta del software")</f>
        <v/>
      </c>
    </row>
    <row r="7">
      <c r="A7" s="6" t="inlineStr">
        <is>
          <t>stima</t>
        </is>
      </c>
      <c r="B7" s="6">
        <f>COUNTIF(Voci!$G$3:$G$224,"stima")</f>
        <v/>
      </c>
    </row>
    <row r="8">
      <c r="A8" s="6" t="inlineStr">
        <is>
          <t>derivazione</t>
        </is>
      </c>
      <c r="B8" s="6">
        <f>COUNTIF(Voci!$G$3:$G$224,"derivazione")</f>
        <v/>
      </c>
    </row>
    <row r="9">
      <c r="A9" s="6" t="inlineStr">
        <is>
          <t>prassi di cantiere</t>
        </is>
      </c>
      <c r="B9" s="6">
        <f>COUNTIF(Voci!$G$3:$G$224,"prassi di cantiere")</f>
        <v/>
      </c>
    </row>
    <row r="10">
      <c r="A10" s="3" t="inlineStr">
        <is>
          <t>Totale voci</t>
        </is>
      </c>
      <c r="B10" s="3">
        <f>COUNTA(Voci!$A$3:$A$224)</f>
        <v/>
      </c>
    </row>
    <row r="12">
      <c r="A12" s="3" t="inlineStr">
        <is>
          <t>Esito</t>
        </is>
      </c>
    </row>
    <row r="13">
      <c r="A13" s="6" t="inlineStr">
        <is>
          <t>conforme</t>
        </is>
      </c>
      <c r="B13" s="6">
        <f>COUNTIF(Voci!$I$3:$I$224,"conforme")</f>
        <v/>
      </c>
    </row>
    <row r="14">
      <c r="A14" s="6" t="inlineStr">
        <is>
          <t>diverso</t>
        </is>
      </c>
      <c r="B14" s="6">
        <f>COUNTIF(Voci!$I$3:$I$224,"diverso")</f>
        <v/>
      </c>
    </row>
    <row r="15">
      <c r="A15" s="6" t="inlineStr">
        <is>
          <t>non applicabile</t>
        </is>
      </c>
      <c r="B15" s="6">
        <f>COUNTIF(Voci!$I$3:$I$224,"non applicabile")</f>
        <v/>
      </c>
    </row>
    <row r="16">
      <c r="A16" s="6" t="inlineStr">
        <is>
          <t>da compilare</t>
        </is>
      </c>
      <c r="B16" s="6">
        <f>COUNTBLANK(Voci!$I$3:$I$224)</f>
        <v/>
      </c>
    </row>
    <row r="18">
      <c r="A18" s="13" t="inlineStr">
        <is>
          <t>Conteggi sulle righe 3–224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2026-10-07T11:08:11Z</dcterms:created>
  <dcterms:modified xsi:type="dcterms:W3CDTF">2026-10-07T11:08:11Z</dcterms:modified>
</cp:coreProperties>
</file>