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'Voci'!$A$1:$N$193</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193"/>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56" customHeight="1">
      <c r="A3" s="10" t="n">
        <v>1</v>
      </c>
      <c r="B3" s="10" t="inlineStr">
        <is>
          <t>Aderenza</t>
        </is>
      </c>
      <c r="C3" s="10" t="inlineStr">
        <is>
          <t>Aderenza: tre condizioni di Euler-Eytelwein</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fornito dal cliente,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43" customHeight="1">
      <c r="A4" s="10" t="n">
        <v>2</v>
      </c>
      <c r="B4" s="10" t="inlineStr">
        <is>
          <t>Aderenza</t>
        </is>
      </c>
      <c r="C4" s="10" t="inlineStr">
        <is>
          <t>Coefficiente di attrito, caricamento</t>
        </is>
      </c>
      <c r="D4" s="10" t="inlineStr">
        <is>
          <t>μ = 0,1</t>
        </is>
      </c>
      <c r="E4" s="10" t="inlineStr">
        <is>
          <t>UNI EN 81-50:2020, 5.11.2.3.2</t>
        </is>
      </c>
      <c r="F4" s="10" t="inlineStr">
        <is>
          <t>UNI EN 81-50:2020, testo della norma fornito dal cliente, letto il 2026-10-06, p. 42</t>
        </is>
      </c>
      <c r="G4" s="10" t="inlineStr">
        <is>
          <t>confermato</t>
        </is>
      </c>
      <c r="H4" s="10" t="inlineStr">
        <is>
          <t>aderenza al caricamento</t>
        </is>
      </c>
      <c r="I4" s="11" t="n"/>
      <c r="J4" s="11" t="n"/>
      <c r="K4" s="11" t="n"/>
      <c r="L4" s="11" t="n"/>
      <c r="M4" s="11" t="n"/>
      <c r="N4" s="11" t="n"/>
    </row>
    <row r="5" ht="69" customHeight="1">
      <c r="A5" s="10" t="n">
        <v>3</v>
      </c>
      <c r="B5" s="10" t="inlineStr">
        <is>
          <t>Aderenza</t>
        </is>
      </c>
      <c r="C5" s="10" t="inlineStr">
        <is>
          <t>Coefficiente di attrito, frenatura di emergenza</t>
        </is>
      </c>
      <c r="D5" s="10" t="inlineStr">
        <is>
          <t>μ = 0,1 / (1 + v_f/10), v_f = velocità delle funi</t>
        </is>
      </c>
      <c r="E5" s="10" t="inlineStr">
        <is>
          <t>UNI EN 81-50:2020, 5.11.2.3.2</t>
        </is>
      </c>
      <c r="F5" s="10" t="inlineStr">
        <is>
          <t>UNI EN 81-50:2020, testo della norma fornito dal cliente, letto il 2026-10-06, p. 42 (v_f: velocità delle funi alla velocità nominale della cabina)</t>
        </is>
      </c>
      <c r="G5" s="10" t="inlineStr">
        <is>
          <t>confermato</t>
        </is>
      </c>
      <c r="H5" s="10" t="inlineStr">
        <is>
          <t>aderenza in frenatura, in discesa; aderenza in frenatura, in salita; aderenza alla decelerazione reale (avviso)</t>
        </is>
      </c>
      <c r="I5" s="11" t="n"/>
      <c r="J5" s="11" t="n"/>
      <c r="K5" s="11" t="n"/>
      <c r="L5" s="11" t="n"/>
      <c r="M5" s="11" t="n"/>
      <c r="N5" s="11" t="n"/>
    </row>
    <row r="6" ht="43" customHeight="1">
      <c r="A6" s="10" t="n">
        <v>4</v>
      </c>
      <c r="B6" s="10" t="inlineStr">
        <is>
          <t>Aderenza</t>
        </is>
      </c>
      <c r="C6" s="10" t="inlineStr">
        <is>
          <t>Coefficiente di attrito, contrappeso o cabina bloccati</t>
        </is>
      </c>
      <c r="D6" s="10" t="inlineStr">
        <is>
          <t>μ = 0,2</t>
        </is>
      </c>
      <c r="E6" s="10" t="inlineStr">
        <is>
          <t>UNI EN 81-50:2020, 5.11.2.3.2</t>
        </is>
      </c>
      <c r="F6" s="10" t="inlineStr">
        <is>
          <t>UNI EN 81-50:2020, testo della norma fornito dal cliente, letto il 2026-10-06, p. 42</t>
        </is>
      </c>
      <c r="G6" s="10" t="inlineStr">
        <is>
          <t>confermato</t>
        </is>
      </c>
      <c r="H6" s="10" t="inlineStr">
        <is>
          <t>cabina bloccata</t>
        </is>
      </c>
      <c r="I6" s="11" t="n"/>
      <c r="J6" s="11" t="n"/>
      <c r="K6" s="11" t="n"/>
      <c r="L6" s="11" t="n"/>
      <c r="M6" s="11" t="n"/>
      <c r="N6" s="11" t="n"/>
    </row>
    <row r="7" ht="95" customHeight="1">
      <c r="A7" s="10" t="n">
        <v>5</v>
      </c>
      <c r="B7" s="10" t="inlineStr">
        <is>
          <t>Aderenza</t>
        </is>
      </c>
      <c r="C7" s="10" t="inlineStr">
        <is>
          <t>Carico della verifica di caricamento — La norma aggiunge il peso dei dispositivi di movimentazione, dove usati negli ascensori per merci e persone: non modellato. Le due posizioni della cabina sono quelle più sfavorevoli che il software verifica.</t>
        </is>
      </c>
      <c r="D7" s="10" t="inlineStr">
        <is>
          <t>1,25·Q, cabina in basso e in alto</t>
        </is>
      </c>
      <c r="E7" s="10" t="inlineStr">
        <is>
          <t>UNI EN 81-50:2020, 5.11.2.2.1 e 5.11.3</t>
        </is>
      </c>
      <c r="F7" s="10" t="inlineStr">
        <is>
          <t>UNI EN 81-50:2020, testo della norma fornito dal cliente, letto il 2026-10-06, pp. 40 e 44 (al caricamento e con la cabina bloccata a = 0)</t>
        </is>
      </c>
      <c r="G7" s="10" t="inlineStr">
        <is>
          <t>confermato</t>
        </is>
      </c>
      <c r="H7" s="10" t="inlineStr">
        <is>
          <t>aderenza al caricamento</t>
        </is>
      </c>
      <c r="I7" s="11" t="n"/>
      <c r="J7" s="11" t="n"/>
      <c r="K7" s="11" t="n"/>
      <c r="L7" s="11" t="n"/>
      <c r="M7" s="11" t="n"/>
      <c r="N7" s="11" t="n"/>
    </row>
    <row r="8" ht="43" customHeight="1">
      <c r="A8" s="10" t="n">
        <v>6</v>
      </c>
      <c r="B8" s="10" t="inlineStr">
        <is>
          <t>Aderenza</t>
        </is>
      </c>
      <c r="C8" s="10" t="inlineStr">
        <is>
          <t>Decelerazione della verifica di frenatura</t>
        </is>
      </c>
      <c r="D8" s="10" t="inlineStr">
        <is>
          <t>almeno 0,5 m/s²</t>
        </is>
      </c>
      <c r="E8" s="10" t="inlineStr">
        <is>
          <t>UNI EN 81-50:2020, 5.11.2.2.2</t>
        </is>
      </c>
      <c r="F8" s="10" t="inlineStr">
        <is>
          <t>UNI EN 81-50:2020, testo della norma fornito dal cliente, letto il 2026-10-06, p. 40</t>
        </is>
      </c>
      <c r="G8" s="10" t="inlineStr">
        <is>
          <t>confermato</t>
        </is>
      </c>
      <c r="H8" s="10" t="inlineStr">
        <is>
          <t>aderenza in frenatura, in discesa; aderenza in frenatura, in salita</t>
        </is>
      </c>
      <c r="I8" s="11" t="n"/>
      <c r="J8" s="11" t="n"/>
      <c r="K8" s="11" t="n"/>
      <c r="L8" s="11" t="n"/>
      <c r="M8" s="11" t="n"/>
      <c r="N8" s="11" t="n"/>
    </row>
    <row r="9" ht="160" customHeight="1">
      <c r="A9" s="10" t="n">
        <v>7</v>
      </c>
      <c r="B9" s="10" t="inlineStr">
        <is>
          <t>Aderenza</t>
        </is>
      </c>
      <c r="C9"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 l'ingegnere lo sostituisce con quello calcolato dai dati degli ammortizzatori.</t>
        </is>
      </c>
      <c r="D9" s="10" t="inlineStr">
        <is>
          <t>0,8 m/s²</t>
        </is>
      </c>
      <c r="E9" s="10" t="inlineStr">
        <is>
          <t>UNI EN 81-1:2008, M.2.1.2; UNI EN 81-50:2020, 5.11.2.2.2</t>
        </is>
      </c>
      <c r="F9" s="10" t="inlineStr">
        <is>
          <t>UNI EN 81-1:2008, testo della norma fornito dal cliente, letto il 2026-10-06, p. 167; UNI EN 81-50:2020, testo della norma fornito dal cliente, letto il 2026-10-06, p. 40</t>
        </is>
      </c>
      <c r="G9" s="10" t="inlineStr">
        <is>
          <t>scelta del software</t>
        </is>
      </c>
      <c r="H9" s="10" t="inlineStr">
        <is>
          <t>aderenza in frenatura, in discesa; aderenza in frenatura, in salita</t>
        </is>
      </c>
      <c r="I9" s="11" t="n"/>
      <c r="J9" s="11" t="n"/>
      <c r="K9" s="11" t="n"/>
      <c r="L9" s="11" t="n"/>
      <c r="M9" s="11" t="n"/>
      <c r="N9" s="11" t="n"/>
    </row>
    <row r="10" ht="43" customHeight="1">
      <c r="A10" s="10" t="n">
        <v>8</v>
      </c>
      <c r="B10" s="10" t="inlineStr">
        <is>
          <t>Aderenza</t>
        </is>
      </c>
      <c r="C10" s="10" t="inlineStr">
        <is>
          <t>Combinazioni della frenatura di emergenza</t>
        </is>
      </c>
      <c r="D10" s="10" t="inlineStr">
        <is>
          <t>cabina vuota e con portata × in discesa e in salita × in basso e in alto; conta la peggiore per verso</t>
        </is>
      </c>
      <c r="E10" s="10" t="inlineStr">
        <is>
          <t>UNI EN 81-50:2020, 5.11.2.2.2</t>
        </is>
      </c>
      <c r="F10" s="10" t="inlineStr">
        <is>
          <t>derivazione (copertura completa dei casi)</t>
        </is>
      </c>
      <c r="G10" s="10" t="inlineStr">
        <is>
          <t>scelta del software</t>
        </is>
      </c>
      <c r="H10" s="10" t="inlineStr">
        <is>
          <t>aderenza in frenatura, in discesa; aderenza in frenatura, in salita</t>
        </is>
      </c>
      <c r="I10" s="11" t="n"/>
      <c r="J10" s="11" t="n"/>
      <c r="K10" s="11" t="n"/>
      <c r="L10" s="11" t="n"/>
      <c r="M10" s="11" t="n"/>
      <c r="N10" s="11" t="n"/>
    </row>
    <row r="11" ht="121" customHeight="1">
      <c r="A11" s="10" t="n">
        <v>9</v>
      </c>
      <c r="B11" s="10" t="inlineStr">
        <is>
          <t>Aderenza</t>
        </is>
      </c>
      <c r="C11"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t>
        </is>
      </c>
      <c r="D11" s="10" t="inlineStr">
        <is>
          <t>Seconda verifica con la decelerazione data dal freno (tutti i gruppi, mai sotto il minimo); oggi solo avviso</t>
        </is>
      </c>
      <c r="E11" s="10" t="inlineStr">
        <is>
          <t>UNI EN 81-50:2020, 5.11.2.2.2</t>
        </is>
      </c>
      <c r="F11" s="10" t="inlineStr">
        <is>
          <t>UNI EN 81-50:2020, testo della norma fornito dal cliente, letto il 2026-10-06, p. 40</t>
        </is>
      </c>
      <c r="G11" s="10" t="inlineStr">
        <is>
          <t>scelta del software</t>
        </is>
      </c>
      <c r="H11" s="10" t="inlineStr">
        <is>
          <t>aderenza alla decelerazione reale (avviso)</t>
        </is>
      </c>
      <c r="I11" s="11" t="n"/>
      <c r="J11" s="11" t="n"/>
      <c r="K11" s="11" t="n"/>
      <c r="L11" s="11" t="n"/>
      <c r="M11" s="11" t="n"/>
      <c r="N11" s="11" t="n"/>
    </row>
    <row r="12" ht="69" customHeight="1">
      <c r="A12" s="10" t="n">
        <v>10</v>
      </c>
      <c r="B12" s="10" t="inlineStr">
        <is>
          <t>Aderenza</t>
        </is>
      </c>
      <c r="C12" s="10" t="inlineStr">
        <is>
          <t>Soglia di attenzione sull'utilizzo dell'aderenza</t>
        </is>
      </c>
      <c r="D12" s="10" t="inlineStr">
        <is>
          <t>utilizzo &gt; 0,97 → «Attenzione»</t>
        </is>
      </c>
      <c r="E12" s="10" t="inlineStr">
        <is>
          <t>—</t>
        </is>
      </c>
      <c r="F12" s="10" t="inlineStr">
        <is>
          <t>scelta del software (margine per incertezza su masse e bilanciamento)</t>
        </is>
      </c>
      <c r="G12" s="10" t="inlineStr">
        <is>
          <t>scelta del software</t>
        </is>
      </c>
      <c r="H12" s="10" t="inlineStr">
        <is>
          <t>aderenza al caricamento; aderenza in frenatura, in discesa; aderenza in frenatura, in salita; aderenza alla decelerazione reale (avviso)</t>
        </is>
      </c>
      <c r="I12" s="11" t="n"/>
      <c r="J12" s="11" t="n"/>
      <c r="K12" s="11" t="n"/>
      <c r="L12" s="11" t="n"/>
      <c r="M12" s="11" t="n"/>
      <c r="N12" s="11" t="n"/>
    </row>
    <row r="13" ht="56" customHeight="1">
      <c r="A13" s="10" t="n">
        <v>11</v>
      </c>
      <c r="B13" s="10" t="inlineStr">
        <is>
          <t>Gole</t>
        </is>
      </c>
      <c r="C13" s="10" t="inlineStr">
        <is>
          <t>Fattore di gola, semicircolare con o senza sottosquadro</t>
        </is>
      </c>
      <c r="D13" s="10" t="inlineStr">
        <is>
          <t>f = μ·4·(cos(γ/2) − sin(β/2)) / (π − β − γ − sin β + sin γ); senza sottosquadro β = 0</t>
        </is>
      </c>
      <c r="E13" s="10" t="inlineStr">
        <is>
          <t>UNI EN 81-50:2020, 5.11.2.3.1.1</t>
        </is>
      </c>
      <c r="F13" s="10" t="inlineStr">
        <is>
          <t>UNI EN 81-50:2020, testo della norma fornito dal cliente, letto il 2026-10-06, pp. 40–41</t>
        </is>
      </c>
      <c r="G13" s="10" t="inlineStr">
        <is>
          <t>confermato</t>
        </is>
      </c>
      <c r="H13" s="10" t="inlineStr">
        <is>
          <t>aderenza al caricamento; aderenza in frenatura, in discesa; aderenza in frenatura, in salita; cabina bloccata</t>
        </is>
      </c>
      <c r="I13" s="11" t="n"/>
      <c r="J13" s="11" t="n"/>
      <c r="K13" s="11" t="n"/>
      <c r="L13" s="11" t="n"/>
      <c r="M13" s="11" t="n"/>
      <c r="N13" s="11" t="n"/>
    </row>
    <row r="14" ht="69" customHeight="1">
      <c r="A14" s="10" t="n">
        <v>12</v>
      </c>
      <c r="B14" s="10" t="inlineStr">
        <is>
          <t>Gole</t>
        </is>
      </c>
      <c r="C14" s="10" t="inlineStr">
        <is>
          <t>Fattore di gola a V — la norma dà f = μ / sin(γ/2) per il contrappeso bloccato; il software la usa anche per la cabina bloccata nella posizione più bassa (5.11.2.2.3)</t>
        </is>
      </c>
      <c r="D14" s="10" t="inlineStr">
        <is>
          <t>non temprata, al caricamento e in frenatura: f = μ·4·(1 − sin(β/2)) / (π − β − sin β); temprata, e ogni gola a V con il contrappeso o la cabina bloccati: f = μ / sin(γ/2)</t>
        </is>
      </c>
      <c r="E14" s="10" t="inlineStr">
        <is>
          <t>UNI EN 81-50:2020, 5.11.2.3.1.2</t>
        </is>
      </c>
      <c r="F14" s="10" t="inlineStr">
        <is>
          <t>UNI EN 81-50:2020, testo della norma fornito dal cliente, letto il 2026-10-06, p. 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56" customHeight="1">
      <c r="A15" s="10" t="n">
        <v>13</v>
      </c>
      <c r="B15" s="10" t="inlineStr">
        <is>
          <t>Gole</t>
        </is>
      </c>
      <c r="C15" s="10" t="inlineStr">
        <is>
          <t>Limite del sottosquadro — fino alla versione 1.1.0 del motore il limite era 106°, il valore raccomandato della UNI EN 81-1 (M.2.2.1)</t>
        </is>
      </c>
      <c r="D15" s="10" t="inlineStr">
        <is>
          <t>β ≤ 105° (1,83 rad; oltre: KO)</t>
        </is>
      </c>
      <c r="E15" s="10" t="inlineStr">
        <is>
          <t>UNI EN 81-50:2020, 5.11.2.3.1.1 e 5.11.2.3.1.2</t>
        </is>
      </c>
      <c r="F15" s="10" t="inlineStr">
        <is>
          <t>UNI EN 81-50:2020, testo della norma fornito dal cliente, letto il 2026-10-06, pp. 40–41</t>
        </is>
      </c>
      <c r="G15" s="10" t="inlineStr">
        <is>
          <t>confermato</t>
        </is>
      </c>
      <c r="H15" s="10" t="inlineStr">
        <is>
          <t>geometria della gola</t>
        </is>
      </c>
      <c r="I15" s="11" t="n"/>
      <c r="J15" s="11" t="n"/>
      <c r="K15" s="11" t="n"/>
      <c r="L15" s="11" t="n"/>
      <c r="M15" s="11" t="n"/>
      <c r="N15" s="11" t="n"/>
    </row>
    <row r="16" ht="30" customHeight="1">
      <c r="A16" s="10" t="n">
        <v>14</v>
      </c>
      <c r="B16" s="10" t="inlineStr">
        <is>
          <t>Gole</t>
        </is>
      </c>
      <c r="C16" s="10" t="inlineStr">
        <is>
          <t>Sottosquadro raccomandato</t>
        </is>
      </c>
      <c r="D16" s="10" t="inlineStr">
        <is>
          <t>β ≤ 90° (oltre: «Attenzione»)</t>
        </is>
      </c>
      <c r="E16" s="10" t="inlineStr">
        <is>
          <t>—</t>
        </is>
      </c>
      <c r="F16" s="10" t="inlineStr">
        <is>
          <t>Montanari, documento tecnico del costruttore</t>
        </is>
      </c>
      <c r="G16" s="10" t="inlineStr">
        <is>
          <t>scelta del software</t>
        </is>
      </c>
      <c r="H16" s="10" t="inlineStr">
        <is>
          <t>geometria della gola</t>
        </is>
      </c>
      <c r="I16" s="11" t="n"/>
      <c r="J16" s="11" t="n"/>
      <c r="K16" s="11" t="n"/>
      <c r="L16" s="11" t="n"/>
      <c r="M16" s="11" t="n"/>
      <c r="N16" s="11" t="n"/>
    </row>
    <row r="17" ht="56" customHeight="1">
      <c r="A17" s="10" t="n">
        <v>15</v>
      </c>
      <c r="B17" s="10" t="inlineStr">
        <is>
          <t>Gole</t>
        </is>
      </c>
      <c r="C17" s="10" t="inlineStr">
        <is>
          <t>Angolo minimo della gola a V</t>
        </is>
      </c>
      <c r="D17" s="10" t="inlineStr">
        <is>
          <t>γ ≥ 35° (sotto: KO)</t>
        </is>
      </c>
      <c r="E17" s="10" t="inlineStr">
        <is>
          <t>UNI EN 81-50:2020, 5.11.2.3.1.2</t>
        </is>
      </c>
      <c r="F17" s="10" t="inlineStr">
        <is>
          <t>UNI EN 81-50:2020, testo della norma fornito dal cliente, letto il 2026-10-06, p. 41; Montanari consiglia 35–40°</t>
        </is>
      </c>
      <c r="G17" s="10" t="inlineStr">
        <is>
          <t>confermato</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semicircolare</t>
        </is>
      </c>
      <c r="D18" s="10" t="inlineStr">
        <is>
          <t>γ ≥ 25° (0,44 rad; sotto: «Attenzione»: la norma lo raccomanda, non lo impone)</t>
        </is>
      </c>
      <c r="E18" s="10" t="inlineStr">
        <is>
          <t>UNI EN 81-50:2020, 5.11.2.3.1.1</t>
        </is>
      </c>
      <c r="F18" s="10" t="inlineStr">
        <is>
          <t>UNI EN 81-50:2020, testo della norma fornito dal cliente, letto il 2026-10-06, pp. 40–41</t>
        </is>
      </c>
      <c r="G18" s="10" t="inlineStr">
        <is>
          <t>confermato</t>
        </is>
      </c>
      <c r="H18" s="10" t="inlineStr">
        <is>
          <t>geometria della gola</t>
        </is>
      </c>
      <c r="I18" s="11" t="n"/>
      <c r="J18" s="11" t="n"/>
      <c r="K18" s="11" t="n"/>
      <c r="L18" s="11" t="n"/>
      <c r="M18" s="11" t="n"/>
      <c r="N18" s="11" t="n"/>
    </row>
    <row r="19" ht="43" customHeight="1">
      <c r="A19" s="10" t="n">
        <v>17</v>
      </c>
      <c r="B19" s="10" t="inlineStr">
        <is>
          <t>Funi</t>
        </is>
      </c>
      <c r="C19" s="10" t="inlineStr">
        <is>
          <t>Rapporto D/d della puleggia di trazione</t>
        </is>
      </c>
      <c r="D19" s="10" t="inlineStr">
        <is>
          <t>D/d ≥ 40</t>
        </is>
      </c>
      <c r="E19" s="10" t="inlineStr">
        <is>
          <t>UNI EN 81-20:2020, 5.5.2.1</t>
        </is>
      </c>
      <c r="F19" s="10" t="inlineStr">
        <is>
          <t>UNI EN 81-20:2020, testo della norma fornito dal cliente, letto il 2026-10-06, p. 74</t>
        </is>
      </c>
      <c r="G19" s="10" t="inlineStr">
        <is>
          <t>confermato</t>
        </is>
      </c>
      <c r="H19" s="10" t="inlineStr">
        <is>
          <t>D/d della puleggia</t>
        </is>
      </c>
      <c r="I19" s="11" t="n"/>
      <c r="J19" s="11" t="n"/>
      <c r="K19" s="11" t="n"/>
      <c r="L19" s="11" t="n"/>
      <c r="M19" s="11" t="n"/>
      <c r="N19" s="11" t="n"/>
    </row>
    <row r="20" ht="82" customHeight="1">
      <c r="A20" s="10" t="n">
        <v>18</v>
      </c>
      <c r="B20" s="10" t="inlineStr">
        <is>
          <t>Funi</t>
        </is>
      </c>
      <c r="C20" s="10" t="inlineStr">
        <is>
          <t>Rapporto D/d delle pulegge di rinvio</t>
        </is>
      </c>
      <c r="D20" s="10" t="inlineStr">
        <is>
          <t>Dp/d ≥ 40</t>
        </is>
      </c>
      <c r="E20" s="10" t="inlineStr">
        <is>
          <t>UNI EN 81-20:2020, 5.5.2.1; UNI 10411-1:2024, 14.3</t>
        </is>
      </c>
      <c r="F20" s="10" t="inlineStr">
        <is>
          <t>UNI EN 81-20:2020, testo della norma fornito dal cliente, letto il 2026-10-06, p. 74; UNI 10411-1:2024, testo della norma fornito dal cliente, letto il 2026-10-06, p. 14</t>
        </is>
      </c>
      <c r="G20" s="10" t="inlineStr">
        <is>
          <t>confermato</t>
        </is>
      </c>
      <c r="H20" s="10" t="inlineStr">
        <is>
          <t>Dp/d dei rinvii</t>
        </is>
      </c>
      <c r="I20" s="11" t="n"/>
      <c r="J20" s="11" t="n"/>
      <c r="K20" s="11" t="n"/>
      <c r="L20" s="11" t="n"/>
      <c r="M20" s="11" t="n"/>
      <c r="N20" s="11" t="n"/>
    </row>
    <row r="21" ht="95" customHeight="1">
      <c r="A21" s="10" t="n">
        <v>19</v>
      </c>
      <c r="B21" s="10" t="inlineStr">
        <is>
          <t>Funi</t>
        </is>
      </c>
      <c r="C21" s="10" t="inlineStr">
        <is>
          <t>Numero minimo di funi</t>
        </is>
      </c>
      <c r="D21" s="10" t="inlineStr">
        <is>
          <t>almeno 2 funi indipendenti, ciascuna con il suo attacco</t>
        </is>
      </c>
      <c r="E21" s="10" t="inlineStr">
        <is>
          <t>DPR 162/1999, All. I 1.3 (Direttiva 2014/33/UE, All. I); UNI EN 81-20:2020, 5.5</t>
        </is>
      </c>
      <c r="F21" s="10" t="inlineStr">
        <is>
          <t>DPR 162/1999 consolidato (Normattiva), letto il 2026-10-02, e Direttiva 2014/33/UE nel testo ufficiale italiano (EUR-Lex, fornito dal cliente), letto il 2026-10-04 (ricerca, cap. 16): All. I 1.3</t>
        </is>
      </c>
      <c r="G21" s="10" t="inlineStr">
        <is>
          <t>confermato</t>
        </is>
      </c>
      <c r="H21" s="10" t="inlineStr">
        <is>
          <t>numero e diametro delle funi</t>
        </is>
      </c>
      <c r="I21" s="11" t="n"/>
      <c r="J21" s="11" t="n"/>
      <c r="K21" s="11" t="n"/>
      <c r="L21" s="11" t="n"/>
      <c r="M21" s="11" t="n"/>
      <c r="N21" s="11" t="n"/>
    </row>
    <row r="22" ht="43" customHeight="1">
      <c r="A22" s="10" t="n">
        <v>20</v>
      </c>
      <c r="B22" s="10" t="inlineStr">
        <is>
          <t>Funi</t>
        </is>
      </c>
      <c r="C22" s="10" t="inlineStr">
        <is>
          <t>Diametro nominale minimo</t>
        </is>
      </c>
      <c r="D22" s="10" t="inlineStr">
        <is>
          <t>d ≥ 8 mm</t>
        </is>
      </c>
      <c r="E22" s="10" t="inlineStr">
        <is>
          <t>UNI EN 81-20:2020, 5.5.1.2 a)</t>
        </is>
      </c>
      <c r="F22" s="10" t="inlineStr">
        <is>
          <t>UNI EN 81-20:2020, testo della norma fornito dal cliente, letto il 2026-10-06, p. 74</t>
        </is>
      </c>
      <c r="G22" s="10" t="inlineStr">
        <is>
          <t>confermato</t>
        </is>
      </c>
      <c r="H22" s="10" t="inlineStr">
        <is>
          <t>numero e diametro delle funi</t>
        </is>
      </c>
      <c r="I22" s="11" t="n"/>
      <c r="J22" s="11" t="n"/>
      <c r="K22" s="11" t="n"/>
      <c r="L22" s="11" t="n"/>
      <c r="M22" s="11" t="n"/>
      <c r="N22" s="11" t="n"/>
    </row>
    <row r="23" ht="108" customHeight="1">
      <c r="A23" s="10" t="n">
        <v>21</v>
      </c>
      <c r="B23" s="10" t="inlineStr">
        <is>
          <t>Funi</t>
        </is>
      </c>
      <c r="C23"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3" s="10" t="inlineStr">
        <is>
          <t>12 con tre o più funi; 16 con due funi</t>
        </is>
      </c>
      <c r="E23" s="10" t="inlineStr">
        <is>
          <t>UNI EN 81-20:2020, 5.5.2.2 a)–b); UNI 10411-1:2024, 14.1 c)–d)</t>
        </is>
      </c>
      <c r="F23" s="10" t="inlineStr">
        <is>
          <t>UNI EN 81-20:2020, testo della norma fornito dal cliente, letto il 2026-10-06, pp. 74–75; UNI 10411-1:2024, testo della norma fornito dal cliente, letto il 2026-10-06, p. 13</t>
        </is>
      </c>
      <c r="G23" s="10" t="inlineStr">
        <is>
          <t>confermato</t>
        </is>
      </c>
      <c r="H23" s="10" t="inlineStr">
        <is>
          <t>coefficiente di sicurezza delle funi</t>
        </is>
      </c>
      <c r="I23" s="11" t="n"/>
      <c r="J23" s="11" t="n"/>
      <c r="K23" s="11" t="n"/>
      <c r="L23" s="11" t="n"/>
      <c r="M23" s="11" t="n"/>
      <c r="N23" s="11" t="n"/>
    </row>
    <row r="24" ht="43" customHeight="1">
      <c r="A24" s="10" t="n">
        <v>22</v>
      </c>
      <c r="B24" s="10" t="inlineStr">
        <is>
          <t>Funi</t>
        </is>
      </c>
      <c r="C24" s="10" t="inlineStr">
        <is>
          <t>Coefficiente di sicurezza richiesto S_f</t>
        </is>
      </c>
      <c r="D24" s="10" t="inlineStr">
        <is>
          <t>S_f = 10^[2,6834 − log10(695,85·10^6·N_equiv/(D/d)^8,567) / log10(77,09·(D/d)^−2,894)]</t>
        </is>
      </c>
      <c r="E24" s="10" t="inlineStr">
        <is>
          <t>UNI EN 81-50:2020, 5.12 (ex EN 81-1 Allegato N)</t>
        </is>
      </c>
      <c r="F24" s="10" t="inlineStr">
        <is>
          <t>riprodotto su due casi pubblicati (liftdesign.it S_f 16,69; Mellor)</t>
        </is>
      </c>
      <c r="G24" s="10" t="inlineStr">
        <is>
          <t>confermato</t>
        </is>
      </c>
      <c r="H24" s="10" t="inlineStr">
        <is>
          <t>coefficiente di sicurezza delle funi</t>
        </is>
      </c>
      <c r="I24" s="11" t="n"/>
      <c r="J24" s="11" t="n"/>
      <c r="K24" s="11" t="n"/>
      <c r="L24" s="11" t="n"/>
      <c r="M24" s="11" t="n"/>
      <c r="N24" s="11" t="n"/>
    </row>
    <row r="25" ht="121" customHeight="1">
      <c r="A25" s="10" t="n">
        <v>23</v>
      </c>
      <c r="B25" s="10" t="inlineStr">
        <is>
          <t>Funi</t>
        </is>
      </c>
      <c r="C25" s="10" t="inlineStr">
        <is>
          <t>N_equiv delle pulegge — D è il diametro della puleggia di frizione, Dp la media delle altre pulegge. La flessione è inversa solo tra due pulegge consecutive ad assi fissi, con i punti di contatto a meno di 200·d e i piani di flessione ruotati di oltre 120°: la classifica il progettista.</t>
        </is>
      </c>
      <c r="D25" s="10" t="inlineStr">
        <is>
          <t>N_equiv(p) = K_p·(N_ps + 4·N_pr), K_p = (D/Dp)^4</t>
        </is>
      </c>
      <c r="E25" s="10" t="inlineStr">
        <is>
          <t>UNI EN 81-50:2020, 5.12.2.3</t>
        </is>
      </c>
      <c r="F25" s="10" t="inlineStr">
        <is>
          <t>UNI EN 81-50:2020, testo della norma fornito dal cliente, letto il 2026-10-06, p. 46</t>
        </is>
      </c>
      <c r="G25" s="10" t="inlineStr">
        <is>
          <t>confermato</t>
        </is>
      </c>
      <c r="H25" s="10" t="inlineStr">
        <is>
          <t>coefficiente di sicurezza delle funi</t>
        </is>
      </c>
      <c r="I25" s="11" t="n"/>
      <c r="J25" s="11" t="n"/>
      <c r="K25" s="11" t="n"/>
      <c r="L25" s="11" t="n"/>
      <c r="M25" s="11" t="n"/>
      <c r="N25" s="11" t="n"/>
    </row>
    <row r="26" ht="56" customHeight="1">
      <c r="A26" s="10" t="n">
        <v>24</v>
      </c>
      <c r="B26" s="10" t="inlineStr">
        <is>
          <t>Funi</t>
        </is>
      </c>
      <c r="C26" s="10" t="inlineStr">
        <is>
          <t>N_equiv(t) della gola</t>
        </is>
      </c>
      <c r="D26" s="10" t="inlineStr">
        <is>
          <t>U senza sottosquadro 1 · U con sottosquadro: β 75° 2,5; 80° 3,0; 85° 3,8; 90° 5,0; 95° 6,7; 100° 10,0; 105° 15,2 · V: γ 35° 18,5; 36° 16,0; 38° 12,0; 40° 10,0; 42° 8,0; 45° 6,5; 50° 5,0</t>
        </is>
      </c>
      <c r="E26" s="10" t="inlineStr">
        <is>
          <t>UNI EN 81-50:2020, 5.12.2.2, tabella 2</t>
        </is>
      </c>
      <c r="F26" s="10" t="inlineStr">
        <is>
          <t>BS EN 81-50:2020, estratto pubblico del testo, p. 55 (i valori della gola a V differiscono da quelli della EN 81-1)</t>
        </is>
      </c>
      <c r="G26" s="10" t="inlineStr">
        <is>
          <t>confermato</t>
        </is>
      </c>
      <c r="H26" s="10" t="inlineStr">
        <is>
          <t>coefficiente di sicurezza delle funi</t>
        </is>
      </c>
      <c r="I26" s="11" t="n"/>
      <c r="J26" s="11" t="n"/>
      <c r="K26" s="11" t="n"/>
      <c r="L26" s="11" t="n"/>
      <c r="M26" s="11" t="n"/>
      <c r="N26" s="11" t="n"/>
    </row>
    <row r="27" ht="56" customHeight="1">
      <c r="A27" s="10" t="n">
        <v>25</v>
      </c>
      <c r="B27" s="10" t="inlineStr">
        <is>
          <t>Funi</t>
        </is>
      </c>
      <c r="C27" s="10" t="inlineStr">
        <is>
          <t>Angoli tra i punti della tabella di N_equiv(t)</t>
        </is>
      </c>
      <c r="D27" s="10" t="inlineStr">
        <is>
          <t>interpolazione lineare tra i due punti vicini</t>
        </is>
      </c>
      <c r="E27" s="10" t="inlineStr">
        <is>
          <t>UNI EN 81-50:2020, 5.12.2.2</t>
        </is>
      </c>
      <c r="F27" s="10" t="inlineStr">
        <is>
          <t>BS EN 81-50:2020, estratto pubblico del testo, p. 55 (la norma consente l'interpolazione lineare)</t>
        </is>
      </c>
      <c r="G27" s="10" t="inlineStr">
        <is>
          <t>confermato</t>
        </is>
      </c>
      <c r="H27" s="10" t="inlineStr">
        <is>
          <t>coefficiente di sicurezza delle funi</t>
        </is>
      </c>
      <c r="I27" s="11" t="n"/>
      <c r="J27" s="11" t="n"/>
      <c r="K27" s="11" t="n"/>
      <c r="L27" s="11" t="n"/>
      <c r="M27" s="11" t="n"/>
      <c r="N27" s="11" t="n"/>
    </row>
    <row r="28" ht="82" customHeight="1">
      <c r="A28" s="10" t="n">
        <v>26</v>
      </c>
      <c r="B28" s="10" t="inlineStr">
        <is>
          <t>Funi</t>
        </is>
      </c>
      <c r="C28" s="10" t="inlineStr">
        <is>
          <t>Angoli fuori dalla tabella di N_equiv(t)</t>
        </is>
      </c>
      <c r="D28" s="10" t="inlineStr">
        <is>
          <t>U: sotto 75° il valore di 75°, oltre 105° estrapolazione dall'ultimo tratto, segnalata · V: oltre 50° il valore di 50°</t>
        </is>
      </c>
      <c r="E28" s="10" t="inlineStr">
        <is>
          <t>UNI EN 81-50:2020, 5.12.2.2</t>
        </is>
      </c>
      <c r="F28" s="10" t="inlineStr">
        <is>
          <t>scelta prudente del software (la tabella si ferma a quegli angoli; N_equiv cresce con β e cala con γ, quindi il valore dell'estremo sta dal lato della sicurezza)</t>
        </is>
      </c>
      <c r="G28" s="10" t="inlineStr">
        <is>
          <t>scelta del software</t>
        </is>
      </c>
      <c r="H28" s="10" t="inlineStr">
        <is>
          <t>coefficiente di sicurezza delle funi</t>
        </is>
      </c>
      <c r="I28" s="11" t="n"/>
      <c r="J28" s="11" t="n"/>
      <c r="K28" s="11" t="n"/>
      <c r="L28" s="11" t="n"/>
      <c r="M28" s="11" t="n"/>
      <c r="N28" s="11" t="n"/>
    </row>
    <row r="29" ht="56" customHeight="1">
      <c r="A29" s="10" t="n">
        <v>27</v>
      </c>
      <c r="B29" s="10" t="inlineStr">
        <is>
          <t>Funi</t>
        </is>
      </c>
      <c r="C29" s="10" t="inlineStr">
        <is>
          <t>Tiro massimo per fune — Con la macchina in basso il tiro sul primo tratto verso la testata è una derivazione del software.</t>
        </is>
      </c>
      <c r="D29" s="10" t="inlineStr">
        <is>
          <t>cabina con portata ferma al piano più basso; con la macchina in basso sul primo tratto verso la testata</t>
        </is>
      </c>
      <c r="E29" s="10" t="inlineStr">
        <is>
          <t>UNI EN 81-20:2020, 5.5.2.2 (definizione); UNI EN 81-50:2020, 5.12.1</t>
        </is>
      </c>
      <c r="F29" s="10" t="inlineStr">
        <is>
          <t>UNI EN 81-20:2020, testo della norma fornito dal cliente, letto il 2026-10-06, pp. 74–75</t>
        </is>
      </c>
      <c r="G29" s="10" t="inlineStr">
        <is>
          <t>confermato</t>
        </is>
      </c>
      <c r="H29" s="10" t="inlineStr">
        <is>
          <t>coefficiente di sicurezza delle funi</t>
        </is>
      </c>
      <c r="I29" s="11" t="n"/>
      <c r="J29" s="11" t="n"/>
      <c r="K29" s="11" t="n"/>
      <c r="L29" s="11" t="n"/>
      <c r="M29" s="11" t="n"/>
      <c r="N29" s="11" t="n"/>
    </row>
    <row r="30" ht="43" customHeight="1">
      <c r="A30" s="10" t="n">
        <v>28</v>
      </c>
      <c r="B30" s="10" t="inlineStr">
        <is>
          <t>Funi</t>
        </is>
      </c>
      <c r="C30" s="10" t="inlineStr">
        <is>
          <t>Stima di carico di rottura e massa delle funi</t>
        </is>
      </c>
      <c r="D30" s="10" t="inlineStr">
        <is>
          <t>8×19 Seale anima tessile 1570 N/mm²: 8 mm = 30,4 kN e 0,215 kg/m, poi in proporzione a d²</t>
        </is>
      </c>
      <c r="E30" s="10" t="inlineStr">
        <is>
          <t>—</t>
        </is>
      </c>
      <c r="F30" s="10" t="inlineStr">
        <is>
          <t>tabella Pfeifer 8×19S NFC; usata solo con il pulsante di stima e nella proposta libera</t>
        </is>
      </c>
      <c r="G30" s="10" t="inlineStr">
        <is>
          <t>stima</t>
        </is>
      </c>
      <c r="H30" s="10" t="inlineStr">
        <is>
          <t>—</t>
        </is>
      </c>
      <c r="I30" s="11" t="n"/>
      <c r="J30" s="11" t="n"/>
      <c r="K30" s="11" t="n"/>
      <c r="L30" s="11" t="n"/>
      <c r="M30" s="11" t="n"/>
      <c r="N30" s="11" t="n"/>
    </row>
    <row r="31" ht="82" customHeight="1">
      <c r="A31" s="10" t="n">
        <v>29</v>
      </c>
      <c r="B31" s="10" t="inlineStr">
        <is>
          <t>Freno</t>
        </is>
      </c>
      <c r="C31" s="10" t="inlineStr">
        <is>
          <t>Gruppi meccanici del freno</t>
        </is>
      </c>
      <c r="D31" s="10" t="inlineStr">
        <is>
          <t>almeno 2</t>
        </is>
      </c>
      <c r="E31" s="10" t="inlineStr">
        <is>
          <t>UNI EN 81-20:2020, 5.9.2.2.2.1; UNI 10411-1:2024, 14.1 a)</t>
        </is>
      </c>
      <c r="F31" s="10" t="inlineStr">
        <is>
          <t>UNI EN 81-20:2020, testo della norma fornito dal cliente, letto il 2026-10-06, p. 100; UNI 10411-1:2024, testo della norma fornito dal cliente, letto il 2026-10-06, p. 13</t>
        </is>
      </c>
      <c r="G31" s="10" t="inlineStr">
        <is>
          <t>confermato</t>
        </is>
      </c>
      <c r="H31" s="10" t="inlineStr">
        <is>
          <t>gruppi del freno</t>
        </is>
      </c>
      <c r="I31" s="11" t="n"/>
      <c r="J31" s="11" t="n"/>
      <c r="K31" s="11" t="n"/>
      <c r="L31" s="11" t="n"/>
      <c r="M31" s="11" t="n"/>
      <c r="N31" s="11" t="n"/>
    </row>
    <row r="32" ht="43" customHeight="1">
      <c r="A32" s="10" t="n">
        <v>30</v>
      </c>
      <c r="B32" s="10" t="inlineStr">
        <is>
          <t>Freno</t>
        </is>
      </c>
      <c r="C32" s="10" t="inlineStr">
        <is>
          <t>Freno, tutti i gruppi</t>
        </is>
      </c>
      <c r="D32" s="10" t="inlineStr">
        <is>
          <t>arresta la cabina in discesa a velocità nominale con 1,25·Q</t>
        </is>
      </c>
      <c r="E32" s="10" t="inlineStr">
        <is>
          <t>UNI EN 81-20:2020, 5.9.2.2.2.1</t>
        </is>
      </c>
      <c r="F32" s="10" t="inlineStr">
        <is>
          <t>UNI EN 81-20:2020, testo della norma fornito dal cliente, letto il 2026-10-06, p. 100</t>
        </is>
      </c>
      <c r="G32" s="10" t="inlineStr">
        <is>
          <t>confermato</t>
        </is>
      </c>
      <c r="H32" s="10" t="inlineStr">
        <is>
          <t>freno, tutti i gruppi</t>
        </is>
      </c>
      <c r="I32" s="11" t="n"/>
      <c r="J32" s="11" t="n"/>
      <c r="K32" s="11" t="n"/>
      <c r="L32" s="11" t="n"/>
      <c r="M32" s="11" t="n"/>
      <c r="N32" s="11" t="n"/>
    </row>
    <row r="33" ht="82" customHeight="1">
      <c r="A33" s="10" t="n">
        <v>31</v>
      </c>
      <c r="B33" s="10" t="inlineStr">
        <is>
          <t>Freno</t>
        </is>
      </c>
      <c r="C33" s="10" t="inlineStr">
        <is>
          <t>Freno, un solo gruppo — La UNI 10411-1:2024 (11.1.4) e la UNI EN 81-1 chiedono a un solo gruppo di rallentare la cabina carica in discesa; il software applica la richiesta più completa della UNI EN 81-20.</t>
        </is>
      </c>
      <c r="D33" s="10" t="inlineStr">
        <is>
          <t>rallenta, arresta e tiene la cabina con portata in discesa e la cabina vuota in salita</t>
        </is>
      </c>
      <c r="E33" s="10" t="inlineStr">
        <is>
          <t>UNI EN 81-20:2020, 5.9.2.2.2.1; UNI 10411-1:2024, 14.1 a)</t>
        </is>
      </c>
      <c r="F33" s="10" t="inlineStr">
        <is>
          <t>UNI EN 81-20:2020, testo della norma fornito dal cliente, letto il 2026-10-06, p. 100; UNI 10411-1:2024, testo della norma fornito dal cliente, letto il 2026-10-06, p. 13</t>
        </is>
      </c>
      <c r="G33" s="10" t="inlineStr">
        <is>
          <t>confermato</t>
        </is>
      </c>
      <c r="H33" s="10" t="inlineStr">
        <is>
          <t>freno, un gruppo in discesa; freno, un gruppo a vuoto in salita</t>
        </is>
      </c>
      <c r="I33" s="11" t="n"/>
      <c r="J33" s="11" t="n"/>
      <c r="K33" s="11" t="n"/>
      <c r="L33" s="11" t="n"/>
      <c r="M33" s="11" t="n"/>
      <c r="N33" s="11" t="n"/>
    </row>
    <row r="34" ht="43" customHeight="1">
      <c r="A34" s="10" t="n">
        <v>32</v>
      </c>
      <c r="B34" s="10" t="inlineStr">
        <is>
          <t>Freno</t>
        </is>
      </c>
      <c r="C34" s="10" t="inlineStr">
        <is>
          <t>Attrito del riduttore nel fabbisogno del freno</t>
        </is>
      </c>
      <c r="D34" s="10" t="inlineStr">
        <is>
          <t>non conteggiato (η_i = 1): a favore di sicurezza</t>
        </is>
      </c>
      <c r="E34" s="10" t="inlineStr">
        <is>
          <t>—</t>
        </is>
      </c>
      <c r="F34" s="10" t="inlineStr">
        <is>
          <t>scelta prudente del software</t>
        </is>
      </c>
      <c r="G34" s="10" t="inlineStr">
        <is>
          <t>scelta del software</t>
        </is>
      </c>
      <c r="H34" s="10" t="inlineStr">
        <is>
          <t>freno, tutti i gruppi; freno, un gruppo in discesa; freno, un gruppo a vuoto in salita</t>
        </is>
      </c>
      <c r="I34" s="11" t="n"/>
      <c r="J34" s="11" t="n"/>
      <c r="K34" s="11" t="n"/>
      <c r="L34" s="11" t="n"/>
      <c r="M34" s="11" t="n"/>
      <c r="N34" s="11" t="n"/>
    </row>
    <row r="35" ht="108" customHeight="1">
      <c r="A35" s="10" t="n">
        <v>33</v>
      </c>
      <c r="B35" s="10" t="inlineStr">
        <is>
          <t>Freno</t>
        </is>
      </c>
      <c r="C35" s="10" t="inlineStr">
        <is>
          <t>Decelerazione massima del freno — La norma non dà un numero per il freno: ne confronta la decelerazione media con quella del paracadute e dell'urto sugli ammortizzatori, che hanno 1 gn come limite. Il confronto vero è con i dati dei componenti montati.</t>
        </is>
      </c>
      <c r="D35" s="10" t="inlineStr">
        <is>
          <t>≤ 1 g (oltre: «Attenzione»), da confrontare con paracadute e ammortizzatori</t>
        </is>
      </c>
      <c r="E35" s="10" t="inlineStr">
        <is>
          <t>UNI EN 81-20:2020, 5.9.2.2.2.1 (non oltre il paracadute o l'urto sugli ammortizzatori); 1 gn in 5.6.2.1.3 e 5.8.2</t>
        </is>
      </c>
      <c r="F35" s="10" t="inlineStr">
        <is>
          <t>UNI EN 81-20:2020, testo della norma fornito dal cliente, letto il 2026-10-06, pp. 81, 98–100</t>
        </is>
      </c>
      <c r="G35" s="10" t="inlineStr">
        <is>
          <t>derivazione</t>
        </is>
      </c>
      <c r="H35" s="10" t="inlineStr">
        <is>
          <t>decelerazione massima del freno</t>
        </is>
      </c>
      <c r="I35" s="11" t="n"/>
      <c r="J35" s="11" t="n"/>
      <c r="K35" s="11" t="n"/>
      <c r="L35" s="11" t="n"/>
      <c r="M35" s="11" t="n"/>
      <c r="N35" s="11" t="n"/>
    </row>
    <row r="36" ht="56" customHeight="1">
      <c r="A36" s="10" t="n">
        <v>34</v>
      </c>
      <c r="B36" s="10" t="inlineStr">
        <is>
          <t>Riduttore e motore</t>
        </is>
      </c>
      <c r="C36" s="10" t="inlineStr">
        <is>
          <t>Rendimento inverso del riduttore se non dato — Da sostituire con il valore del costruttore: la decelerazione reale del freno ne dipende molto.</t>
        </is>
      </c>
      <c r="D36" s="10" t="inlineStr">
        <is>
          <t>η_i ≈ 2 − 1/η_d (0 = irreversibile)</t>
        </is>
      </c>
      <c r="E36" s="10" t="inlineStr">
        <is>
          <t>—</t>
        </is>
      </c>
      <c r="F36" s="10" t="inlineStr">
        <is>
          <t>approssimazione della teoria della vite senza fine</t>
        </is>
      </c>
      <c r="G36" s="10" t="inlineStr">
        <is>
          <t>stima</t>
        </is>
      </c>
      <c r="H36" s="10" t="inlineStr">
        <is>
          <t>aderenza alla decelerazione reale (avviso); decelerazione massima del freno</t>
        </is>
      </c>
      <c r="I36" s="11" t="n"/>
      <c r="J36" s="11" t="n"/>
      <c r="K36" s="11" t="n"/>
      <c r="L36" s="11" t="n"/>
      <c r="M36" s="11" t="n"/>
      <c r="N36" s="11" t="n"/>
    </row>
    <row r="37" ht="43" customHeight="1">
      <c r="A37" s="10" t="n">
        <v>35</v>
      </c>
      <c r="B37" s="10" t="inlineStr">
        <is>
          <t>Riduttore e motore</t>
        </is>
      </c>
      <c r="C37" s="10" t="inlineStr">
        <is>
          <t>Coppia di accelerazione</t>
        </is>
      </c>
      <c r="D37" s="10" t="inlineStr">
        <is>
          <t>≤ 2 volte la coppia nominale (oltre: «Attenzione»; nella proposta: criterio di scelta del motore)</t>
        </is>
      </c>
      <c r="E37" s="10" t="inlineStr">
        <is>
          <t>—</t>
        </is>
      </c>
      <c r="F37" s="10" t="inlineStr">
        <is>
          <t>scelta del software; il limite vero è quello di motore e inverter</t>
        </is>
      </c>
      <c r="G37" s="10" t="inlineStr">
        <is>
          <t>scelta del software</t>
        </is>
      </c>
      <c r="H37" s="10" t="inlineStr">
        <is>
          <t>coppia di accelerazione</t>
        </is>
      </c>
      <c r="I37" s="11" t="n"/>
      <c r="J37" s="11" t="n"/>
      <c r="K37" s="11" t="n"/>
      <c r="L37" s="11" t="n"/>
      <c r="M37" s="11" t="n"/>
      <c r="N37" s="11" t="n"/>
    </row>
    <row r="38" ht="30" customHeight="1">
      <c r="A38" s="10" t="n">
        <v>36</v>
      </c>
      <c r="B38" s="10" t="inlineStr">
        <is>
          <t>Riduttore e motore</t>
        </is>
      </c>
      <c r="C38" s="10" t="inlineStr">
        <is>
          <t>Soglia di attenzione sui limiti del costruttore</t>
        </is>
      </c>
      <c r="D38" s="10" t="inlineStr">
        <is>
          <t>oltre il 98% del limite di catalogo (albero, coppia in uscita) → «Attenzione»</t>
        </is>
      </c>
      <c r="E38" s="10" t="inlineStr">
        <is>
          <t>—</t>
        </is>
      </c>
      <c r="F38" s="10" t="inlineStr">
        <is>
          <t>scelta del software</t>
        </is>
      </c>
      <c r="G38" s="10" t="inlineStr">
        <is>
          <t>scelta del software</t>
        </is>
      </c>
      <c r="H38" s="10" t="inlineStr">
        <is>
          <t>carico sull'albero; coppia in uscita</t>
        </is>
      </c>
      <c r="I38" s="11" t="n"/>
      <c r="J38" s="11" t="n"/>
      <c r="K38" s="11" t="n"/>
      <c r="L38" s="11" t="n"/>
      <c r="M38" s="11" t="n"/>
      <c r="N38" s="11" t="n"/>
    </row>
    <row r="39" ht="43" customHeight="1">
      <c r="A39" s="10" t="n">
        <v>37</v>
      </c>
      <c r="B39" s="10" t="inlineStr">
        <is>
          <t>Riduttore e motore</t>
        </is>
      </c>
      <c r="C39" s="10" t="inlineStr">
        <is>
          <t>Potenza statica del motore</t>
        </is>
      </c>
      <c r="D39" s="10" t="inlineStr">
        <is>
          <t>P_st = ΔF·v_f / (η_d·η_vano) ≤ P_n, con ΔF il maggiore tra cabina carica in salita dal basso e vuota in discesa dall'alto</t>
        </is>
      </c>
      <c r="E39" s="10" t="inlineStr">
        <is>
          <t>—</t>
        </is>
      </c>
      <c r="F39" s="10" t="inlineStr">
        <is>
          <t>derivazione</t>
        </is>
      </c>
      <c r="G39" s="10" t="inlineStr">
        <is>
          <t>derivazione</t>
        </is>
      </c>
      <c r="H39" s="10" t="inlineStr">
        <is>
          <t>potenza del motore</t>
        </is>
      </c>
      <c r="I39" s="11" t="n"/>
      <c r="J39" s="11" t="n"/>
      <c r="K39" s="11" t="n"/>
      <c r="L39" s="11" t="n"/>
      <c r="M39" s="11" t="n"/>
      <c r="N39" s="11" t="n"/>
    </row>
    <row r="40" ht="30" customHeight="1">
      <c r="A40" s="10" t="n">
        <v>38</v>
      </c>
      <c r="B40" s="10" t="inlineStr">
        <is>
          <t>Riduttore e motore</t>
        </is>
      </c>
      <c r="C40" s="10" t="inlineStr">
        <is>
          <t>Coppia massima in uscita dal riduttore</t>
        </is>
      </c>
      <c r="D40" s="10" t="inlineStr">
        <is>
          <t>M_p = ΔF·D/2 + J·i·α_m, confrontata con il valore di catalogo se inserito</t>
        </is>
      </c>
      <c r="E40" s="10" t="inlineStr">
        <is>
          <t>dato del costruttore</t>
        </is>
      </c>
      <c r="F40" s="10" t="inlineStr">
        <is>
          <t>derivazione</t>
        </is>
      </c>
      <c r="G40" s="10" t="inlineStr">
        <is>
          <t>derivazione</t>
        </is>
      </c>
      <c r="H40" s="10" t="inlineStr">
        <is>
          <t>coppia in uscita</t>
        </is>
      </c>
      <c r="I40" s="11" t="n"/>
      <c r="J40" s="11" t="n"/>
      <c r="K40" s="11" t="n"/>
      <c r="L40" s="11" t="n"/>
      <c r="M40" s="11" t="n"/>
      <c r="N40" s="11" t="n"/>
    </row>
    <row r="41" ht="82" customHeight="1">
      <c r="A41" s="10" t="n">
        <v>39</v>
      </c>
      <c r="B41" s="10" t="inlineStr">
        <is>
          <t>Riduttore e motore</t>
        </is>
      </c>
      <c r="C41" s="10" t="inlineStr">
        <is>
          <t>Tolleranza tra velocità reale e nominale — Con la UNI 10411-1:2024 (15.1) una velocità oltre il 5 % sopra quella originale è un aumento della velocità nominale (punti 15.2–15.15).</t>
        </is>
      </c>
      <c r="D41" s="10" t="inlineStr">
        <is>
          <t>con metà portata a metà corsa, in salita e in discesa, non oltre il 5 % sopra la nominale (buona pratica: non oltre l'8 % sotto); non verificata: il software mostra la velocità reale e la frequenza per la nominale</t>
        </is>
      </c>
      <c r="E41" s="10" t="inlineStr">
        <is>
          <t>UNI EN 81-20:2020, 5.9.2.4; UNI 10411-1:2024, 15.1</t>
        </is>
      </c>
      <c r="F41" s="10" t="inlineStr">
        <is>
          <t>UNI EN 81-20:2020, testo della norma fornito dal cliente, letto il 2026-10-06, p. 102; UNI 10411-1:2024, testo della norma fornito dal cliente, letto il 2026-10-06, p. 14</t>
        </is>
      </c>
      <c r="G41" s="10" t="inlineStr">
        <is>
          <t>confermato</t>
        </is>
      </c>
      <c r="H41" s="10" t="inlineStr">
        <is>
          <t>—</t>
        </is>
      </c>
      <c r="I41" s="11" t="n"/>
      <c r="J41" s="11" t="n"/>
      <c r="K41" s="11" t="n"/>
      <c r="L41" s="11" t="n"/>
      <c r="M41" s="11" t="n"/>
      <c r="N41" s="11" t="n"/>
    </row>
    <row r="42" ht="69" customHeight="1">
      <c r="A42" s="10" t="n">
        <v>40</v>
      </c>
      <c r="B42" s="10" t="inlineStr">
        <is>
          <t>Manovra di emergenza</t>
        </is>
      </c>
      <c r="C42" s="10" t="inlineStr">
        <is>
          <t>Forza massima al volantino — Il software verifica i 400 N; i 150 N del mezzo meccanico (5.9.2.3.1 a)) non sono verificati: sono nella lista da verificare.</t>
        </is>
      </c>
      <c r="D42" s="10" t="inlineStr">
        <is>
          <t>≤ 400 N per far salire la cabina con la portata, altrimenti manovra elettrica di emergenza; il mezzo meccanico è ammesso se per portare la cabina a una fermata bastano 150 N</t>
        </is>
      </c>
      <c r="E42" s="10" t="inlineStr">
        <is>
          <t>UNI EN 81-20:2020, 5.9.2.3.3 (400 N) e 5.9.2.3.1 a) (150 N)</t>
        </is>
      </c>
      <c r="F42" s="10" t="inlineStr">
        <is>
          <t>UNI EN 81-20:2020, testo della norma fornito dal cliente, letto il 2026-10-06, pp. 101–102</t>
        </is>
      </c>
      <c r="G42" s="10" t="inlineStr">
        <is>
          <t>confermato</t>
        </is>
      </c>
      <c r="H42" s="10" t="inlineStr">
        <is>
          <t>forza al volantino</t>
        </is>
      </c>
      <c r="I42" s="11" t="n"/>
      <c r="J42" s="11" t="n"/>
      <c r="K42" s="11" t="n"/>
      <c r="L42" s="11" t="n"/>
      <c r="M42" s="11" t="n"/>
      <c r="N42" s="11" t="n"/>
    </row>
    <row r="43" ht="56" customHeight="1">
      <c r="A43" s="10" t="n">
        <v>41</v>
      </c>
      <c r="B43" s="10" t="inlineStr">
        <is>
          <t>Albero e ancoraggi</t>
        </is>
      </c>
      <c r="C43" s="10" t="inlineStr">
        <is>
          <t>Carico sull'albero della puleggia</t>
        </is>
      </c>
      <c r="D43" s="10" t="inlineStr">
        <is>
          <t>risultante dei tiri con 1,25·Q al piano più basso, confrontata con il limite del costruttore</t>
        </is>
      </c>
      <c r="E43" s="10" t="inlineStr">
        <is>
          <t>dato del costruttore; 1,25·Q come nella verifica di caricamento (UNI EN 81-50:2020, 5.11.2.2.1)</t>
        </is>
      </c>
      <c r="F43" s="10" t="inlineStr">
        <is>
          <t>derivazione; la definizione del carico va confermata con il costruttore</t>
        </is>
      </c>
      <c r="G43" s="10" t="inlineStr">
        <is>
          <t>derivazione</t>
        </is>
      </c>
      <c r="H43" s="10" t="inlineStr">
        <is>
          <t>carico sull'albero</t>
        </is>
      </c>
      <c r="I43" s="11" t="n"/>
      <c r="J43" s="11" t="n"/>
      <c r="K43" s="11" t="n"/>
      <c r="L43" s="11" t="n"/>
      <c r="M43" s="11" t="n"/>
      <c r="N43" s="11" t="n"/>
    </row>
    <row r="44" ht="30" customHeight="1">
      <c r="A44" s="10" t="n">
        <v>42</v>
      </c>
      <c r="B44" s="10" t="inlineStr">
        <is>
          <t>Albero e ancoraggi</t>
        </is>
      </c>
      <c r="C44" s="10" t="inlineStr">
        <is>
          <t>Sollevamento netto sugli ancoraggi (macchina in basso)</t>
        </is>
      </c>
      <c r="D44" s="10" t="inlineStr">
        <is>
          <t>carico verso l'alto meno la massa della macchina: da verificare con il progettista strutturale</t>
        </is>
      </c>
      <c r="E44" s="10" t="inlineStr">
        <is>
          <t>—</t>
        </is>
      </c>
      <c r="F44" s="10" t="inlineStr">
        <is>
          <t>derivazione</t>
        </is>
      </c>
      <c r="G44" s="10" t="inlineStr">
        <is>
          <t>derivazione</t>
        </is>
      </c>
      <c r="H44" s="10" t="inlineStr">
        <is>
          <t>sollevamento netto</t>
        </is>
      </c>
      <c r="I44" s="11" t="n"/>
      <c r="J44" s="11" t="n"/>
      <c r="K44" s="11" t="n"/>
      <c r="L44" s="11" t="n"/>
      <c r="M44" s="11" t="n"/>
      <c r="N44" s="11" t="n"/>
    </row>
    <row r="45" ht="69" customHeight="1">
      <c r="A45" s="10" t="n">
        <v>43</v>
      </c>
      <c r="B45" s="10" t="inlineStr">
        <is>
          <t>Sostituzione (Italia)</t>
        </is>
      </c>
      <c r="C45" s="10" t="inlineStr">
        <is>
          <t>La sostituzione del macchinario è una modifica costruttiva</t>
        </is>
      </c>
      <c r="D45" s="10" t="inlineStr">
        <is>
          <t>modifica costruttiva (art. 2 c.1 lett. cc), n. 5): adeguamento della parte sostituita e delle altre parti interessate, comunicazione al Comune e al soggetto delle verifiche periodiche, verifica straordinaria prima del servizio</t>
        </is>
      </c>
      <c r="E45" s="10" t="inlineStr">
        <is>
          <t>DPR 162/1999 e s.m.i., art. 2 c.1 lett. cc), art. 12 c.4–5, art. 14 c.3</t>
        </is>
      </c>
      <c r="F45" s="10" t="inlineStr">
        <is>
          <t>DPR 162/1999 consolidato (Normattiva), letto il 2026-10-02 (ricerca, cap. 16), §3.2</t>
        </is>
      </c>
      <c r="G45" s="10" t="inlineStr">
        <is>
          <t>confermato</t>
        </is>
      </c>
      <c r="H45" s="10" t="inlineStr">
        <is>
          <t>—</t>
        </is>
      </c>
      <c r="I45" s="11" t="n"/>
      <c r="J45" s="11" t="n"/>
      <c r="K45" s="11" t="n"/>
      <c r="L45" s="11" t="n"/>
      <c r="M45" s="11" t="n"/>
      <c r="N45" s="11" t="n"/>
    </row>
    <row r="46" ht="212" customHeight="1">
      <c r="A46" s="10" t="n">
        <v>44</v>
      </c>
      <c r="B46" s="10" t="inlineStr">
        <is>
          <t>Sostituzione (Italia)</t>
        </is>
      </c>
      <c r="C46" s="10" t="inlineStr">
        <is>
          <t>Adeguamenti richiesti per la sostituzione del macchinario</t>
        </is>
      </c>
      <c r="D46"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UNI 10411-11:2024, punto 14: macchina come l'originale, altrimenti UNI EN 81-20 5.9.1–5.9.2 con le verifiche della norma di origine o della UNI EN 81-20 e la valutazione 4.3 (14.1); UCM esistenti che funzionano ancora e interruzione se il freno non si apre (14.3)</t>
        </is>
      </c>
      <c r="E46" s="10" t="inlineStr">
        <is>
          <t>UNI 10411-1:2024, 14.1–14.4; UNI 10411-11:2024, 14.1–14.3</t>
        </is>
      </c>
      <c r="F46" s="10" t="inlineStr">
        <is>
          <t>UNI 10411-1:2024, testo della norma fornito dal cliente, letto il 2026-10-06, pp. 13–14; UNI 10411-11:2024, testo della norma fornito dal cliente, letto il 2026-10-06, p. 12</t>
        </is>
      </c>
      <c r="G46" s="10" t="inlineStr">
        <is>
          <t>confermato</t>
        </is>
      </c>
      <c r="H46" s="10" t="inlineStr">
        <is>
          <t>gruppi del freno</t>
        </is>
      </c>
      <c r="I46" s="11" t="n"/>
      <c r="J46" s="11" t="n"/>
      <c r="K46" s="11" t="n"/>
      <c r="L46" s="11" t="n"/>
      <c r="M46" s="11" t="n"/>
      <c r="N46" s="11" t="n"/>
    </row>
    <row r="47" ht="43" customHeight="1">
      <c r="A47" s="10" t="n">
        <v>45</v>
      </c>
      <c r="B47" s="10" t="inlineStr">
        <is>
          <t>Sostituzione (Italia)</t>
        </is>
      </c>
      <c r="C47" s="10" t="inlineStr">
        <is>
          <t>Funi nella sostituzione</t>
        </is>
      </c>
      <c r="D47" s="10" t="inlineStr">
        <is>
          <t>di norma funi nuove con lo stesso numero e diametro di quelle montate; la proposta le tiene fisse</t>
        </is>
      </c>
      <c r="E47" s="10" t="inlineStr">
        <is>
          <t>—</t>
        </is>
      </c>
      <c r="F47" s="10" t="inlineStr">
        <is>
          <t>indicazione di Panev Ascensori (29 settembre 2026)</t>
        </is>
      </c>
      <c r="G47" s="10" t="inlineStr">
        <is>
          <t>prassi di cantiere</t>
        </is>
      </c>
      <c r="H47" s="10" t="inlineStr">
        <is>
          <t>—</t>
        </is>
      </c>
      <c r="I47" s="11" t="n"/>
      <c r="J47" s="11" t="n"/>
      <c r="K47" s="11" t="n"/>
      <c r="L47" s="11" t="n"/>
      <c r="M47" s="11" t="n"/>
      <c r="N47" s="11" t="n"/>
    </row>
    <row r="48" ht="43" customHeight="1">
      <c r="A48" s="10" t="n">
        <v>46</v>
      </c>
      <c r="B48" s="10" t="inlineStr">
        <is>
          <t>Modello di calcolo</t>
        </is>
      </c>
      <c r="C48" s="10" t="inlineStr">
        <is>
          <t>Accelerazione di gravità</t>
        </is>
      </c>
      <c r="D48" s="10" t="inlineStr">
        <is>
          <t>g = 9,81 m/s² (anche come limite di 1 g)</t>
        </is>
      </c>
      <c r="E48" s="10" t="inlineStr">
        <is>
          <t>UNI EN 81-20:2020, 5.2.1.8.5 (g_n = 9,81 m/s²)</t>
        </is>
      </c>
      <c r="F48" s="10" t="inlineStr">
        <is>
          <t>UNI EN 81-20:2020, testo della norma fornito dal cliente, letto il 2026-10-06, p. 27</t>
        </is>
      </c>
      <c r="G48" s="10" t="inlineStr">
        <is>
          <t>confermato</t>
        </is>
      </c>
      <c r="H48" s="10" t="inlineStr">
        <is>
          <t>—</t>
        </is>
      </c>
      <c r="I48" s="11" t="n"/>
      <c r="J48" s="11" t="n"/>
      <c r="K48" s="11" t="n"/>
      <c r="L48" s="11" t="n"/>
      <c r="M48" s="11" t="n"/>
      <c r="N48" s="11" t="n"/>
    </row>
    <row r="49" ht="173" customHeight="1">
      <c r="A49" s="10" t="n">
        <v>47</v>
      </c>
      <c r="B49" s="10" t="inlineStr">
        <is>
          <t>Modello di calcolo</t>
        </is>
      </c>
      <c r="C49" s="10" t="inlineStr">
        <is>
          <t>Tiri con il metodo del percorso della fune — Confermati sul testo: le masse per lato, il fattore (r² + 2)/3 delle funi, il termine delle pulegge di rinvio e l'attrito trascurato. Da verificare: in taglia 2:1 le pulegge di cabina e di contrappeso (termine III della norma) non sono contate; con la macchina in basso il tratto tra macchina e pulegge in testata usa r·a, dove il testo stampa a (la forma stampata coincide con quella fisica solo a 1:1).</t>
        </is>
      </c>
      <c r="D49" s="10" t="inlineStr">
        <is>
          <t>masse e funi di ogni tratto, inerzia delle pulegge di rinvio; attrito di guide e pulegge trascurato in aderenza</t>
        </is>
      </c>
      <c r="E49" s="10" t="inlineStr">
        <is>
          <t>UNI EN 81-50:2020, 5.11.3</t>
        </is>
      </c>
      <c r="F49" s="10" t="inlineStr">
        <is>
          <t>UNI EN 81-50:2020, testo della norma fornito dal cliente, letto il 2026-10-06, pp. 43–44</t>
        </is>
      </c>
      <c r="G49" s="10" t="inlineStr">
        <is>
          <t>da verificare</t>
        </is>
      </c>
      <c r="H49" s="10" t="inlineStr">
        <is>
          <t>aderenza al caricamento; aderenza in frenatura, in discesa; aderenza in frenatura, in salita; aderenza alla decelerazione reale (avviso); cabina bloccata</t>
        </is>
      </c>
      <c r="I49" s="11" t="n"/>
      <c r="J49" s="11" t="n"/>
      <c r="K49" s="11" t="n"/>
      <c r="L49" s="11" t="n"/>
      <c r="M49" s="11" t="n"/>
      <c r="N49" s="11" t="n"/>
    </row>
    <row r="50" ht="30" customHeight="1">
      <c r="A50" s="10" t="n">
        <v>48</v>
      </c>
      <c r="B50" s="10" t="inlineStr">
        <is>
          <t>Modello di calcolo</t>
        </is>
      </c>
      <c r="C50" s="10" t="inlineStr">
        <is>
          <t>Compensazione e cavo flessibile</t>
        </is>
      </c>
      <c r="D50" s="10" t="inlineStr">
        <is>
          <t>non modellati a parte: la loro massa sul lato cabina entra in P</t>
        </is>
      </c>
      <c r="E50" s="10" t="inlineStr">
        <is>
          <t>UNI EN 81-50:2020, 5.11</t>
        </is>
      </c>
      <c r="F50" s="10" t="inlineStr">
        <is>
          <t>limite del modello attuale</t>
        </is>
      </c>
      <c r="G50" s="10" t="inlineStr">
        <is>
          <t>scelta del software</t>
        </is>
      </c>
      <c r="H50" s="10" t="inlineStr">
        <is>
          <t>—</t>
        </is>
      </c>
      <c r="I50" s="11" t="n"/>
      <c r="J50" s="11" t="n"/>
      <c r="K50" s="11" t="n"/>
      <c r="L50" s="11" t="n"/>
      <c r="M50" s="11" t="n"/>
      <c r="N50" s="11" t="n"/>
    </row>
    <row r="51" ht="30" customHeight="1">
      <c r="A51" s="10" t="n">
        <v>49</v>
      </c>
      <c r="B51" s="10" t="inlineStr">
        <is>
          <t>Modello di calcolo</t>
        </is>
      </c>
      <c r="C51" s="10" t="inlineStr">
        <is>
          <t>Analisi di sensibilità</t>
        </is>
      </c>
      <c r="D51" s="10" t="inlineStr">
        <is>
          <t>P ±10%; k ±0,05 se il carico di equilibrio non è misurato</t>
        </is>
      </c>
      <c r="E51" s="10" t="inlineStr">
        <is>
          <t>—</t>
        </is>
      </c>
      <c r="F51" s="10" t="inlineStr">
        <is>
          <t>scelta del software (incertezza tipica del rilievo)</t>
        </is>
      </c>
      <c r="G51" s="10" t="inlineStr">
        <is>
          <t>scelta del software</t>
        </is>
      </c>
      <c r="H51" s="10" t="inlineStr">
        <is>
          <t>—</t>
        </is>
      </c>
      <c r="I51" s="11" t="n"/>
      <c r="J51" s="11" t="n"/>
      <c r="K51" s="11" t="n"/>
      <c r="L51" s="11" t="n"/>
      <c r="M51" s="11" t="n"/>
      <c r="N51" s="11" t="n"/>
    </row>
    <row r="52" ht="134" customHeight="1">
      <c r="A52" s="10" t="n">
        <v>50</v>
      </c>
      <c r="B52" s="10" t="inlineStr">
        <is>
          <t>Vano: cabina e portata</t>
        </is>
      </c>
      <c r="C52"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52"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52" s="10" t="inlineStr">
        <is>
          <t>UNI EN 81-20:2020, 5.4.2.1.1 (Prospetto 6)</t>
        </is>
      </c>
      <c r="F52" s="10" t="inlineStr">
        <is>
          <t>UNI EN 81-20:2020, testo della norma fornito dal cliente, letto il 2026-10-06, pp. 63–64</t>
        </is>
      </c>
      <c r="G52" s="10" t="inlineStr">
        <is>
          <t>confermato</t>
        </is>
      </c>
      <c r="H52" s="10" t="inlineStr">
        <is>
          <t>superficie della cabina per la portata</t>
        </is>
      </c>
      <c r="I52" s="11" t="n"/>
      <c r="J52" s="11" t="n"/>
      <c r="K52" s="11" t="n"/>
      <c r="L52" s="11" t="n"/>
      <c r="M52" s="11" t="n"/>
      <c r="N52" s="11" t="n"/>
    </row>
    <row r="53" ht="95" customHeight="1">
      <c r="A53" s="10" t="n">
        <v>51</v>
      </c>
      <c r="B53" s="10" t="inlineStr">
        <is>
          <t>Vano: cabina e portata</t>
        </is>
      </c>
      <c r="C53" s="10" t="inlineStr">
        <is>
          <t>Numero di passeggeri</t>
        </is>
      </c>
      <c r="D53"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53" s="10" t="inlineStr">
        <is>
          <t>UNI EN 81-20:2020, 5.4.2.3.1 (Prospetto 8)</t>
        </is>
      </c>
      <c r="F53" s="10" t="inlineStr">
        <is>
          <t>UNI EN 81-20:2020, testo della norma fornito dal cliente, letto il 2026-10-06, p. 66</t>
        </is>
      </c>
      <c r="G53" s="10" t="inlineStr">
        <is>
          <t>confermato</t>
        </is>
      </c>
      <c r="H53" s="10" t="inlineStr">
        <is>
          <t>—</t>
        </is>
      </c>
      <c r="I53" s="11" t="n"/>
      <c r="J53" s="11" t="n"/>
      <c r="K53" s="11" t="n"/>
      <c r="L53" s="11" t="n"/>
      <c r="M53" s="11" t="n"/>
      <c r="N53" s="11" t="n"/>
    </row>
    <row r="54" ht="108" customHeight="1">
      <c r="A54" s="10" t="n">
        <v>52</v>
      </c>
      <c r="B54" s="10" t="inlineStr">
        <is>
          <t>Vano: distanze in pianta</t>
        </is>
      </c>
      <c r="C54"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t>
        </is>
      </c>
      <c r="D54" s="10" t="inlineStr">
        <is>
          <t>distanza orizzontale dalla soglia o dal telaio della porta di cabina ≤ 150 mm (qui: profondità della porta di piano + gioco tra le soglie)</t>
        </is>
      </c>
      <c r="E54" s="10" t="inlineStr">
        <is>
          <t>UNI EN 81-20:2020, 5.2.5.3.1</t>
        </is>
      </c>
      <c r="F54" s="10" t="inlineStr">
        <is>
          <t>UNI EN 81-20:2020, testo della norma fornito dal cliente, letto il 2026-10-06, p. 33</t>
        </is>
      </c>
      <c r="G54" s="10" t="inlineStr">
        <is>
          <t>confermato</t>
        </is>
      </c>
      <c r="H54" s="10" t="inlineStr">
        <is>
          <t>parete di fronte all'entrata</t>
        </is>
      </c>
      <c r="I54" s="11" t="n"/>
      <c r="J54" s="11" t="n"/>
      <c r="K54" s="11" t="n"/>
      <c r="L54" s="11" t="n"/>
      <c r="M54" s="11" t="n"/>
      <c r="N54" s="11" t="n"/>
    </row>
    <row r="55" ht="43" customHeight="1">
      <c r="A55" s="10" t="n">
        <v>53</v>
      </c>
      <c r="B55" s="10" t="inlineStr">
        <is>
          <t>Vano: distanze in pianta</t>
        </is>
      </c>
      <c r="C55" s="10" t="inlineStr">
        <is>
          <t>Gioco tra soglia di cabina e soglia di piano</t>
        </is>
      </c>
      <c r="D55" s="10" t="inlineStr">
        <is>
          <t>distanza orizzontale ≤ 35 mm</t>
        </is>
      </c>
      <c r="E55" s="10" t="inlineStr">
        <is>
          <t>UNI EN 81-20:2020, 5.3.4.1 (figura 3); 11.2.2 nella UNI EN 81-1 (1999, 2008)</t>
        </is>
      </c>
      <c r="F55" s="10" t="inlineStr">
        <is>
          <t>UNI EN 81-20:2020, testo della norma fornito dal cliente, letto il 2026-10-06, p. 50</t>
        </is>
      </c>
      <c r="G55" s="10" t="inlineStr">
        <is>
          <t>confermato</t>
        </is>
      </c>
      <c r="H55" s="10" t="inlineStr">
        <is>
          <t>gioco tra le soglie</t>
        </is>
      </c>
      <c r="I55" s="11" t="n"/>
      <c r="J55" s="11" t="n"/>
      <c r="K55" s="11" t="n"/>
      <c r="L55" s="11" t="n"/>
      <c r="M55" s="11" t="n"/>
      <c r="N55" s="11" t="n"/>
    </row>
    <row r="56" ht="69" customHeight="1">
      <c r="A56" s="10" t="n">
        <v>54</v>
      </c>
      <c r="B56" s="10" t="inlineStr">
        <is>
          <t>Vano: distanze in pianta</t>
        </is>
      </c>
      <c r="C56" s="10" t="inlineStr">
        <is>
          <t>Distanza tra cabina e contrappeso — il software misura tra le sagome di cabina e contrappeso: pattini e staffe non sono nel modello della pianta</t>
        </is>
      </c>
      <c r="D56" s="10" t="inlineStr">
        <is>
          <t>≥ 50 mm tra la cabina con i suoi componenti e il contrappeso con i suoi</t>
        </is>
      </c>
      <c r="E56" s="10" t="inlineStr">
        <is>
          <t>UNI EN 81-20:2020, 5.2.5.5.1 h)</t>
        </is>
      </c>
      <c r="F56" s="10" t="inlineStr">
        <is>
          <t>UNI EN 81-20:2020, testo della norma fornito dal cliente, letto il 2026-10-06, p. 35</t>
        </is>
      </c>
      <c r="G56" s="10" t="inlineStr">
        <is>
          <t>confermato</t>
        </is>
      </c>
      <c r="H56" s="10" t="inlineStr">
        <is>
          <t>distanza cabina–contrappeso</t>
        </is>
      </c>
      <c r="I56" s="11" t="n"/>
      <c r="J56" s="11" t="n"/>
      <c r="K56" s="11" t="n"/>
      <c r="L56" s="11" t="n"/>
      <c r="M56" s="11" t="n"/>
      <c r="N56" s="11" t="n"/>
    </row>
    <row r="57" ht="199" customHeight="1">
      <c r="A57" s="10" t="n">
        <v>55</v>
      </c>
      <c r="B57" s="10" t="inlineStr">
        <is>
          <t>Vano: distanze in pianta</t>
        </is>
      </c>
      <c r="C57" s="10" t="inlineStr">
        <is>
          <t>Pareti all'ultimo piano e in testata diverse dal piano principale</t>
        </is>
      </c>
      <c r="D57"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57" s="10" t="inlineStr">
        <is>
          <t>UNI EN 81-20:2020, 5.2.5.3.1 (parete di fronte all'entrata); il resto scelta del software</t>
        </is>
      </c>
      <c r="F57" s="10" t="inlineStr">
        <is>
          <t>scelta del software: il margine di marcia va confermato con l'installatore</t>
        </is>
      </c>
      <c r="G57" s="10" t="inlineStr">
        <is>
          <t>scelta del software</t>
        </is>
      </c>
      <c r="H57" s="10" t="inlineStr">
        <is>
          <t>pareti in testata diverse dal piano principale</t>
        </is>
      </c>
      <c r="I57" s="11" t="n"/>
      <c r="J57" s="11" t="n"/>
      <c r="K57" s="11" t="n"/>
      <c r="L57" s="11" t="n"/>
      <c r="M57" s="11" t="n"/>
      <c r="N57" s="11" t="n"/>
    </row>
    <row r="58" ht="56" customHeight="1">
      <c r="A58" s="10" t="n">
        <v>56</v>
      </c>
      <c r="B58" s="10" t="inlineStr">
        <is>
          <t>Vano: accessibilità (DM 236/1989)</t>
        </is>
      </c>
      <c r="C58" s="10" t="inlineStr">
        <is>
          <t>Edifici residenziali nuovi: cabina e porta minime</t>
        </is>
      </c>
      <c r="D58" s="10" t="inlineStr">
        <is>
          <t>cabina larga 950 mm e profonda 1300 mm, porta di 800 mm sul lato corto; piattaforma davanti alla porta 1,50 × 1,50 m (fuori dal vano: da verificare in sito)</t>
        </is>
      </c>
      <c r="E58" s="10" t="inlineStr">
        <is>
          <t>DM 236/1989, 8.1.12</t>
        </is>
      </c>
      <c r="F58" s="10" t="inlineStr">
        <is>
          <t>DM 236/1989, 8.1.12, letto per intero su Normattiva il 2026-10-02 (ricerca, cap. 16, §4.1)</t>
        </is>
      </c>
      <c r="G58" s="10" t="inlineStr">
        <is>
          <t>confermato</t>
        </is>
      </c>
      <c r="H58" s="10" t="inlineStr">
        <is>
          <t>cabina minima (DM 236/1989); porta minima (DM 236/1989); porta sul lato corto</t>
        </is>
      </c>
      <c r="I58" s="11" t="n"/>
      <c r="J58" s="11" t="n"/>
      <c r="K58" s="11" t="n"/>
      <c r="L58" s="11" t="n"/>
      <c r="M58" s="11" t="n"/>
      <c r="N58" s="11" t="n"/>
    </row>
    <row r="59" ht="56" customHeight="1">
      <c r="A59" s="10" t="n">
        <v>57</v>
      </c>
      <c r="B59" s="10" t="inlineStr">
        <is>
          <t>Vano: accessibilità (DM 236/1989)</t>
        </is>
      </c>
      <c r="C59" s="10" t="inlineStr">
        <is>
          <t>Edifici non residenziali nuovi: cabina e porta minime</t>
        </is>
      </c>
      <c r="D59" s="10" t="inlineStr">
        <is>
          <t>cabina larga 1100 mm e profonda 1400 mm, porta di 800 mm sul lato corto; piattaforma davanti alla porta 1,50 × 1,50 m (fuori dal vano: da verificare in sito)</t>
        </is>
      </c>
      <c r="E59" s="10" t="inlineStr">
        <is>
          <t>DM 236/1989, 8.1.12</t>
        </is>
      </c>
      <c r="F59" s="10" t="inlineStr">
        <is>
          <t>DM 236/1989, 8.1.12, letto per intero su Normattiva il 2026-10-02 (ricerca, cap. 16, §4.1)</t>
        </is>
      </c>
      <c r="G59" s="10" t="inlineStr">
        <is>
          <t>confermato</t>
        </is>
      </c>
      <c r="H59" s="10" t="inlineStr">
        <is>
          <t>cabina minima (DM 236/1989); porta minima (DM 236/1989); porta sul lato corto</t>
        </is>
      </c>
      <c r="I59" s="11" t="n"/>
      <c r="J59" s="11" t="n"/>
      <c r="K59" s="11" t="n"/>
      <c r="L59" s="11" t="n"/>
      <c r="M59" s="11" t="n"/>
      <c r="N59" s="11" t="n"/>
    </row>
    <row r="60" ht="56" customHeight="1">
      <c r="A60" s="10" t="n">
        <v>58</v>
      </c>
      <c r="B60" s="10" t="inlineStr">
        <is>
          <t>Vano: accessibilità (DM 236/1989)</t>
        </is>
      </c>
      <c r="C60" s="10" t="inlineStr">
        <is>
          <t>Adeguamento di edifici esistenti: cabina e porta minime</t>
        </is>
      </c>
      <c r="D60" s="10" t="inlineStr">
        <is>
          <t>cabina larga 800 mm e profonda 1200 mm, porta di 750 mm sul lato corto; piattaforma davanti alla porta 1,40 × 1,40 m (fuori dal vano: da verificare in sito)</t>
        </is>
      </c>
      <c r="E60" s="10" t="inlineStr">
        <is>
          <t>DM 236/1989, 8.1.12</t>
        </is>
      </c>
      <c r="F60" s="10" t="inlineStr">
        <is>
          <t>DM 236/1989, 8.1.12, letto per intero su Normattiva il 2026-10-02 (ricerca, cap. 16, §4.1)</t>
        </is>
      </c>
      <c r="G60" s="10" t="inlineStr">
        <is>
          <t>confermato</t>
        </is>
      </c>
      <c r="H60" s="10" t="inlineStr">
        <is>
          <t>cabina minima (DM 236/1989); porta minima (DM 236/1989); porta sul lato corto</t>
        </is>
      </c>
      <c r="I60" s="11" t="n"/>
      <c r="J60" s="11" t="n"/>
      <c r="K60" s="11" t="n"/>
      <c r="L60" s="11" t="n"/>
      <c r="M60" s="11" t="n"/>
      <c r="N60" s="11" t="n"/>
    </row>
    <row r="61" ht="43" customHeight="1">
      <c r="A61" s="10" t="n">
        <v>59</v>
      </c>
      <c r="B61" s="10" t="inlineStr">
        <is>
          <t>Vano: porte</t>
        </is>
      </c>
      <c r="C61" s="10" t="inlineStr">
        <is>
          <t>Ingombro della porta di piano lungo la parete del vano</t>
        </is>
      </c>
      <c r="D61" s="10" t="inlineStr">
        <is>
          <t>telescopica a 2 ante: 1,5·L + 110 mm; centrale a 2 ante: 2·L + 110 mm (L = luce netta)</t>
        </is>
      </c>
      <c r="E61" s="10" t="inlineStr">
        <is>
          <t>dato del fornitore delle porte</t>
        </is>
      </c>
      <c r="F61" s="10" t="inlineStr">
        <is>
          <t>valori tipici: scelta del software da confermare con il fornitore</t>
        </is>
      </c>
      <c r="G61" s="10" t="inlineStr">
        <is>
          <t>scelta del software</t>
        </is>
      </c>
      <c r="H61" s="10" t="inlineStr">
        <is>
          <t>ingombro della porta di piano</t>
        </is>
      </c>
      <c r="I61" s="11" t="n"/>
      <c r="J61" s="11" t="n"/>
      <c r="K61" s="11" t="n"/>
      <c r="L61" s="11" t="n"/>
      <c r="M61" s="11" t="n"/>
      <c r="N61" s="11" t="n"/>
    </row>
    <row r="62" ht="30" customHeight="1">
      <c r="A62" s="10" t="n">
        <v>60</v>
      </c>
      <c r="B62" s="10" t="inlineStr">
        <is>
          <t>Vano: porte</t>
        </is>
      </c>
      <c r="C62" s="10" t="inlineStr">
        <is>
          <t>Larghezza della cabina rispetto alla porta</t>
        </is>
      </c>
      <c r="D62" s="10" t="inlineStr">
        <is>
          <t>larghezza interna ≥ luce della porta + 50 mm; profondità interna ≥ 800 mm</t>
        </is>
      </c>
      <c r="E62" s="10" t="inlineStr">
        <is>
          <t>—</t>
        </is>
      </c>
      <c r="F62" s="10" t="inlineStr">
        <is>
          <t>scelta del software</t>
        </is>
      </c>
      <c r="G62" s="10" t="inlineStr">
        <is>
          <t>scelta del software</t>
        </is>
      </c>
      <c r="H62" s="10" t="inlineStr">
        <is>
          <t>la cabina entra nel vano</t>
        </is>
      </c>
      <c r="I62" s="11" t="n"/>
      <c r="J62" s="11" t="n"/>
      <c r="K62" s="11" t="n"/>
      <c r="L62" s="11" t="n"/>
      <c r="M62" s="11" t="n"/>
      <c r="N62" s="11" t="n"/>
    </row>
    <row r="63" ht="342" customHeight="1">
      <c r="A63" s="10" t="n">
        <v>61</v>
      </c>
      <c r="B63" s="10" t="inlineStr">
        <is>
          <t>Vano: porte</t>
        </is>
      </c>
      <c r="C63" s="10" t="inlineStr">
        <is>
          <t>Vano porta di piano e operatore della porta di cabina</t>
        </is>
      </c>
      <c r="D63"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63" s="10" t="inlineStr">
        <is>
          <t>dato del fornitore delle porte</t>
        </is>
      </c>
      <c r="F63"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63" s="10" t="inlineStr">
        <is>
          <t>stima</t>
        </is>
      </c>
      <c r="H63" s="10" t="inlineStr">
        <is>
          <t>ingombro della porta di piano; ingombro della seconda porta di piano; operatori delle porte adiacenti</t>
        </is>
      </c>
      <c r="I63" s="11" t="n"/>
      <c r="J63" s="11" t="n"/>
      <c r="K63" s="11" t="n"/>
      <c r="L63" s="11" t="n"/>
      <c r="M63" s="11" t="n"/>
      <c r="N63" s="11" t="n"/>
    </row>
    <row r="64" ht="134" customHeight="1">
      <c r="A64" s="10" t="n">
        <v>62</v>
      </c>
      <c r="B64" s="10" t="inlineStr">
        <is>
          <t>Vano: porte</t>
        </is>
      </c>
      <c r="C64"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64"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64" s="10" t="inlineStr">
        <is>
          <t>UNI EN 81-20:2020, 5.3.2.2</t>
        </is>
      </c>
      <c r="F64" s="10" t="inlineStr">
        <is>
          <t>UNI EN 81-20:2020, testo della norma fornito dal cliente, letto il 2026-10-06, p. 49</t>
        </is>
      </c>
      <c r="G64" s="10" t="inlineStr">
        <is>
          <t>confermato</t>
        </is>
      </c>
      <c r="H64" s="10" t="inlineStr">
        <is>
          <t>disassamento della porta di piano A; disassamento della porta di piano B</t>
        </is>
      </c>
      <c r="I64" s="11" t="n"/>
      <c r="J64" s="11" t="n"/>
      <c r="K64" s="11" t="n"/>
      <c r="L64" s="11" t="n"/>
      <c r="M64" s="11" t="n"/>
      <c r="N64" s="11" t="n"/>
    </row>
    <row r="65" ht="95" customHeight="1">
      <c r="A65" s="10" t="n">
        <v>63</v>
      </c>
      <c r="B65" s="10" t="inlineStr">
        <is>
          <t>Vano: porte</t>
        </is>
      </c>
      <c r="C65" s="10" t="inlineStr">
        <is>
          <t>Bottoniera di piano</t>
        </is>
      </c>
      <c r="D65" s="10" t="inlineStr">
        <is>
          <t>accanto a ogni porta di piano, sul pianerottolo: per default a destra guardando la porta, il centro della pulsantiera a 150 mm dal vano della porta e i pulsanti a 1100 mm dal pavimento; pulsantiera di 120 × 300 mm, sporgente 15 mm dal muro; lato, distanza e altezza modificabili su ogni progetto</t>
        </is>
      </c>
      <c r="E65" s="10" t="inlineStr">
        <is>
          <t>altezze e distanze dagli angoli per l'accessibilità da verificare (DM 236/1989, UNI EN 81-70)</t>
        </is>
      </c>
      <c r="F65" s="10" t="inlineStr">
        <is>
          <t>scelta del software</t>
        </is>
      </c>
      <c r="G65" s="10" t="inlineStr">
        <is>
          <t>scelta del software</t>
        </is>
      </c>
      <c r="H65" s="10" t="inlineStr">
        <is>
          <t>—</t>
        </is>
      </c>
      <c r="I65" s="11" t="n"/>
      <c r="J65" s="11" t="n"/>
      <c r="K65" s="11" t="n"/>
      <c r="L65" s="11" t="n"/>
      <c r="M65" s="11" t="n"/>
      <c r="N65" s="11" t="n"/>
    </row>
    <row r="66" ht="186" customHeight="1">
      <c r="A66" s="10" t="n">
        <v>64</v>
      </c>
      <c r="B66" s="10" t="inlineStr">
        <is>
          <t>Vano: porte</t>
        </is>
      </c>
      <c r="C66" s="10" t="inlineStr">
        <is>
          <t>Imbotti della porta di piano (sostituzione con una luce più piccola)</t>
        </is>
      </c>
      <c r="D66"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66" s="10" t="inlineStr">
        <is>
          <t>dato del fornitore delle porte (imbotti su misura)</t>
        </is>
      </c>
      <c r="F66" s="10" t="inlineStr">
        <is>
          <t>scelta del software</t>
        </is>
      </c>
      <c r="G66" s="10" t="inlineStr">
        <is>
          <t>scelta del software</t>
        </is>
      </c>
      <c r="H66" s="10" t="inlineStr">
        <is>
          <t>—</t>
        </is>
      </c>
      <c r="I66" s="11" t="n"/>
      <c r="J66" s="11" t="n"/>
      <c r="K66" s="11" t="n"/>
      <c r="L66" s="11" t="n"/>
      <c r="M66" s="11" t="n"/>
      <c r="N66" s="11" t="n"/>
    </row>
    <row r="67" ht="316" customHeight="1">
      <c r="A67" s="10" t="n">
        <v>65</v>
      </c>
      <c r="B67" s="10" t="inlineStr">
        <is>
          <t>Vano: porte</t>
        </is>
      </c>
      <c r="C67" s="10" t="inlineStr">
        <is>
          <t>Telaio proprio delle porte di piano</t>
        </is>
      </c>
      <c r="D67"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67" s="10" t="inlineStr">
        <is>
          <t>dato del fornitore delle porte</t>
        </is>
      </c>
      <c r="F67"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67" s="10" t="inlineStr">
        <is>
          <t>scelta del software</t>
        </is>
      </c>
      <c r="H67" s="10" t="inlineStr">
        <is>
          <t>le ante della porta di piano dietro il suo telaio</t>
        </is>
      </c>
      <c r="I67" s="11" t="n"/>
      <c r="J67" s="11" t="n"/>
      <c r="K67" s="11" t="n"/>
      <c r="L67" s="11" t="n"/>
      <c r="M67" s="11" t="n"/>
      <c r="N67" s="11" t="n"/>
    </row>
    <row r="68" ht="199" customHeight="1">
      <c r="A68" s="10" t="n">
        <v>66</v>
      </c>
      <c r="B68" s="10" t="inlineStr">
        <is>
          <t>Vano: ingombri tipici</t>
        </is>
      </c>
      <c r="C68"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68"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68" s="10" t="inlineStr">
        <is>
          <t>dati del costruttore di guide, porte e cabina</t>
        </is>
      </c>
      <c r="F68" s="10" t="inlineStr">
        <is>
          <t>valori tipici: scelta del software</t>
        </is>
      </c>
      <c r="G68" s="10" t="inlineStr">
        <is>
          <t>scelta del software</t>
        </is>
      </c>
      <c r="H68" s="10" t="inlineStr">
        <is>
          <t>la cabina entra nel vano</t>
        </is>
      </c>
      <c r="I68" s="11" t="n"/>
      <c r="J68" s="11" t="n"/>
      <c r="K68" s="11" t="n"/>
      <c r="L68" s="11" t="n"/>
      <c r="M68" s="11" t="n"/>
      <c r="N68" s="11" t="n"/>
    </row>
    <row r="69" ht="108" customHeight="1">
      <c r="A69" s="10" t="n">
        <v>67</v>
      </c>
      <c r="B69" s="10" t="inlineStr">
        <is>
          <t>Vano: ingombri tipici</t>
        </is>
      </c>
      <c r="C69" s="10" t="inlineStr">
        <is>
          <t>Contrappeso laterale</t>
        </is>
      </c>
      <c r="D69"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69" s="10" t="inlineStr">
        <is>
          <t>—</t>
        </is>
      </c>
      <c r="F69" s="10" t="inlineStr">
        <is>
          <t>scelta del software</t>
        </is>
      </c>
      <c r="G69" s="10" t="inlineStr">
        <is>
          <t>scelta del software</t>
        </is>
      </c>
      <c r="H69" s="10" t="inlineStr">
        <is>
          <t>lunghezza del contrappeso</t>
        </is>
      </c>
      <c r="I69" s="11" t="n"/>
      <c r="J69" s="11" t="n"/>
      <c r="K69" s="11" t="n"/>
      <c r="L69" s="11" t="n"/>
      <c r="M69" s="11" t="n"/>
      <c r="N69" s="11" t="n"/>
    </row>
    <row r="70" ht="147" customHeight="1">
      <c r="A70" s="10" t="n">
        <v>68</v>
      </c>
      <c r="B70" s="10" t="inlineStr">
        <is>
          <t>Vano: ingombri tipici</t>
        </is>
      </c>
      <c r="C70" s="10" t="inlineStr">
        <is>
          <t>Arcata a zaino (due accessi adiacenti a 90°)</t>
        </is>
      </c>
      <c r="D70"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70" s="10" t="inlineStr">
        <is>
          <t>—</t>
        </is>
      </c>
      <c r="F70" s="10" t="inlineStr">
        <is>
          <t>scelta del software (principio: cataloghi di arcate a zaino); disposizione da confermare con il fornitore dell'arcata</t>
        </is>
      </c>
      <c r="G70" s="10" t="inlineStr">
        <is>
          <t>scelta del software</t>
        </is>
      </c>
      <c r="H70" s="10" t="inlineStr">
        <is>
          <t>—</t>
        </is>
      </c>
      <c r="I70" s="11" t="n"/>
      <c r="J70" s="11" t="n"/>
      <c r="K70" s="11" t="n"/>
      <c r="L70" s="11" t="n"/>
      <c r="M70" s="11" t="n"/>
      <c r="N70" s="11" t="n"/>
    </row>
    <row r="71" ht="212" customHeight="1">
      <c r="A71" s="10" t="n">
        <v>69</v>
      </c>
      <c r="B71" s="10" t="inlineStr">
        <is>
          <t>Vano: ingombri tipici</t>
        </is>
      </c>
      <c r="C71" s="10" t="inlineStr">
        <is>
          <t>Nicchie nelle pareti del vano</t>
        </is>
      </c>
      <c r="D71"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il solaio; canalina in nicchia: dal fondo della fossa al solaio; ogni nicchia dentro la sua parete, fuori dai telai delle porte di piano e dalle altre nicchie, con almeno 50 mm di muro dietro; altrimenti «Non conforme»</t>
        </is>
      </c>
      <c r="E71" s="10" t="inlineStr">
        <is>
          <t>—</t>
        </is>
      </c>
      <c r="F71" s="10" t="inlineStr">
        <is>
          <t>scelta del software; la resistenza della parete con la nicchia va verificata dal progettista</t>
        </is>
      </c>
      <c r="G71" s="10" t="inlineStr">
        <is>
          <t>scelta del software</t>
        </is>
      </c>
      <c r="H71" s="10" t="inlineStr">
        <is>
          <t>nicchie nelle pareti</t>
        </is>
      </c>
      <c r="I71" s="11" t="n"/>
      <c r="J71" s="11" t="n"/>
      <c r="K71" s="11" t="n"/>
      <c r="L71" s="11" t="n"/>
      <c r="M71" s="11" t="n"/>
      <c r="N71" s="11" t="n"/>
    </row>
    <row r="72" ht="329" customHeight="1">
      <c r="A72" s="10" t="n">
        <v>70</v>
      </c>
      <c r="B72" s="10" t="inlineStr">
        <is>
          <t>Vano: ingombri tipici</t>
        </is>
      </c>
      <c r="C72" s="10" t="inlineStr">
        <is>
          <t>Staffe delle guide del contrappeso (catalogo Panev)</t>
        </is>
      </c>
      <c r="D72"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72" s="10" t="inlineStr">
        <is>
          <t>catalogo staffe Panev 2026, pp. 20-62</t>
        </is>
      </c>
      <c r="F72" s="10" t="inlineStr">
        <is>
          <t>catalogo del costruttore (panev/docs/catalogo-staffe-panev-2026.pdf); le corse dell'SC lontano dalla parete lette sui disegni di montaggio (pp. 41-55)</t>
        </is>
      </c>
      <c r="G72" s="10" t="inlineStr">
        <is>
          <t>confermato</t>
        </is>
      </c>
      <c r="H72" s="10" t="inlineStr">
        <is>
          <t>staffe del catalogo per le guide del contrappeso</t>
        </is>
      </c>
      <c r="I72" s="11" t="n"/>
      <c r="J72" s="11" t="n"/>
      <c r="K72" s="11" t="n"/>
      <c r="L72" s="11" t="n"/>
      <c r="M72" s="11" t="n"/>
      <c r="N72" s="11" t="n"/>
    </row>
    <row r="73" ht="407" customHeight="1">
      <c r="A73" s="10" t="n">
        <v>71</v>
      </c>
      <c r="B73" s="10" t="inlineStr">
        <is>
          <t>Vano: ingombri tipici</t>
        </is>
      </c>
      <c r="C73" s="10" t="inlineStr">
        <is>
          <t>Staffe delle porte di piano (catalogo Panev)</t>
        </is>
      </c>
      <c r="D73"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73" s="10" t="inlineStr">
        <is>
          <t>catalogo staffe Panev 2026, pp. 14-18 (coppie), p. 05 (taglio della piastra) e p. 04 (soglia o elemento portante della porta di piano)</t>
        </is>
      </c>
      <c r="F73" s="10" t="inlineStr">
        <is>
          <t>catalogo del costruttore (panev/docs/catalogo-staffe-panev-2026.pdf); il passo, il numero minimo, il montaggio capovolto sopra la porta e lo spostamento sono scelta del software (il montaggio sopra la porta va confermato con il costruttore della porta)</t>
        </is>
      </c>
      <c r="G73" s="10" t="inlineStr">
        <is>
          <t>scelta del software</t>
        </is>
      </c>
      <c r="H73" s="10" t="inlineStr">
        <is>
          <t>staffe Panev sopra le porte di piano: muro tra il vano della porta e la soglia del piano sopra</t>
        </is>
      </c>
      <c r="I73" s="11" t="n"/>
      <c r="J73" s="11" t="n"/>
      <c r="K73" s="11" t="n"/>
      <c r="L73" s="11" t="n"/>
      <c r="M73" s="11" t="n"/>
      <c r="N73" s="11" t="n"/>
    </row>
    <row r="74" ht="355" customHeight="1">
      <c r="A74" s="10" t="n">
        <v>72</v>
      </c>
      <c r="B74" s="10" t="inlineStr">
        <is>
          <t>Vano: ingombri tipici</t>
        </is>
      </c>
      <c r="C74"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74"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74" s="10" t="inlineStr">
        <is>
          <t>dati del fornitore del limitatore; dalla norma solo lo scatto ≥ 115 % della velocità nominale (UNI EN 81-20:2020, 5.6.2.2.1.1 a))</t>
        </is>
      </c>
      <c r="F74"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74" s="10" t="inlineStr">
        <is>
          <t>stima</t>
        </is>
      </c>
      <c r="H74" s="10" t="inlineStr">
        <is>
          <t>—</t>
        </is>
      </c>
      <c r="I74" s="11" t="n"/>
      <c r="J74" s="11" t="n"/>
      <c r="K74" s="11" t="n"/>
      <c r="L74" s="11" t="n"/>
      <c r="M74" s="11" t="n"/>
      <c r="N74" s="11" t="n"/>
    </row>
    <row r="75" ht="82" customHeight="1">
      <c r="A75" s="10" t="n">
        <v>73</v>
      </c>
      <c r="B75" s="10" t="inlineStr">
        <is>
          <t>Vano: sezione, spazi di rifugio e ammortizzatori</t>
        </is>
      </c>
      <c r="C75" s="10" t="inlineStr">
        <is>
          <t>Spazi di rifugio sul tetto di cabina e in fossa</t>
        </is>
      </c>
      <c r="D75"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75" s="10" t="inlineStr">
        <is>
          <t>UNI EN 81-20:2020, 5.2.5.7.1 (Prospetto 3) e 5.2.5.8.1 (Prospetto 4)</t>
        </is>
      </c>
      <c r="F75" s="10" t="inlineStr">
        <is>
          <t>UNI EN 81-20:2020, testo della norma fornito dal cliente, letto il 2026-10-06, pp. 37–40</t>
        </is>
      </c>
      <c r="G75" s="10" t="inlineStr">
        <is>
          <t>confermato</t>
        </is>
      </c>
      <c r="H75" s="10" t="inlineStr">
        <is>
          <t>spazio di rifugio in testata; spazio di rifugio in fossa</t>
        </is>
      </c>
      <c r="I75" s="11" t="n"/>
      <c r="J75" s="11" t="n"/>
      <c r="K75" s="11" t="n"/>
      <c r="L75" s="11" t="n"/>
      <c r="M75" s="11" t="n"/>
      <c r="N75" s="11" t="n"/>
    </row>
    <row r="76" ht="95" customHeight="1">
      <c r="A76" s="10" t="n">
        <v>74</v>
      </c>
      <c r="B76" s="10" t="inlineStr">
        <is>
          <t>Vano: sezione, spazi di rifugio e ammortizzatori</t>
        </is>
      </c>
      <c r="C76" s="10" t="inlineStr">
        <is>
          <t>Posizione più alta della cabina — vale per gli ascensori a frizione; le riduzioni di 5.2.5.6.1.2 (rallentamento controllato) e 5.2.5.6.1.3 (puleggia tenditrice con antirimbalzo) non sono usate: la verifica è più severa</t>
        </is>
      </c>
      <c r="D76" s="10" t="inlineStr">
        <is>
          <t>contrappeso sugli ammortizzatori completamente compressi, più il salto 0,035·v² m (v velocità nominale)</t>
        </is>
      </c>
      <c r="E76" s="10" t="inlineStr">
        <is>
          <t>UNI EN 81-20:2020, 5.2.5.6.1.1 (Prospetto 2)</t>
        </is>
      </c>
      <c r="F76" s="10" t="inlineStr">
        <is>
          <t>UNI EN 81-20:2020, testo della norma fornito dal cliente, letto il 2026-10-06, p. 36</t>
        </is>
      </c>
      <c r="G76" s="10" t="inlineStr">
        <is>
          <t>confermato</t>
        </is>
      </c>
      <c r="H76" s="10" t="inlineStr">
        <is>
          <t>spazio di rifugio in testata; distanze libere dal soffitto</t>
        </is>
      </c>
      <c r="I76" s="11" t="n"/>
      <c r="J76" s="11" t="n"/>
      <c r="K76" s="11" t="n"/>
      <c r="L76" s="11" t="n"/>
      <c r="M76" s="11" t="n"/>
      <c r="N76" s="11" t="n"/>
    </row>
    <row r="77" ht="147" customHeight="1">
      <c r="A77" s="10" t="n">
        <v>75</v>
      </c>
      <c r="B77" s="10" t="inlineStr">
        <is>
          <t>Vano: sezione, spazi di rifugio e ammortizzatori</t>
        </is>
      </c>
      <c r="C77" s="10" t="inlineStr">
        <is>
          <t>Distanze libere dal soffitto con la cabina nella posizione più alta — I valori 500, 100 e 300 mm sono confermati. Da concordare con l'organismo: il software dà alla traversa dell'arcata i 100 mm di b) (il testo nomina traversa o architrave e parti di porte verticali; se non vale per l'arcata servono i 500 mm di a)); non verifica i 500 mm in obliquo oltre i 400 mm dal corrimano (c) 2)).</t>
        </is>
      </c>
      <c r="D77" s="10" t="inlineStr">
        <is>
          <t>≥ 500 mm sopra le apparecchiature sul tetto di cabina (operatore); ≥ 100 mm sopra pattini, attacchi delle funi e traversa dell'arcata; ≥ 300 mm sopra il corrimano della balaustra</t>
        </is>
      </c>
      <c r="E77" s="10" t="inlineStr">
        <is>
          <t>UNI EN 81-20:2020, 5.2.5.7.2 a)–c)</t>
        </is>
      </c>
      <c r="F77" s="10" t="inlineStr">
        <is>
          <t>UNI EN 81-20:2020, testo della norma fornito dal cliente, letto il 2026-10-06, p. 38</t>
        </is>
      </c>
      <c r="G77" s="10" t="inlineStr">
        <is>
          <t>da verificare</t>
        </is>
      </c>
      <c r="H77" s="10" t="inlineStr">
        <is>
          <t>distanze libere dal soffitto</t>
        </is>
      </c>
      <c r="I77" s="11" t="n"/>
      <c r="J77" s="11" t="n"/>
      <c r="K77" s="11" t="n"/>
      <c r="L77" s="11" t="n"/>
      <c r="M77" s="11" t="n"/>
      <c r="N77" s="11" t="n"/>
    </row>
    <row r="78" ht="108" customHeight="1">
      <c r="A78" s="10" t="n">
        <v>76</v>
      </c>
      <c r="B78" s="10" t="inlineStr">
        <is>
          <t>Vano: sezione, spazi di rifugio e ammortizzatori</t>
        </is>
      </c>
      <c r="C78" s="10" t="inlineStr">
        <is>
          <t>Parte più alta della cabina sotto ciò che pende sopra — fino alla versione 1.17.0 del motore del progetto la puleggia di cabina era verificata a 100 mm; i 100 mm della traversa sono la stessa lettura di spazi.testata.parti</t>
        </is>
      </c>
      <c r="D78" s="10" t="inlineStr">
        <is>
          <t>con la cabina nella posizione più alta: a 2:1 la puleggia di cabina (Dp + 30 mm sopra la traversa) è un'apparecchiatura sul tetto, distanza libera ≥ 500 mm dal soffitto o dalle pulegge appese; a 1:1 con la macchina in basso la traversa sotto le pulegge appese al solaio (asse a Dp/2 + 120 mm sotto il soffitto), distanza libera ≥ 100 mm, quella della traversa</t>
        </is>
      </c>
      <c r="E78" s="10" t="inlineStr">
        <is>
          <t>UNI EN 81-20:2020, 5.2.5.7.2 a) e b)</t>
        </is>
      </c>
      <c r="F78" s="10" t="inlineStr">
        <is>
          <t>UNI EN 81-20:2020, testo della norma fornito dal cliente, letto il 2026-10-06, p. 38</t>
        </is>
      </c>
      <c r="G78" s="10" t="inlineStr">
        <is>
          <t>confermato</t>
        </is>
      </c>
      <c r="H78" s="10" t="inlineStr">
        <is>
          <t>parte più alta della cabina sotto ciò che pende sopra</t>
        </is>
      </c>
      <c r="I78" s="11" t="n"/>
      <c r="J78" s="11" t="n"/>
      <c r="K78" s="11" t="n"/>
      <c r="L78" s="11" t="n"/>
      <c r="M78" s="11" t="n"/>
      <c r="N78" s="11" t="n"/>
    </row>
    <row r="79" ht="134" customHeight="1">
      <c r="A79" s="10" t="n">
        <v>77</v>
      </c>
      <c r="B79" s="10" t="inlineStr">
        <is>
          <t>Vano: sezione, spazi di rifugio e ammortizzatori</t>
        </is>
      </c>
      <c r="C79" s="10" t="inlineStr">
        <is>
          <t>Ammortizzatori e spazio di rifugio in fossa, in pianta</t>
        </is>
      </c>
      <c r="D79"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79" s="10" t="inlineStr">
        <is>
          <t>UNI EN 81-20:2020, 5.2.5.8.1</t>
        </is>
      </c>
      <c r="F79" s="10" t="inlineStr">
        <is>
          <t>scelta del software sul modello della fossa (posizioni tipiche, da confermare con i dati del fornitore degli ammortizzatori)</t>
        </is>
      </c>
      <c r="G79" s="10" t="inlineStr">
        <is>
          <t>scelta del software</t>
        </is>
      </c>
      <c r="H79" s="10" t="inlineStr">
        <is>
          <t>ammortizzatori fissati a mano: sotto cabina e contrappeso, fuori dal rifugio</t>
        </is>
      </c>
      <c r="I79" s="11" t="n"/>
      <c r="J79" s="11" t="n"/>
      <c r="K79" s="11" t="n"/>
      <c r="L79" s="11" t="n"/>
      <c r="M79" s="11" t="n"/>
      <c r="N79" s="11" t="n"/>
    </row>
    <row r="80" ht="82" customHeight="1">
      <c r="A80" s="10" t="n">
        <v>78</v>
      </c>
      <c r="B80" s="10" t="inlineStr">
        <is>
          <t>Vano: sezione, spazi di rifugio e ammortizzatori</t>
        </is>
      </c>
      <c r="C80" s="10" t="inlineStr">
        <is>
          <t>Distanze in fossa con la cabina sugli ammortizzatori compressi</t>
        </is>
      </c>
      <c r="D80"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80" s="10" t="inlineStr">
        <is>
          <t>UNI EN 81-20:2020, 5.2.5.8.2 a) e 5.4.5.1–5.4.5.2</t>
        </is>
      </c>
      <c r="F80" s="10" t="inlineStr">
        <is>
          <t>UNI EN 81-20:2020, testo della norma fornito dal cliente, letto il 2026-10-06, pp. 40–41, 69</t>
        </is>
      </c>
      <c r="G80" s="10" t="inlineStr">
        <is>
          <t>confermato</t>
        </is>
      </c>
      <c r="H80" s="10" t="inlineStr">
        <is>
          <t>spazio di rifugio in fossa; grembiule sugli ammortizzatori compressi</t>
        </is>
      </c>
      <c r="I80" s="11" t="n"/>
      <c r="J80" s="11" t="n"/>
      <c r="K80" s="11" t="n"/>
      <c r="L80" s="11" t="n"/>
      <c r="M80" s="11" t="n"/>
      <c r="N80" s="11" t="n"/>
    </row>
    <row r="81" ht="108" customHeight="1">
      <c r="A81" s="10" t="n">
        <v>79</v>
      </c>
      <c r="B81" s="10" t="inlineStr">
        <is>
          <t>Vano: sezione, spazi di rifugio e ammortizzatori</t>
        </is>
      </c>
      <c r="C81" s="10" t="inlineStr">
        <is>
          <t>Balaustra sul tetto di cabina — fino alla versione 2.12.0 del motore del vano il software misurava i 500 mm dal bordo del tetto; la norma vuole la balaustra entro 150 mm dal bordo: se è più interna, la distanza cresce e può servire l'altezza maggiore</t>
        </is>
      </c>
      <c r="D81"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81" s="10" t="inlineStr">
        <is>
          <t>UNI EN 81-20:2020, 5.4.7.2 b) e 5.4.7.4 b)–c)</t>
        </is>
      </c>
      <c r="F81" s="10" t="inlineStr">
        <is>
          <t>UNI EN 81-20:2020, testo della norma fornito dal cliente, letto il 2026-10-06, pp. 70–72</t>
        </is>
      </c>
      <c r="G81" s="10" t="inlineStr">
        <is>
          <t>confermato</t>
        </is>
      </c>
      <c r="H81" s="10" t="inlineStr">
        <is>
          <t>balaustra sul tetto di cabina</t>
        </is>
      </c>
      <c r="I81" s="11" t="n"/>
      <c r="J81" s="11" t="n"/>
      <c r="K81" s="11" t="n"/>
      <c r="L81" s="11" t="n"/>
      <c r="M81" s="11" t="n"/>
      <c r="N81" s="11" t="n"/>
    </row>
    <row r="82" ht="56" customHeight="1">
      <c r="A82" s="10" t="n">
        <v>80</v>
      </c>
      <c r="B82" s="10" t="inlineStr">
        <is>
          <t>Vano: sezione, spazi di rifugio e ammortizzatori</t>
        </is>
      </c>
      <c r="C82" s="10" t="inlineStr">
        <is>
          <t>Superficie dove una persona può stare sul tetto di cabina</t>
        </is>
      </c>
      <c r="D82" s="10" t="inlineStr">
        <is>
          <t>area continua ≥ 0,12 m² con il lato minore oltre 250 mm (disegnata 400 × 300 mm, modificabile sulla pianta in testata); sopra di essa deve esserci l'altezza dello spazio di rifugio</t>
        </is>
      </c>
      <c r="E82" s="10" t="inlineStr">
        <is>
          <t>UNI EN 81-20:2020, 5.2.5.7.3</t>
        </is>
      </c>
      <c r="F82" s="10" t="inlineStr">
        <is>
          <t>UNI EN 81-20:2020, testo della norma fornito dal cliente, letto il 2026-10-06, p. 39</t>
        </is>
      </c>
      <c r="G82" s="10" t="inlineStr">
        <is>
          <t>confermato</t>
        </is>
      </c>
      <c r="H82" s="10" t="inlineStr">
        <is>
          <t>superficie per stare sul tetto di cabina</t>
        </is>
      </c>
      <c r="I82" s="11" t="n"/>
      <c r="J82" s="11" t="n"/>
      <c r="K82" s="11" t="n"/>
      <c r="L82" s="11" t="n"/>
      <c r="M82" s="11" t="n"/>
      <c r="N82" s="11" t="n"/>
    </row>
    <row r="83" ht="212" customHeight="1">
      <c r="A83" s="10" t="n">
        <v>81</v>
      </c>
      <c r="B83" s="10" t="inlineStr">
        <is>
          <t>Vano: sezione, spazi di rifugio e ammortizzatori</t>
        </is>
      </c>
      <c r="C83"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83" s="10" t="inlineStr">
        <is>
          <t>luce netta in altezza delle porte di piano e di cabina ≥ 2000 mm; altezza libera interna della cabina ≥ 2000 mm</t>
        </is>
      </c>
      <c r="E83" s="10" t="inlineStr">
        <is>
          <t>UNI EN 81-20:2020, 5.3.2.1 e 5.4.1</t>
        </is>
      </c>
      <c r="F83" s="10" t="inlineStr">
        <is>
          <t>UNI EN 81-20:2020, testo della norma fornito dal cliente, letto il 2026-10-06, pp. 49, 63; 2 m anche in DM 587/1987 (UNI EN 81-1), 7.3.1, 8.1.1 e 8.1.2</t>
        </is>
      </c>
      <c r="G83" s="10" t="inlineStr">
        <is>
          <t>confermato</t>
        </is>
      </c>
      <c r="H83" s="10" t="inlineStr">
        <is>
          <t>altezza libera degli accessi; altezza libera interna della cabina</t>
        </is>
      </c>
      <c r="I83" s="11" t="n"/>
      <c r="J83" s="11" t="n"/>
      <c r="K83" s="11" t="n"/>
      <c r="L83" s="11" t="n"/>
      <c r="M83" s="11" t="n"/>
      <c r="N83" s="11" t="n"/>
    </row>
    <row r="84" ht="108" customHeight="1">
      <c r="A84" s="10" t="n">
        <v>82</v>
      </c>
      <c r="B84" s="10" t="inlineStr">
        <is>
          <t>Vano: sezione, spazi di rifugio e ammortizzatori</t>
        </is>
      </c>
      <c r="C84" s="10" t="inlineStr">
        <is>
          <t>Corsa guidata del contrappeso in testata</t>
        </is>
      </c>
      <c r="D84"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t>
        </is>
      </c>
      <c r="E84" s="10" t="inlineStr">
        <is>
          <t>UNI EN 81-20:2020, 5.2.5.6.2 e 5.2.5.6.1.1 (Prospetto 2: cabina sugli ammortizzatori compressi più 0,035·v²); stesso valore in UNI EN 81-1 (1999, 2008), 5.7.1.2</t>
        </is>
      </c>
      <c r="F84" s="10" t="inlineStr">
        <is>
          <t>UNI EN 81-20:2020, testo della norma fornito dal cliente, letto il 2026-10-06, p. 36; UNI EN 81-1:2008, testo della norma fornito dal cliente, letto il 2026-10-06, p. 27</t>
        </is>
      </c>
      <c r="G84" s="10" t="inlineStr">
        <is>
          <t>confermato</t>
        </is>
      </c>
      <c r="H84" s="10" t="inlineStr">
        <is>
          <t>corsa guidata del contrappeso in testata</t>
        </is>
      </c>
      <c r="I84" s="11" t="n"/>
      <c r="J84" s="11" t="n"/>
      <c r="K84" s="11" t="n"/>
      <c r="L84" s="11" t="n"/>
      <c r="M84" s="11" t="n"/>
      <c r="N84" s="11" t="n"/>
    </row>
    <row r="85" ht="95" customHeight="1">
      <c r="A85" s="10" t="n">
        <v>83</v>
      </c>
      <c r="B85" s="10" t="inlineStr">
        <is>
          <t>Vano: sezione, spazi di rifugio e ammortizzatori</t>
        </is>
      </c>
      <c r="C85" s="10" t="inlineStr">
        <is>
          <t>Schermo del contrappeso in fossa — non verificati: il bordo inferiore dello schermo a non più di 300 mm dal fondo della fossa (5.2.5.5.1 c)) e la protezione dello spazio oltre 300 mm tra guide del contrappeso e parete (e))</t>
        </is>
      </c>
      <c r="D85" s="10" t="inlineStr">
        <is>
          <t>dal punto più basso del contrappeso sugli ammortizzatori compressi fino ad almeno 2000 mm sopra il pavimento della fossa (altezza dello schermo modificabile sul progetto, mai sotto questo valore)</t>
        </is>
      </c>
      <c r="E85" s="10" t="inlineStr">
        <is>
          <t>UNI EN 81-20:2020, 5.2.5.5.1 b)</t>
        </is>
      </c>
      <c r="F85" s="10" t="inlineStr">
        <is>
          <t>UNI EN 81-20:2020, testo della norma fornito dal cliente, letto il 2026-10-06, p. 35</t>
        </is>
      </c>
      <c r="G85" s="10" t="inlineStr">
        <is>
          <t>confermato</t>
        </is>
      </c>
      <c r="H85" s="10" t="inlineStr">
        <is>
          <t>protezione del contrappeso in fossa</t>
        </is>
      </c>
      <c r="I85" s="11" t="n"/>
      <c r="J85" s="11" t="n"/>
      <c r="K85" s="11" t="n"/>
      <c r="L85" s="11" t="n"/>
      <c r="M85" s="11" t="n"/>
      <c r="N85" s="11" t="n"/>
    </row>
    <row r="86" ht="95" customHeight="1">
      <c r="A86" s="10" t="n">
        <v>84</v>
      </c>
      <c r="B86" s="10" t="inlineStr">
        <is>
          <t>Vano: sezione, spazi di rifugio e ammortizzatori</t>
        </is>
      </c>
      <c r="C86" s="10" t="inlineStr">
        <is>
          <t>Ammortizzatori ad accumulo di energia lineari (molle)</t>
        </is>
      </c>
      <c r="D86" s="10" t="inlineStr">
        <is>
          <t>ammessi fino a 1 m/s; corsa ≥ 0,135·v² m e comunque ≥ 65 mm; extracorsa della cabina e del contrappeso ≥ 0 (nessun minimo nella norma)</t>
        </is>
      </c>
      <c r="E86" s="10" t="inlineStr">
        <is>
          <t>UNI EN 81-20:2020, 5.8.1.5 (fino a 1 m/s) e 5.8.2.1.1.1 (corsa); nessuna extracorsa minima in metri: l'interruttore di extracorsa interviene prima che la cabina o il contrappeso tocchino gli ammortizzatori (5.12.2.1)</t>
        </is>
      </c>
      <c r="F86" s="10" t="inlineStr">
        <is>
          <t>UNI EN 81-20:2020, testo della norma fornito dal cliente, letto il 2026-10-06, pp. 98, 131</t>
        </is>
      </c>
      <c r="G86" s="10" t="inlineStr">
        <is>
          <t>confermato</t>
        </is>
      </c>
      <c r="H86" s="10" t="inlineStr">
        <is>
          <t>tipo di ammortizzatori per la velocità; corsa degli ammortizzatori di cabina; corsa dell'ammortizzatore del contrappeso; extracorsa di cabina e contrappeso</t>
        </is>
      </c>
      <c r="I86" s="11" t="n"/>
      <c r="J86" s="11" t="n"/>
      <c r="K86" s="11" t="n"/>
      <c r="L86" s="11" t="n"/>
      <c r="M86" s="11" t="n"/>
      <c r="N86" s="11" t="n"/>
    </row>
    <row r="87" ht="134" customHeight="1">
      <c r="A87" s="10" t="n">
        <v>85</v>
      </c>
      <c r="B87" s="10" t="inlineStr">
        <is>
          <t>Vano: sezione, spazi di rifugio e ammortizzatori</t>
        </is>
      </c>
      <c r="C87" s="10" t="inlineStr">
        <is>
          <t>Ammortizzatori ad accumulo di energia non lineari (tamponi in poliuretano) — il tampone tipico alto 80 mm è un dato di catalogo, non della norma: va sostituito con quello montato</t>
        </is>
      </c>
      <c r="D87"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87" s="10" t="inlineStr">
        <is>
          <t>UNI EN 81-20:2020, 5.8.1.5, 5.8.1.7, 5.8.2.1.2.1 e 5.8.2.1.2.2 (compresso al 90 %); UNI EN 81-50:2020, 5.5.4 (esame di tipo)</t>
        </is>
      </c>
      <c r="F87" s="10" t="inlineStr">
        <is>
          <t>UNI EN 81-20:2020, testo della norma fornito dal cliente, letto il 2026-10-06, pp. 98–99; UNI EN 81-50:2020, testo della norma fornito dal cliente, letto il 2026-10-06, p. 24; il tampone tipico dai cataloghi P+S Diepocell (wwlift.de) e ACLA AUTAN XL (acla.de), estratti di ricerca del 1° ottobre 2026</t>
        </is>
      </c>
      <c r="G87" s="10" t="inlineStr">
        <is>
          <t>confermato</t>
        </is>
      </c>
      <c r="H87" s="10" t="inlineStr">
        <is>
          <t>tipo di ammortizzatori per la velocità; corsa degli ammortizzatori di cabina; corsa dell'ammortizzatore del contrappeso</t>
        </is>
      </c>
      <c r="I87" s="11" t="n"/>
      <c r="J87" s="11" t="n"/>
      <c r="K87" s="11" t="n"/>
      <c r="L87" s="11" t="n"/>
      <c r="M87" s="11" t="n"/>
      <c r="N87" s="11" t="n"/>
    </row>
    <row r="88" ht="95" customHeight="1">
      <c r="A88" s="10" t="n">
        <v>86</v>
      </c>
      <c r="B88" s="10" t="inlineStr">
        <is>
          <t>Vano: sezione, spazi di rifugio e ammortizzatori</t>
        </is>
      </c>
      <c r="C88" s="10" t="inlineStr">
        <is>
          <t>Ammortizzatori a dissipazione di energia (idraulici) — gli ammortizzatori Oleo sono dati di catalogo, non della norma: vanno sostituiti con quelli montati</t>
        </is>
      </c>
      <c r="D88"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88" s="10" t="inlineStr">
        <is>
          <t>UNI EN 81-20:2020, 5.8.1.6 e 5.8.2.2.1 (corsa); la corsa ridotta di 5.8.2.2.2 non è usata</t>
        </is>
      </c>
      <c r="F88" s="10" t="inlineStr">
        <is>
          <t>UNI EN 81-20:2020, testo della norma fornito dal cliente, letto il 2026-10-06, p. 99; gli ammortizzatori tipici dal catalogo Oleo LSB e SEB (oleo.co.uk), estratti di ricerca del 1° ottobre 2026</t>
        </is>
      </c>
      <c r="G88" s="10" t="inlineStr">
        <is>
          <t>confermato</t>
        </is>
      </c>
      <c r="H88" s="10" t="inlineStr">
        <is>
          <t>tipo di ammortizzatori per la velocità; corsa degli ammortizzatori di cabina; corsa dell'ammortizzatore del contrappeso</t>
        </is>
      </c>
      <c r="I88" s="11" t="n"/>
      <c r="J88" s="11" t="n"/>
      <c r="K88" s="11" t="n"/>
      <c r="L88" s="11" t="n"/>
      <c r="M88" s="11" t="n"/>
      <c r="N88" s="11" t="n"/>
    </row>
    <row r="89" ht="121" customHeight="1">
      <c r="A89" s="10" t="n">
        <v>87</v>
      </c>
      <c r="B89" s="10" t="inlineStr">
        <is>
          <t>Locale del macchinario</t>
        </is>
      </c>
      <c r="C89" s="10" t="inlineStr">
        <is>
          <t>Locale del macchinario — non verificati: i percorsi larghi almeno 0,50 m e lo spazio di 0,30 m sopra le parti rotanti (5.2.6.3.2.2)</t>
        </is>
      </c>
      <c r="D89"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sul lato più libero, fino a muri e quadro); porta di accesso ≥ 600 × 2000 mm</t>
        </is>
      </c>
      <c r="E89" s="10" t="inlineStr">
        <is>
          <t>UNI EN 81-20:2020, 5.2.6.3.2.1 (2,10 m e superfici libere), 5.2.6.3.2.2 (1,80 m sui percorsi) e 5.2.3.2 a) (porta)</t>
        </is>
      </c>
      <c r="F89" s="10" t="inlineStr">
        <is>
          <t>UNI EN 81-20:2020, testo della norma fornito dal cliente, letto il 2026-10-06, pp. 29, 43; le superfici libere anche in UNI EN 81-1:1999, 6.3.2.1 (edizione 2008: 6.3.3.1)</t>
        </is>
      </c>
      <c r="G89" s="10" t="inlineStr">
        <is>
          <t>confermato</t>
        </is>
      </c>
      <c r="H89" s="10" t="inlineStr">
        <is>
          <t>altezza del locale macchina; superficie libera davanti al quadro; superficie libera accanto all'argano; porta del locale macchina</t>
        </is>
      </c>
      <c r="I89" s="11" t="n"/>
      <c r="J89" s="11" t="n"/>
      <c r="K89" s="11" t="n"/>
      <c r="L89" s="11" t="n"/>
      <c r="M89" s="11" t="n"/>
      <c r="N89" s="11" t="n"/>
    </row>
    <row r="90" ht="69" customHeight="1">
      <c r="A90" s="10" t="n">
        <v>88</v>
      </c>
      <c r="B90" s="10" t="inlineStr">
        <is>
          <t>Locale del macchinario</t>
        </is>
      </c>
      <c r="C90" s="10" t="inlineStr">
        <is>
          <t>Illuminazione del vano e del locale del macchinario</t>
        </is>
      </c>
      <c r="D90" s="10" t="inlineStr">
        <is>
          <t>vano: illuminazione fissa di almeno 50 lux a 1 m sopra il tetto della cabina e sopra il pavimento della fossa, 20 lux altrove; locale del macchinario: almeno 200 lux al pavimento nelle zone di lavoro</t>
        </is>
      </c>
      <c r="E90" s="10" t="inlineStr">
        <is>
          <t>UNI EN 81-20:2020, 5.2.1.4.1 a)–c) e 5.2.1.4.2</t>
        </is>
      </c>
      <c r="F90" s="10" t="inlineStr">
        <is>
          <t>UNI EN 81-20:2020, testo della norma fornito dal cliente, letto il 2026-10-06, p. 25</t>
        </is>
      </c>
      <c r="G90" s="10" t="inlineStr">
        <is>
          <t>confermato</t>
        </is>
      </c>
      <c r="H90" s="10" t="inlineStr">
        <is>
          <t>—</t>
        </is>
      </c>
      <c r="I90" s="11" t="n"/>
      <c r="J90" s="11" t="n"/>
      <c r="K90" s="11" t="n"/>
      <c r="L90" s="11" t="n"/>
      <c r="M90" s="11" t="n"/>
      <c r="N90" s="11" t="n"/>
    </row>
    <row r="91" ht="43" customHeight="1">
      <c r="A91" s="10" t="n">
        <v>89</v>
      </c>
      <c r="B91" s="10" t="inlineStr">
        <is>
          <t>Locale del macchinario</t>
        </is>
      </c>
      <c r="C91" s="10" t="inlineStr">
        <is>
          <t>Temperatura dei locali del macchinario e degli armadi</t>
        </is>
      </c>
      <c r="D91" s="10" t="inlineStr">
        <is>
          <t>temperatura ambiente mantenuta tra +5 °C e +40 °C: ipotesi della norma, da garantire nell'edificio</t>
        </is>
      </c>
      <c r="E91" s="10" t="inlineStr">
        <is>
          <t>UNI EN 81-20:2020, 0.4.16 (ipotesi della norma, vale anche per il vano)</t>
        </is>
      </c>
      <c r="F91" s="10" t="inlineStr">
        <is>
          <t>UNI EN 81-20:2020, testo della norma fornito dal cliente, letto il 2026-10-06, p. 14</t>
        </is>
      </c>
      <c r="G91" s="10" t="inlineStr">
        <is>
          <t>confermato</t>
        </is>
      </c>
      <c r="H91" s="10" t="inlineStr">
        <is>
          <t>—</t>
        </is>
      </c>
      <c r="I91" s="11" t="n"/>
      <c r="J91" s="11" t="n"/>
      <c r="K91" s="11" t="n"/>
      <c r="L91" s="11" t="n"/>
      <c r="M91" s="11" t="n"/>
      <c r="N91" s="11" t="n"/>
    </row>
    <row r="92" ht="225" customHeight="1">
      <c r="A92" s="10" t="n">
        <v>90</v>
      </c>
      <c r="B92" s="10" t="inlineStr">
        <is>
          <t>Locale del macchinario</t>
        </is>
      </c>
      <c r="C92" s="10" t="inlineStr">
        <is>
          <t>Basamento dell'argano</t>
        </is>
      </c>
      <c r="D92" s="10" t="inlineStr">
        <is>
          <t>su spessori di livellamento sotto gli appoggi (l'asse della puleggia dove lo mette il software), su telaio di due profilati sul pavimento (tipico UPN 200, alto quanto il profilato come i telai bassi universali), su due putrelle da muro a muro che possono stare sollevate dal pavimento (tipiche IPE 200, appoggio nei muri 150 mm), su piastre d'acciaio sotto gli appoggi (tipiche 20 mm) o su plinto in calcestruzzo (tipico 250 mm), o — con un rinvio — sul telaio con rinvio (locale.rinvio); tamponi antivibranti di 30 mm sotto gli appoggi, salvo sugli spessori e sul telaio con rinvio (antivibranti sotto le gambe); telaio e plinto 100 mm oltre il telaio dell'argano a ogni estremità; l'altezza del basamento porta l'asse della puleggia, che il calcolo (tratto di fune oltre la corsa) e il 3D seguono</t>
        </is>
      </c>
      <c r="E92" s="10" t="inlineStr">
        <is>
          <t>UNI EN 81-20:2020, 5.2.1.8 (carichi sull'edificio); scelta del costruttore</t>
        </is>
      </c>
      <c r="F92" s="10" t="inlineStr">
        <is>
          <t>telaio basso universale per argano alto 200 mm (lift-store.it); tamponi antivibranti 25–30 mm (catalogo Donati); piastre di 20 mm e plinto di 250–300 mm nella pratica di installazione (fonti estere, da confermare); estratti di ricerca del 1° ottobre 2026</t>
        </is>
      </c>
      <c r="G92" s="10" t="inlineStr">
        <is>
          <t>scelta del software</t>
        </is>
      </c>
      <c r="H92" s="10" t="inlineStr">
        <is>
          <t>—</t>
        </is>
      </c>
      <c r="I92" s="11" t="n"/>
      <c r="J92" s="11" t="n"/>
      <c r="K92" s="11" t="n"/>
      <c r="L92" s="11" t="n"/>
      <c r="M92" s="11" t="n"/>
      <c r="N92" s="11" t="n"/>
    </row>
    <row r="93" ht="147" customHeight="1">
      <c r="A93" s="10" t="n">
        <v>91</v>
      </c>
      <c r="B93" s="10" t="inlineStr">
        <is>
          <t>Locale del macchinario</t>
        </is>
      </c>
      <c r="C93" s="10" t="inlineStr">
        <is>
          <t>Telaio sotto l'argano di un costruttore</t>
        </is>
      </c>
      <c r="D93" s="10" t="inlineStr">
        <is>
          <t>l'argano di catalogo poggia con i suoi piedi su un telaio di due travi sotto le file di fori, con antivibranti alle estremità e 40 mm oltre l'argano a ogni estremità; il telaio è alto quanto serve per tenere l'asse della puleggia dove lo tiene l'argano generico del software, almeno 80 mm e con il bordo della puleggia 30 mm sopra il suo piano d'appoggio (gli argani compatti hanno la puleggia a sbalzo, sotto il piano dei piedi); se l'argano non lo permette l'asse sale e il calcolo segue</t>
        </is>
      </c>
      <c r="E93" s="10" t="inlineStr">
        <is>
          <t>—</t>
        </is>
      </c>
      <c r="F93" s="10" t="inlineStr">
        <is>
          <t>quote dei piedi, dei fori e dell'asse della puleggia dalle schede tecniche del costruttore; altezza del telaio scelta dal software, da adattare al telaio fornito</t>
        </is>
      </c>
      <c r="G93" s="10" t="inlineStr">
        <is>
          <t>scelta del software</t>
        </is>
      </c>
      <c r="H93" s="10" t="inlineStr">
        <is>
          <t>—</t>
        </is>
      </c>
      <c r="I93" s="11" t="n"/>
      <c r="J93" s="11" t="n"/>
      <c r="K93" s="11" t="n"/>
      <c r="L93" s="11" t="n"/>
      <c r="M93" s="11" t="n"/>
      <c r="N93" s="11" t="n"/>
    </row>
    <row r="94" ht="303" customHeight="1">
      <c r="A94" s="10" t="n">
        <v>92</v>
      </c>
      <c r="B94" s="10" t="inlineStr">
        <is>
          <t>Locale del macchinario</t>
        </is>
      </c>
      <c r="C94" s="10" t="inlineStr">
        <is>
          <t>Puleggia di rinvio nel locale del macchinario</t>
        </is>
      </c>
      <c r="D94"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100 mm oltre l'argano e il rinvio a ogni estremità, largo almeno 655 mm; con un argano SICOR che ha il suo telaio a catalogo (SV110 e SH110B XTE0517/XTE0516, SH130 e SH130G XTE3022/XTE3023, SH140 XTE6026/XTE6027, SH160 XTE5708, SH190 XTE3988) le quote del costruttore: asse del rinvio, asse della puleggia (A), piano del telaio (A − B), calata del contrappeso entro L max dall'asse della puleggia (verifica di avvertimento: oltre, telaio su misura); h del calcolo = asse della puleggia − asse del rinvio, dx dalla pianta; con un altro basamento scelto il rinvio sta su un supporto proprio sul pavimento, alla stessa altezza; una h inserita a mano che porta il rinvio sotto il pavimento è segnalata</t>
        </is>
      </c>
      <c r="E94" s="10" t="inlineStr">
        <is>
          <t>regola del committente (Panev): il rinvio sta nel telaio del locale macchine, mai nel vano; UNI EN 81-20:2020, 5.2.1.8 (carichi sull'edificio)</t>
        </is>
      </c>
      <c r="F94"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94" s="10" t="inlineStr">
        <is>
          <t>scelta del software</t>
        </is>
      </c>
      <c r="H94" s="10" t="inlineStr">
        <is>
          <t>calata del contrappeso nel telaio con rinvio del costruttore</t>
        </is>
      </c>
      <c r="I94" s="11" t="n"/>
      <c r="J94" s="11" t="n"/>
      <c r="K94" s="11" t="n"/>
      <c r="L94" s="11" t="n"/>
      <c r="M94" s="11" t="n"/>
      <c r="N94" s="11" t="n"/>
    </row>
    <row r="95" ht="134" customHeight="1">
      <c r="A95" s="10" t="n">
        <v>93</v>
      </c>
      <c r="B95" s="10" t="inlineStr">
        <is>
          <t>Locale del macchinario</t>
        </is>
      </c>
      <c r="C95" s="10" t="inlineStr">
        <is>
          <t>L'argano dentro il locale del macchinario</t>
        </is>
      </c>
      <c r="D95" s="10" t="inlineStr">
        <is>
          <t>l'argano sul suo basamento — con il telaio del rinvio o con il supporto del rinvio — sta dentro il locale in pianta e sotto il soffitto: la distanza minima dai muri e dal soffitto non è negativa; ingombri dalle quote del costruttore per gli argani disegnati com'è, dall'argano generico del software (scalato alla puleggia) per gli altri; la puleggia di rinvio sul suo supporto sotto l'argano libera il basamento dell'argano sopra di essa (solo le putrelle sollevate la scavalcano)</t>
        </is>
      </c>
      <c r="E95" s="10" t="inlineStr">
        <is>
          <t>—</t>
        </is>
      </c>
      <c r="F95" s="10" t="inlineStr">
        <is>
          <t>geometria del progetto: la pianta e l'altezza del locale inserite, gli ingombri dell'argano e del basamento</t>
        </is>
      </c>
      <c r="G95" s="10" t="inlineStr">
        <is>
          <t>derivazione</t>
        </is>
      </c>
      <c r="H95" s="10" t="inlineStr">
        <is>
          <t>argano dentro il locale (muri e soffitto); puleggia di rinvio sul suo supporto sotto l'argano</t>
        </is>
      </c>
      <c r="I95" s="11" t="n"/>
      <c r="J95" s="11" t="n"/>
      <c r="K95" s="11" t="n"/>
      <c r="L95" s="11" t="n"/>
      <c r="M95" s="11" t="n"/>
      <c r="N95" s="11" t="n"/>
    </row>
    <row r="96" ht="134" customHeight="1">
      <c r="A96" s="10" t="n">
        <v>94</v>
      </c>
      <c r="B96" s="10" t="inlineStr">
        <is>
          <t>Locale del macchinario</t>
        </is>
      </c>
      <c r="C96" s="10" t="inlineStr">
        <is>
          <t>Verifica delle putrelle sotto l'argano — verifica semplice a carico concentrato in mezzeria su trave appoggiata; gli appoggi nei muri e la muratura vanno verificati dal progettista</t>
        </is>
      </c>
      <c r="D96" s="10" t="inlineStr">
        <is>
          <t>ognuna delle due putrelle porta metà del carico dell'argano (il suo peso più il carico statico sull'asse per il coefficiente dinamico) come forza concentrata in mezzeria, più il proprio peso, sulla luce tra i centri degli appoggi nei muri (luce libera più 150 mm): σ = M/Wel,y ≤ fyk/γM0 con acciaio S275 (fyk 275 MPa) e γM0 = 1,05; freccia elastica f = F·L³/(48·E·I) + 5·q·L⁴/(384·E·I) ≤ 1/1500 della luce libera con E = 210000 MPa; proprietà dei profili EN 10365</t>
        </is>
      </c>
      <c r="E96"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96" s="10" t="inlineStr">
        <is>
          <t>NTC 2018 (DM 17/01/2018); catalogo dei profilati ArcelorMittal (EN 10365) confrontato con due tabelle indipendenti; DPR 1497/1963 letto per intero (research/argano-geared, cap. 15, §1.1)</t>
        </is>
      </c>
      <c r="G96" s="10" t="inlineStr">
        <is>
          <t>da verificare</t>
        </is>
      </c>
      <c r="H96" s="10" t="inlineStr">
        <is>
          <t>tensione nelle putrelle sotto l'argano; freccia delle putrelle sotto l'argano</t>
        </is>
      </c>
      <c r="I96" s="11" t="n"/>
      <c r="J96" s="11" t="n"/>
      <c r="K96" s="11" t="n"/>
      <c r="L96" s="11" t="n"/>
      <c r="M96" s="11" t="n"/>
      <c r="N96" s="11" t="n"/>
    </row>
    <row r="97" ht="147" customHeight="1">
      <c r="A97" s="10" t="n">
        <v>95</v>
      </c>
      <c r="B97" s="10" t="inlineStr">
        <is>
          <t>Locale del macchinario</t>
        </is>
      </c>
      <c r="C97" s="10" t="inlineStr">
        <is>
          <t>Sostituzione dell'argano: calate esistenti e calate della nuova macchina</t>
        </is>
      </c>
      <c r="D97"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97" s="10" t="inlineStr">
        <is>
          <t>—</t>
        </is>
      </c>
      <c r="F97" s="10" t="inlineStr">
        <is>
          <t>tolleranza scelta dal software per il rilievo in sito (le funi a qualche metro dal basamento): da confermare con l'installatore</t>
        </is>
      </c>
      <c r="G97" s="10" t="inlineStr">
        <is>
          <t>scelta del software</t>
        </is>
      </c>
      <c r="H97" s="10" t="inlineStr">
        <is>
          <t>sostituzione: calate della nuova macchina sulle calate esistenti</t>
        </is>
      </c>
      <c r="I97" s="11" t="n"/>
      <c r="J97" s="11" t="n"/>
      <c r="K97" s="11" t="n"/>
      <c r="L97" s="11" t="n"/>
      <c r="M97" s="11" t="n"/>
      <c r="N97" s="11" t="n"/>
    </row>
    <row r="98" ht="108" customHeight="1">
      <c r="A98" s="10" t="n">
        <v>96</v>
      </c>
      <c r="B98" s="10" t="inlineStr">
        <is>
          <t>Carichi sull'edificio e spinte sulle guide</t>
        </is>
      </c>
      <c r="C98" s="10" t="inlineStr">
        <is>
          <t>Carichi sul pavimento della fossa — non calcolato: con spazi accessibili sotto il vano (5.2.5.4) il contrappeso ha il paracadute, sotto le sue guide va anche k1·g·M_cw/n e il fondo della fossa regge almeno 5000 N/m²</t>
        </is>
      </c>
      <c r="D98"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98" s="10" t="inlineStr">
        <is>
          <t>UNI EN 81-20:2020, 5.2.1.8.4–5.2.1.8.6, 5.7.2.3.5 e Prospetto 14 (k1)</t>
        </is>
      </c>
      <c r="F98" s="10" t="inlineStr">
        <is>
          <t>UNI EN 81-20:2020, testo della norma fornito dal cliente, letto il 2026-10-06, pp. 27, 94–96</t>
        </is>
      </c>
      <c r="G98" s="10" t="inlineStr">
        <is>
          <t>confermato</t>
        </is>
      </c>
      <c r="H98" s="10" t="inlineStr">
        <is>
          <t>—</t>
        </is>
      </c>
      <c r="I98" s="11" t="n"/>
      <c r="J98" s="11" t="n"/>
      <c r="K98" s="11" t="n"/>
      <c r="L98" s="11" t="n"/>
      <c r="M98" s="11" t="n"/>
      <c r="N98" s="11" t="n"/>
    </row>
    <row r="99" ht="108" customHeight="1">
      <c r="A99" s="10" t="n">
        <v>97</v>
      </c>
      <c r="B99" s="10" t="inlineStr">
        <is>
          <t>Carichi sull'edificio e spinte sulle guide</t>
        </is>
      </c>
      <c r="C99" s="10" t="inlineStr">
        <is>
          <t>Spinte sulle guide di cabina — h, la distanza tra i pattini, è una stima del software (l'ingombro verticale dell'arcata)</t>
        </is>
      </c>
      <c r="D99"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99" s="10" t="inlineStr">
        <is>
          <t>UNI EN 81-50:2020, appendice C (informativa), C.2.1.1 e C.2.2.1; UNI EN 81-20:2020, 5.7.2.3.4 (portata su 3/4 della superficie: 1/8) e Prospetto 14 (k1; k2 = 1,2)</t>
        </is>
      </c>
      <c r="F99" s="10" t="inlineStr">
        <is>
          <t>UNI EN 81-50:2020, testo della norma fornito dal cliente, letto il 2026-10-06, pp. 77–79; UNI EN 81-20:2020, testo della norma fornito dal cliente, letto il 2026-10-06, pp. 94–96</t>
        </is>
      </c>
      <c r="G99" s="10" t="inlineStr">
        <is>
          <t>confermato</t>
        </is>
      </c>
      <c r="H99" s="10" t="inlineStr">
        <is>
          <t>—</t>
        </is>
      </c>
      <c r="I99" s="11" t="n"/>
      <c r="J99" s="11" t="n"/>
      <c r="K99" s="11" t="n"/>
      <c r="L99" s="11" t="n"/>
      <c r="M99" s="11" t="n"/>
      <c r="N99" s="11" t="n"/>
    </row>
    <row r="100" ht="82" customHeight="1">
      <c r="A100" s="10" t="n">
        <v>98</v>
      </c>
      <c r="B100" s="10" t="inlineStr">
        <is>
          <t>Carichi sull'edificio e spinte sulle guide</t>
        </is>
      </c>
      <c r="C100" s="10" t="inlineStr">
        <is>
          <t>Carico della macchina sulla soletta</t>
        </is>
      </c>
      <c r="D100" s="10" t="inlineStr">
        <is>
          <t>carico statico sull'asse (cabina, portata, contrappeso, funi, cavi; in taglia 2:1 la metà di cabina, portata e contrappeso) × 1,5 come coefficiente dinamico, modificabile nei dati dell'impianto; sulla soletta anche la massa di macchina e telaio</t>
        </is>
      </c>
      <c r="E100" s="10" t="inlineStr">
        <is>
          <t>—</t>
        </is>
      </c>
      <c r="F100" s="10" t="inlineStr">
        <is>
          <t>prassi di progetto: la EN 81 non fissa un coefficiente dinamico per gli appoggi della macchina (in altre prassi 2,0)</t>
        </is>
      </c>
      <c r="G100" s="10" t="inlineStr">
        <is>
          <t>prassi di cantiere</t>
        </is>
      </c>
      <c r="H100" s="10" t="inlineStr">
        <is>
          <t>—</t>
        </is>
      </c>
      <c r="I100" s="11" t="n"/>
      <c r="J100" s="11" t="n"/>
      <c r="K100" s="11" t="n"/>
      <c r="L100" s="11" t="n"/>
      <c r="M100" s="11" t="n"/>
      <c r="N100" s="11" t="n"/>
    </row>
    <row r="101" ht="43" customHeight="1">
      <c r="A101" s="10" t="n">
        <v>99</v>
      </c>
      <c r="B101" s="10" t="inlineStr">
        <is>
          <t>Carichi sull'edificio e spinte sulle guide</t>
        </is>
      </c>
      <c r="C101" s="10" t="inlineStr">
        <is>
          <t>Massa dei cavi flessibili</t>
        </is>
      </c>
      <c r="D101" s="10" t="inlineStr">
        <is>
          <t>0,5 kg/m per metà della corsa più 3 m, se non data nei dati dell'impianto (cavo piatto 24G0,75)</t>
        </is>
      </c>
      <c r="E101" s="10" t="inlineStr">
        <is>
          <t>—</t>
        </is>
      </c>
      <c r="F101" s="10" t="inlineStr">
        <is>
          <t>schede dei costruttori di cavi piatti (0,48–0,57 kg/m)</t>
        </is>
      </c>
      <c r="G101" s="10" t="inlineStr">
        <is>
          <t>stima</t>
        </is>
      </c>
      <c r="H101" s="10" t="inlineStr">
        <is>
          <t>—</t>
        </is>
      </c>
      <c r="I101" s="11" t="n"/>
      <c r="J101" s="11" t="n"/>
      <c r="K101" s="11" t="n"/>
      <c r="L101" s="11" t="n"/>
      <c r="M101" s="11" t="n"/>
      <c r="N101" s="11" t="n"/>
    </row>
    <row r="102" ht="121" customHeight="1">
      <c r="A102" s="10" t="n">
        <v>100</v>
      </c>
      <c r="B102" s="10" t="inlineStr">
        <is>
          <t>Carichi sull'edificio e spinte sulle guide</t>
        </is>
      </c>
      <c r="C102" s="10" t="inlineStr">
        <is>
          <t>Numero e posizione delle staffe delle guide — il passo delle staffe va confermato con la verifica delle guide (UNI EN 81-50:2020, 5.10), che usa la distanza tra le staffe</t>
        </is>
      </c>
      <c r="D102"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102" s="10" t="inlineStr">
        <is>
          <t>regola di montaggio indicata dal committente</t>
        </is>
      </c>
      <c r="F102" s="10" t="inlineStr">
        <is>
          <t>scelta del committente</t>
        </is>
      </c>
      <c r="G102" s="10" t="inlineStr">
        <is>
          <t>scelta del software</t>
        </is>
      </c>
      <c r="H102" s="10" t="inlineStr">
        <is>
          <t>—</t>
        </is>
      </c>
      <c r="I102" s="11" t="n"/>
      <c r="J102" s="11" t="n"/>
      <c r="K102" s="11" t="n"/>
      <c r="L102" s="11" t="n"/>
      <c r="M102" s="11" t="n"/>
      <c r="N102" s="11" t="n"/>
    </row>
    <row r="103" ht="82" customHeight="1">
      <c r="A103" s="10" t="n">
        <v>101</v>
      </c>
      <c r="B103" s="10" t="inlineStr">
        <is>
          <t>Carichi sull'edificio e spinte sulle guide</t>
        </is>
      </c>
      <c r="C103" s="10" t="inlineStr">
        <is>
          <t>Lunghezze stimate nel foglio dei dati</t>
        </is>
      </c>
      <c r="D103" s="10" t="inlineStr">
        <is>
          <t>guide dal pavimento della fossa fino a 50 mm sotto la soletta del vano; fune del limitatore: due volte l'altezza dalla fossa al limitatore, posto 800 mm sopra il pavimento del locale; funi di trazione: taglia × (corsa + 2 × tratto oltre la corsa), più deviazione o rinvii</t>
        </is>
      </c>
      <c r="E103" s="10" t="inlineStr">
        <is>
          <t>—</t>
        </is>
      </c>
      <c r="F103" s="10" t="inlineStr">
        <is>
          <t>stima del software, da sostituire con le misure di cantiere</t>
        </is>
      </c>
      <c r="G103" s="10" t="inlineStr">
        <is>
          <t>stima</t>
        </is>
      </c>
      <c r="H103" s="10" t="inlineStr">
        <is>
          <t>—</t>
        </is>
      </c>
      <c r="I103" s="11" t="n"/>
      <c r="J103" s="11" t="n"/>
      <c r="K103" s="11" t="n"/>
      <c r="L103" s="11" t="n"/>
      <c r="M103" s="11" t="n"/>
      <c r="N103" s="11" t="n"/>
    </row>
    <row r="104" ht="290" customHeight="1">
      <c r="A104" s="10" t="n">
        <v>102</v>
      </c>
      <c r="B104" s="10" t="inlineStr">
        <is>
          <t>Carichi sull'edificio e spinte sulle guide</t>
        </is>
      </c>
      <c r="C104" s="10" t="inlineStr">
        <is>
          <t>Verifica delle guide di cabina — Confermati sul testo i coefficienti, le formule e i limiti. Da verificare il carico al piano: la UNI EN 81-20:2020 (5.7.2.3.6) lo lega al tipo di ascensore, 0,4·g·Q per persone, 0,6·g·Q per merci, 0,85·g·Q con dispositivi di movimentazione pesanti; il software usa la regola della UNI EN 81-1 (0,6·g·Q da 2500 kg, appendice G.2.5) perché il tipo di ascensore non è tra i dati. La formula di ω per Rm 370 è data da λ 20 a 250: sotto 20 il software usa la stessa formula. Non contate: la spinta di scorrimento delle staffe (assestamento dell'edificio), le apparecchiature appese alle guide, le frecce di staffe ed edificio (la norma vuole la somma entro il limite) e le guide del contrappeso</t>
        </is>
      </c>
      <c r="D104"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 0,4·g·Q (0,6·g·Q da 2500 kg) al centro della soglia di cabina, a ogni accesso; flessione della suola σF = 1,85·Fx/c² (pattini a rotelle); frecce δx = 0,7·Fx·l³/(48·E·Iy) e δy = 0,7·Fy·l³/(48·E·Ix) ≤ 5 mm. Tensione ammissibile Rm/St con St = 2,25 in marcia e al carico, 1,8 all'intervento del paracadute (allungamento A5 &gt; 12 %): con Rm 370 N/mm², 164,4 e 205,6 N/mm²</t>
        </is>
      </c>
      <c r="E104" s="10" t="inlineStr">
        <is>
          <t>UNI EN 81-50:2020, 5.10.2–5.10.6; UNI EN 81-20:2020, 5.7.2.3.5, 5.7.2.3.6, 5.7.4.5 (Prospetto 15), 5.7.4.6 e Prospetto 14</t>
        </is>
      </c>
      <c r="F104" s="10" t="inlineStr">
        <is>
          <t>UNI EN 81-50:2020, testo della norma fornito dal cliente, letto il 2026-10-06, pp. 35–39; UNI EN 81-20:2020, testo della norma fornito dal cliente, letto il 2026-10-06, pp. 94–97; Rm 370 è scelta del software (il valore più basso)</t>
        </is>
      </c>
      <c r="G104" s="10" t="inlineStr">
        <is>
          <t>da verificare</t>
        </is>
      </c>
      <c r="H104" s="10" t="inlineStr">
        <is>
          <t>tensioni nelle guide di cabina; flessione della suola delle guide di cabina; frecce delle guide di cabina</t>
        </is>
      </c>
      <c r="I104" s="11" t="n"/>
      <c r="J104" s="11" t="n"/>
      <c r="K104" s="11" t="n"/>
      <c r="L104" s="11" t="n"/>
      <c r="M104" s="11" t="n"/>
      <c r="N104" s="11" t="n"/>
    </row>
    <row r="105" ht="147" customHeight="1">
      <c r="A105" s="10" t="n">
        <v>103</v>
      </c>
      <c r="B105" s="10" t="inlineStr">
        <is>
          <t>Carichi sull'edificio e spinte sulle guide</t>
        </is>
      </c>
      <c r="C105" s="10" t="inlineStr">
        <is>
          <t>Sezioni delle guide di cabina</t>
        </is>
      </c>
      <c r="D105" s="10" t="inlineStr">
        <is>
          <t>area, momenti d'inerzia e moduli di resistenza minimi attorno all'asse parallelo alla suola (x) e all'asse di simmetria (y), spessore c del collo tra lama e suola, per ogni profilo del software; raggi d'inerzia calcolati come √(I/A)</t>
        </is>
      </c>
      <c r="E105" s="10" t="inlineStr">
        <is>
          <t>ISO 7465:2007 (ora ISO 8100-33:2022); EN 10055:1995 per il T 70×70×8 laminato</t>
        </is>
      </c>
      <c r="F105"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05" s="10" t="inlineStr">
        <is>
          <t>da verificare</t>
        </is>
      </c>
      <c r="H105" s="10" t="inlineStr">
        <is>
          <t>—</t>
        </is>
      </c>
      <c r="I105" s="11" t="n"/>
      <c r="J105" s="11" t="n"/>
      <c r="K105" s="11" t="n"/>
      <c r="L105" s="11" t="n"/>
      <c r="M105" s="11" t="n"/>
      <c r="N105" s="11" t="n"/>
    </row>
    <row r="106" ht="82" customHeight="1">
      <c r="A106" s="10" t="n">
        <v>104</v>
      </c>
      <c r="B106" s="10" t="inlineStr">
        <is>
          <t>Carichi sull'edificio e spinte sulle guide</t>
        </is>
      </c>
      <c r="C106" s="10" t="inlineStr">
        <is>
          <t>Tipo di paracadute per la velocità nominale</t>
        </is>
      </c>
      <c r="D106" s="10" t="inlineStr">
        <is>
          <t>istantaneo (anche a rulli imprigionati) fino a 0,63 m/s; oltre, progressivo (la UNI EN 81-20 non ha più l'istantaneo con effetto ammortizzato fino a 1 m/s); il tipo viene dai dati dell'impianto (se manca: progressivo, con la nota sul foglio)</t>
        </is>
      </c>
      <c r="E106" s="10" t="inlineStr">
        <is>
          <t>UNI EN 81-20:2020, 5.6.2.1.2.1; la regola precedente in UNI EN 81-1 (1999, 2008), 9.8.2.1</t>
        </is>
      </c>
      <c r="F106" s="10" t="inlineStr">
        <is>
          <t>UNI EN 81-20:2020, testo della norma fornito dal cliente, letto il 2026-10-06, p. 81; UNI EN 81-1:2008, testo della norma fornito dal cliente, letto il 2026-10-06, p. 58</t>
        </is>
      </c>
      <c r="G106" s="10" t="inlineStr">
        <is>
          <t>confermato</t>
        </is>
      </c>
      <c r="H106" s="10" t="inlineStr">
        <is>
          <t>tipo di paracadute per la velocità</t>
        </is>
      </c>
      <c r="I106" s="11" t="n"/>
      <c r="J106" s="11" t="n"/>
      <c r="K106" s="11" t="n"/>
      <c r="L106" s="11" t="n"/>
      <c r="M106" s="11" t="n"/>
      <c r="N106" s="11" t="n"/>
    </row>
    <row r="107" ht="43" customHeight="1">
      <c r="A107" s="10" t="n">
        <v>105</v>
      </c>
      <c r="B107" s="10" t="inlineStr">
        <is>
          <t>Vano: limiti del progetto</t>
        </is>
      </c>
      <c r="C107" s="10" t="inlineStr">
        <is>
          <t>Dimensioni proposte della cabina</t>
        </is>
      </c>
      <c r="D107" s="10" t="inlineStr">
        <is>
          <t>la cabina più grande che entra nel vano, a passi di 10 mm, con superficie entro il limite della portata; a parità di superficie, la più profonda</t>
        </is>
      </c>
      <c r="E107" s="10" t="inlineStr">
        <is>
          <t>—</t>
        </is>
      </c>
      <c r="F107" s="10" t="inlineStr">
        <is>
          <t>scelta del software</t>
        </is>
      </c>
      <c r="G107" s="10" t="inlineStr">
        <is>
          <t>scelta del software</t>
        </is>
      </c>
      <c r="H107" s="10" t="inlineStr">
        <is>
          <t>—</t>
        </is>
      </c>
      <c r="I107" s="11" t="n"/>
      <c r="J107" s="11" t="n"/>
      <c r="K107" s="11" t="n"/>
      <c r="L107" s="11" t="n"/>
      <c r="M107" s="11" t="n"/>
      <c r="N107" s="11" t="n"/>
    </row>
    <row r="108" ht="225" customHeight="1">
      <c r="A108" s="10" t="n">
        <v>106</v>
      </c>
      <c r="B108" s="10" t="inlineStr">
        <is>
          <t>Vano: limiti del progetto</t>
        </is>
      </c>
      <c r="C108" s="10" t="inlineStr">
        <is>
          <t>Quote della pianta fissate a mano</t>
        </is>
      </c>
      <c r="D108"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08" s="10" t="inlineStr">
        <is>
          <t>—</t>
        </is>
      </c>
      <c r="F108" s="10" t="inlineStr">
        <is>
          <t>scelta del software</t>
        </is>
      </c>
      <c r="G108" s="10" t="inlineStr">
        <is>
          <t>scelta del software</t>
        </is>
      </c>
      <c r="H108" s="10" t="inlineStr">
        <is>
          <t>quote fissate a mano: ingombri al loro posto; quote fissate a mano: porte dentro la cabina; ammortizzatori fissati a mano: sotto cabina e contrappeso, fuori dal rifugio</t>
        </is>
      </c>
      <c r="I108" s="11" t="n"/>
      <c r="J108" s="11" t="n"/>
      <c r="K108" s="11" t="n"/>
      <c r="L108" s="11" t="n"/>
      <c r="M108" s="11" t="n"/>
      <c r="N108" s="11" t="n"/>
    </row>
    <row r="109" ht="82" customHeight="1">
      <c r="A109" s="10" t="n">
        <v>107</v>
      </c>
      <c r="B109" s="10" t="inlineStr">
        <is>
          <t>Vano: limiti del progetto</t>
        </is>
      </c>
      <c r="C109" s="10" t="inlineStr">
        <is>
          <t>Limiti del modello del vano</t>
        </is>
      </c>
      <c r="D109" s="10" t="inlineStr">
        <is>
          <t>pianta, sezione A-A e locale macchina da un modello semplificato: arcata, operatori delle porte, ammortizzatori e macchina hanno posizioni e ingombri tipici, da sostituire con i dati dei fornitori; il rilievo dal disegno CAD va controllato in cantiere</t>
        </is>
      </c>
      <c r="E109" s="10" t="inlineStr">
        <is>
          <t>—</t>
        </is>
      </c>
      <c r="F109" s="10" t="inlineStr">
        <is>
          <t>limite del modello attuale</t>
        </is>
      </c>
      <c r="G109" s="10" t="inlineStr">
        <is>
          <t>scelta del software</t>
        </is>
      </c>
      <c r="H109" s="10" t="inlineStr">
        <is>
          <t>—</t>
        </is>
      </c>
      <c r="I109" s="11" t="n"/>
      <c r="J109" s="11" t="n"/>
      <c r="K109" s="11" t="n"/>
      <c r="L109" s="11" t="n"/>
      <c r="M109" s="11" t="n"/>
      <c r="N109" s="11" t="n"/>
    </row>
    <row r="110" ht="186" customHeight="1">
      <c r="A110" s="10" t="n">
        <v>108</v>
      </c>
      <c r="B110" s="10" t="inlineStr">
        <is>
          <t>Vano: limiti del progetto</t>
        </is>
      </c>
      <c r="C110" s="10" t="inlineStr">
        <is>
          <t>Verifiche che il software non calcola</t>
        </is>
      </c>
      <c r="D110" s="10" t="inlineStr">
        <is>
          <t>da fare a parte, con i dati dei fornitori: sollecitazioni e frecce delle staffe e delle guide del contrappeso (UNI EN 81-50:2020, 5.10: il software verifica le guide di cabina, sul foglio 1 delle tavole); puleggia del contrappeso in taglia 2:1 sotto il soffitto; paracadute del contrappeso con spazi accessibili sotto il vano; distanza tra le parti fisse più alte della fossa e quelle più basse della cabina sugli ammortizzatori; sporgenze nel vano oltre 150 mm senza balaustra; locale della macchina in basso (dimensioni e spazi di manovra: il software non lo disegna); movimento incontrollato della cabina (UCM) e velocità eccessiva in salita con la nuova macchina</t>
        </is>
      </c>
      <c r="E110" s="10" t="inlineStr">
        <is>
          <t>UNI EN 81-20:2020: guide e staffe 5.7.2–5.7.4 (con UNI EN 81-50:2020, 5.10); distanze in testata 5.2.5.7.2; spazi accessibili sotto il vano 5.2.5.4; parti fisse in fossa 5.2.5.8.2; sporgenze oltre 0,15 m 5.2.5.2.2.2; locale del macchinario 5.2.6.3; velocità eccessiva in salita 5.6.6; movimento incontrollato 5.6.7</t>
        </is>
      </c>
      <c r="F110" s="10" t="inlineStr">
        <is>
          <t>UNI EN 81-20:2020, testo della norma fornito dal cliente, letto il 2026-10-06, pp. 31–43, 89–97; analisi delle lacune del 2026-10-03</t>
        </is>
      </c>
      <c r="G110" s="10" t="inlineStr">
        <is>
          <t>scelta del software</t>
        </is>
      </c>
      <c r="H110" s="10" t="inlineStr">
        <is>
          <t>—</t>
        </is>
      </c>
      <c r="I110" s="11" t="n"/>
      <c r="J110" s="11" t="n"/>
      <c r="K110" s="11" t="n"/>
      <c r="L110" s="11" t="n"/>
      <c r="M110" s="11" t="n"/>
      <c r="N110" s="11" t="n"/>
    </row>
    <row r="111" ht="56" customHeight="1">
      <c r="A111" s="10" t="n">
        <v>109</v>
      </c>
      <c r="B111" s="10" t="inlineStr">
        <is>
          <t>Impianto: valori calcolati dai dati inseriti una volta</t>
        </is>
      </c>
      <c r="C111" s="10" t="inlineStr">
        <is>
          <t>Corsa</t>
        </is>
      </c>
      <c r="D111" s="10" t="inlineStr">
        <is>
          <t>somma delle altezze tra i piani, dal più basso al più alto</t>
        </is>
      </c>
      <c r="E111" s="10" t="inlineStr">
        <is>
          <t>—</t>
        </is>
      </c>
      <c r="F111" s="10" t="inlineStr">
        <is>
          <t>dati dei piani inseriti</t>
        </is>
      </c>
      <c r="G111" s="10" t="inlineStr">
        <is>
          <t>derivazione</t>
        </is>
      </c>
      <c r="H111" s="10" t="inlineStr">
        <is>
          <t>—</t>
        </is>
      </c>
      <c r="I111" s="11" t="n"/>
      <c r="J111" s="11" t="n"/>
      <c r="K111" s="11" t="n"/>
      <c r="L111" s="11" t="n"/>
      <c r="M111" s="11" t="n"/>
      <c r="N111" s="11" t="n"/>
    </row>
    <row r="112" ht="56" customHeight="1">
      <c r="A112" s="10" t="n">
        <v>110</v>
      </c>
      <c r="B112" s="10" t="inlineStr">
        <is>
          <t>Impianto: valori calcolati dai dati inseriti una volta</t>
        </is>
      </c>
      <c r="C112" s="10" t="inlineStr">
        <is>
          <t>Portata e velocità</t>
        </is>
      </c>
      <c r="D112" s="10" t="inlineStr">
        <is>
          <t>la portata inserita, oppure quella della cabina più grande che entra nel vano (Tabella 6); la velocità è una sola per il vano e per la macchina</t>
        </is>
      </c>
      <c r="E112" s="10" t="inlineStr">
        <is>
          <t>UNI EN 81-20:2020, 5.4.2.1</t>
        </is>
      </c>
      <c r="F112" s="10" t="inlineStr">
        <is>
          <t>progetto del vano</t>
        </is>
      </c>
      <c r="G112" s="10" t="inlineStr">
        <is>
          <t>derivazione</t>
        </is>
      </c>
      <c r="H112" s="10" t="inlineStr">
        <is>
          <t>—</t>
        </is>
      </c>
      <c r="I112" s="11" t="n"/>
      <c r="J112" s="11" t="n"/>
      <c r="K112" s="11" t="n"/>
      <c r="L112" s="11" t="n"/>
      <c r="M112" s="11" t="n"/>
      <c r="N112" s="11" t="n"/>
    </row>
    <row r="113" ht="316" customHeight="1">
      <c r="A113" s="10" t="n">
        <v>111</v>
      </c>
      <c r="B113" s="10" t="inlineStr">
        <is>
          <t>Impianto: valori calcolati dai dati inseriti una volta</t>
        </is>
      </c>
      <c r="C113"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13"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13" s="10" t="inlineStr">
        <is>
          <t>DPR 162/1999 e s.m.i.; UNI 10411-1:2024; UNI 10411-11:2024; UNI EN 81-20:2020; UNI EN 81-50:2020</t>
        </is>
      </c>
      <c r="F113" s="10" t="inlineStr">
        <is>
          <t>UNI 10411-1:2024, testo della norma fornito dal cliente, letto il 2026-10-06, pp. 5, 13–14; UNI 10411-11:2024, testo della norma fornito dal cliente, letto il 2026-10-06, pp. 5, 12; schema ICIM delle verifiche (la verifica straordinaria si limita di norma alle modifiche); ricerca, capitoli 2.4 e 6.6</t>
        </is>
      </c>
      <c r="G113" s="10" t="inlineStr">
        <is>
          <t>scelta del software</t>
        </is>
      </c>
      <c r="H113" s="10" t="inlineStr">
        <is>
          <t>—</t>
        </is>
      </c>
      <c r="I113" s="11" t="n"/>
      <c r="J113" s="11" t="n"/>
      <c r="K113" s="11" t="n"/>
      <c r="L113" s="11" t="n"/>
      <c r="M113" s="11" t="n"/>
      <c r="N113" s="11" t="n"/>
    </row>
    <row r="114" ht="160" customHeight="1">
      <c r="A114" s="10" t="n">
        <v>112</v>
      </c>
      <c r="B114" s="10" t="inlineStr">
        <is>
          <t>Impianto: valori calcolati dai dati inseriti una volta</t>
        </is>
      </c>
      <c r="C114" s="10" t="inlineStr">
        <is>
          <t>Rifacimento con l'arcata esistente — il DPR 162/1999 elenca le modifiche costruttive ma non dice quando l'insieme diventa una sostituzione completa: la qualificazione dell'intervento la conferma il tecnico incaricato con il soggetto che esegue la verifica straordinaria</t>
        </is>
      </c>
      <c r="D114"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14" s="10" t="inlineStr">
        <is>
          <t>DPR 162/1999 e s.m.i., art. 2 c.1 lett. cc), art. 12 c.4, art. 14 c.3; UNI 10411-1:2024; UNI 10411-11:2024; UNI EN 81-21:2022 (scopo)</t>
        </is>
      </c>
      <c r="F114" s="10" t="inlineStr">
        <is>
          <t>indicazione del cliente (5 ottobre 2026): prassi di lasciare l'arcata; ricerca, capitolo 16 §3.2 e §5.3</t>
        </is>
      </c>
      <c r="G114" s="10" t="inlineStr">
        <is>
          <t>prassi di cantiere</t>
        </is>
      </c>
      <c r="H114" s="10" t="inlineStr">
        <is>
          <t>—</t>
        </is>
      </c>
      <c r="I114" s="11" t="n"/>
      <c r="J114" s="11" t="n"/>
      <c r="K114" s="11" t="n"/>
      <c r="L114" s="11" t="n"/>
      <c r="M114" s="11" t="n"/>
      <c r="N114" s="11" t="n"/>
    </row>
    <row r="115" ht="69" customHeight="1">
      <c r="A115" s="10" t="n">
        <v>113</v>
      </c>
      <c r="B115" s="10" t="inlineStr">
        <is>
          <t>Impianto: valori calcolati dai dati inseriti una volta</t>
        </is>
      </c>
      <c r="C115" s="10" t="inlineStr">
        <is>
          <t>Massa della cabina non inserita — va sostituita con la massa del libretto o con quella ricavata dalla prova di bilanciamento; la sensibilità ±10% ne mostra l'effetto</t>
        </is>
      </c>
      <c r="D115" s="10" t="inlineStr">
        <is>
          <t>P = 1,1·Q arrotondata per eccesso a 10 kg: valore di partenza per far girare il calcolo</t>
        </is>
      </c>
      <c r="E115" s="10" t="inlineStr">
        <is>
          <t>ricerca, capitoli 3 e 6 (origine della massa della cabina)</t>
        </is>
      </c>
      <c r="F115" s="10" t="inlineStr">
        <is>
          <t>scelta del software, senza fonte</t>
        </is>
      </c>
      <c r="G115" s="10" t="inlineStr">
        <is>
          <t>stima</t>
        </is>
      </c>
      <c r="H115" s="10" t="inlineStr">
        <is>
          <t>—</t>
        </is>
      </c>
      <c r="I115" s="11" t="n"/>
      <c r="J115" s="11" t="n"/>
      <c r="K115" s="11" t="n"/>
      <c r="L115" s="11" t="n"/>
      <c r="M115" s="11" t="n"/>
      <c r="N115" s="11" t="n"/>
    </row>
    <row r="116" ht="108" customHeight="1">
      <c r="A116" s="10" t="n">
        <v>114</v>
      </c>
      <c r="B116" s="10" t="inlineStr">
        <is>
          <t>Impianto: valori calcolati dai dati inseriti una volta</t>
        </is>
      </c>
      <c r="C116" s="10" t="inlineStr">
        <is>
          <t>Fune oltre la corsa (L0)</t>
        </is>
      </c>
      <c r="D116" s="10" t="inlineStr">
        <is>
          <t>dalla sommità dell'arcata con la cabina all'ultimo piano fino all'asse della puleggia: testata − sommità dell'arcata + solaio del locale + asse della puleggia a 0,9·D sul pavimento del locale; con la puleggia di rinvio, l'asse sul basamento o sul telaio che la porta (voce locale.rinvio); macchina in basso o senza locale: fino al soffitto del vano</t>
        </is>
      </c>
      <c r="E116" s="10" t="inlineStr">
        <is>
          <t>—</t>
        </is>
      </c>
      <c r="F116" s="10" t="inlineStr">
        <is>
          <t>dati verticali del vano; altezza dell'asse scelta dal software</t>
        </is>
      </c>
      <c r="G116" s="10" t="inlineStr">
        <is>
          <t>scelta del software</t>
        </is>
      </c>
      <c r="H116" s="10" t="inlineStr">
        <is>
          <t>—</t>
        </is>
      </c>
      <c r="I116" s="11" t="n"/>
      <c r="J116" s="11" t="n"/>
      <c r="K116" s="11" t="n"/>
      <c r="L116" s="11" t="n"/>
      <c r="M116" s="11" t="n"/>
      <c r="N116" s="11" t="n"/>
    </row>
    <row r="117" ht="147" customHeight="1">
      <c r="A117" s="10" t="n">
        <v>115</v>
      </c>
      <c r="B117" s="10" t="inlineStr">
        <is>
          <t>Impianto: valori calcolati dai dati inseriti una volta</t>
        </is>
      </c>
      <c r="C117" s="10" t="inlineStr">
        <is>
          <t>Distanza orizzontale della puleggia di rinvio (dx)</t>
        </is>
      </c>
      <c r="D117"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trazione sopra la cabina, il rinvio sopra il contrappeso; se nessuna delle due geometrie torna con l'angolo di avvolgimento, la distanza va misurata sull'impianto</t>
        </is>
      </c>
      <c r="E117" s="10" t="inlineStr">
        <is>
          <t>ricerca, capitolo 5.3</t>
        </is>
      </c>
      <c r="F117" s="10" t="inlineStr">
        <is>
          <t>pianta del vano</t>
        </is>
      </c>
      <c r="G117" s="10" t="inlineStr">
        <is>
          <t>derivazione</t>
        </is>
      </c>
      <c r="H117" s="10" t="inlineStr">
        <is>
          <t>—</t>
        </is>
      </c>
      <c r="I117" s="11" t="n"/>
      <c r="J117" s="11" t="n"/>
      <c r="K117" s="11" t="n"/>
      <c r="L117" s="11" t="n"/>
      <c r="M117" s="11" t="n"/>
      <c r="N117" s="11" t="n"/>
    </row>
    <row r="118" ht="160" customHeight="1">
      <c r="A118" s="10" t="n">
        <v>116</v>
      </c>
      <c r="B118" s="10" t="inlineStr">
        <is>
          <t>Impianto: valori calcolati dai dati inseriti una volta</t>
        </is>
      </c>
      <c r="C118"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18" s="10" t="inlineStr">
        <is>
          <t>senza rinvio le due calate scendono dai due lati della puleggia di trazione: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18" s="10" t="inlineStr">
        <is>
          <t>ricerca, capitolo 5.3 (angolo di avvolgimento del tiro diretto)</t>
        </is>
      </c>
      <c r="F118" s="10" t="inlineStr">
        <is>
          <t>geometria delle funi</t>
        </is>
      </c>
      <c r="G118" s="10" t="inlineStr">
        <is>
          <t>derivazione</t>
        </is>
      </c>
      <c r="H118" s="10" t="inlineStr">
        <is>
          <t>—</t>
        </is>
      </c>
      <c r="I118" s="11" t="n"/>
      <c r="J118" s="11" t="n"/>
      <c r="K118" s="11" t="n"/>
      <c r="L118" s="11" t="n"/>
      <c r="M118" s="11" t="n"/>
      <c r="N118" s="11" t="n"/>
    </row>
    <row r="119" ht="56" customHeight="1">
      <c r="A119" s="10" t="n">
        <v>117</v>
      </c>
      <c r="B119" s="10" t="inlineStr">
        <is>
          <t>Impianto: valori calcolati dai dati inseriti una volta</t>
        </is>
      </c>
      <c r="C119" s="10" t="inlineStr">
        <is>
          <t>Macchina in basso: altezza fino alle pulegge in alto (Hv)</t>
        </is>
      </c>
      <c r="D119" s="10" t="inlineStr">
        <is>
          <t>dall'asse dei rinvii in testata all'asse della puleggia di trazione, secondo lo schema delle funi (impianto.basso.schema); la puleggia ha l'asse a 0,9·D sul pavimento del suo locale</t>
        </is>
      </c>
      <c r="E119" s="10" t="inlineStr">
        <is>
          <t>ricerca, capitolo 5; funi con la macchina in basso, capitolo 2.6</t>
        </is>
      </c>
      <c r="F119" s="10" t="inlineStr">
        <is>
          <t>dati verticali del vano</t>
        </is>
      </c>
      <c r="G119" s="10" t="inlineStr">
        <is>
          <t>derivazione</t>
        </is>
      </c>
      <c r="H119" s="10" t="inlineStr">
        <is>
          <t>—</t>
        </is>
      </c>
      <c r="I119" s="11" t="n"/>
      <c r="J119" s="11" t="n"/>
      <c r="K119" s="11" t="n"/>
      <c r="L119" s="11" t="n"/>
      <c r="M119" s="11" t="n"/>
      <c r="N119" s="11" t="n"/>
    </row>
    <row r="120" ht="238" customHeight="1">
      <c r="A120" s="10" t="n">
        <v>118</v>
      </c>
      <c r="B120" s="10" t="inlineStr">
        <is>
          <t>Impianto: valori calcolati dai dati inseriti una volta</t>
        </is>
      </c>
      <c r="C120"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t>
        </is>
      </c>
      <c r="D120" s="10" t="inlineStr">
        <is>
          <t>tre schemi: rinvii appesi sotto il solaio del vano (assi a Dp/2 + 120 mm sotto il soffitto), macchina nel locale al piano più basso oltre la parete del contrappeso con la puleggia nel vano; locale pulegge sopra il solaio (assi a 450 mm sul pavimento del locale, solaio di 250 mm se il locale non è progettato), macchina come sopra; macchina sotto il vano, in un locale alto 2400 mm sotto la soletta della fossa di 300 mm, rinvii sotto il solaio.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20" s="10" t="inlineStr">
        <is>
          <t>ricerca, funi con la macchina in basso, capitoli 2–5; DPR 1497/1963 artt. 5–9, 33</t>
        </is>
      </c>
      <c r="F120" s="10" t="inlineStr">
        <is>
          <t>geometria ricostruita dal software</t>
        </is>
      </c>
      <c r="G120" s="10" t="inlineStr">
        <is>
          <t>scelta del software</t>
        </is>
      </c>
      <c r="H120" s="10" t="inlineStr">
        <is>
          <t>—</t>
        </is>
      </c>
      <c r="I120" s="11" t="n"/>
      <c r="J120" s="11" t="n"/>
      <c r="K120" s="11" t="n"/>
      <c r="L120" s="11" t="n"/>
      <c r="M120" s="11" t="n"/>
      <c r="N120" s="11" t="n"/>
    </row>
    <row r="121" ht="238" customHeight="1">
      <c r="A121" s="10" t="n">
        <v>119</v>
      </c>
      <c r="B121" s="10" t="inlineStr">
        <is>
          <t>Impianto: valori calcolati dai dati inseriti una volta</t>
        </is>
      </c>
      <c r="C121" s="10" t="inlineStr">
        <is>
          <t>Macchina proposta dal catalogo di un costruttore — la tolleranza sul rapporto è una scelta del software: la velocità reale con l'inverter deve restare entro il 5 % sopra la nominale (UNI EN 81-20:2020, 5.9.2.4);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21"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21" s="10" t="inlineStr">
        <is>
          <t>ricerca, capitolo 12 (catalogo degli argani)</t>
        </is>
      </c>
      <c r="F121" s="10" t="inlineStr">
        <is>
          <t>SICOR: schede tecniche 2025 e modelli CAD scaricati da sicoritaly.com il 2 ottobre 2026 (solo le quote); Sassi, Montanari, GEM, FAER: estratti delle pagine dei costruttori e dei rivenditori, 1° ottobre 2026</t>
        </is>
      </c>
      <c r="G121" s="10" t="inlineStr">
        <is>
          <t>scelta del software</t>
        </is>
      </c>
      <c r="H121" s="10" t="inlineStr">
        <is>
          <t>—</t>
        </is>
      </c>
      <c r="I121" s="11" t="n"/>
      <c r="J121" s="11" t="n"/>
      <c r="K121" s="11" t="n"/>
      <c r="L121" s="11" t="n"/>
      <c r="M121" s="11" t="n"/>
      <c r="N121" s="11" t="n"/>
    </row>
    <row r="122" ht="134" customHeight="1">
      <c r="A122" s="10" t="n">
        <v>120</v>
      </c>
      <c r="B122" s="10" t="inlineStr">
        <is>
          <t>Impianto: valori calcolati dai dati inseriti una volta</t>
        </is>
      </c>
      <c r="C122"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22" s="10" t="inlineStr">
        <is>
          <t>la prima opzione del dimensionamento (capitolo 8): puleggia, funi, rapporto, gola, motore e freno che passano ogni verifica; con le ipotesi del gruppo (poli, giri, rendimenti, inerzie) inserite</t>
        </is>
      </c>
      <c r="E122" s="10" t="inlineStr">
        <is>
          <t>ricerca, capitolo 8</t>
        </is>
      </c>
      <c r="F122" s="10" t="inlineStr">
        <is>
          <t>motore di calcolo</t>
        </is>
      </c>
      <c r="G122" s="10" t="inlineStr">
        <is>
          <t>scelta del software</t>
        </is>
      </c>
      <c r="H122" s="10" t="inlineStr">
        <is>
          <t>—</t>
        </is>
      </c>
      <c r="I122" s="11" t="n"/>
      <c r="J122" s="11" t="n"/>
      <c r="K122" s="11" t="n"/>
      <c r="L122" s="11" t="n"/>
      <c r="M122" s="11" t="n"/>
      <c r="N122" s="11" t="n"/>
    </row>
    <row r="123" ht="69" customHeight="1">
      <c r="A123" s="10" t="n">
        <v>121</v>
      </c>
      <c r="B123" s="10" t="inlineStr">
        <is>
          <t>Simulazione nel tempo (3D e grafici)</t>
        </is>
      </c>
      <c r="C123" s="10" t="inlineStr">
        <is>
          <t>Forze nella simulazione — agli estremi della corsa e alle accelerazioni della verifica i valori coincidono con quelli della verifica (test automatico)</t>
        </is>
      </c>
      <c r="D123" s="10" t="inlineStr">
        <is>
          <t>tiri delle funi, T1/T2, e^(f·α), coppie e decelerazione del freno con le stesse funzioni della verifica (modello delle funi del motore di calcolo), valutate istante per istante con la posizione e l'accelerazione della cabina</t>
        </is>
      </c>
      <c r="E123" s="10" t="inlineStr">
        <is>
          <t>UNI EN 81-50:2020, 5.11 (aderenza); ricerca, capitolo 4</t>
        </is>
      </c>
      <c r="F123" s="10" t="inlineStr">
        <is>
          <t>motore di calcolo (src/calc/model.ts)</t>
        </is>
      </c>
      <c r="G123" s="10" t="inlineStr">
        <is>
          <t>derivazione</t>
        </is>
      </c>
      <c r="H123" s="10" t="inlineStr">
        <is>
          <t>—</t>
        </is>
      </c>
      <c r="I123" s="11" t="n"/>
      <c r="J123" s="11" t="n"/>
      <c r="K123" s="11" t="n"/>
      <c r="L123" s="11" t="n"/>
      <c r="M123" s="11" t="n"/>
      <c r="N123" s="11" t="n"/>
    </row>
    <row r="124" ht="56" customHeight="1">
      <c r="A124" s="10" t="n">
        <v>122</v>
      </c>
      <c r="B124" s="10" t="inlineStr">
        <is>
          <t>Simulazione nel tempo (3D e grafici)</t>
        </is>
      </c>
      <c r="C124" s="10" t="inlineStr">
        <is>
          <t>Profilo del moto tra i piani — accelerazione e strappo sono dati di progetto dell'azionamento, non limiti normativi</t>
        </is>
      </c>
      <c r="D124" s="10" t="inlineStr">
        <is>
          <t>profilo a strappo limitato: velocità nominale, accelerazione di progetto e strappo 1 m/s³; se il tragitto è corto, la velocità più alta che ci sta</t>
        </is>
      </c>
      <c r="E124" s="10" t="inlineStr">
        <is>
          <t>ISO 18738-1:2012 (misura della qualità di marcia, nessun limite)</t>
        </is>
      </c>
      <c r="F124" s="10" t="inlineStr">
        <is>
          <t>scelta del software</t>
        </is>
      </c>
      <c r="G124" s="10" t="inlineStr">
        <is>
          <t>scelta del software</t>
        </is>
      </c>
      <c r="H124" s="10" t="inlineStr">
        <is>
          <t>—</t>
        </is>
      </c>
      <c r="I124" s="11" t="n"/>
      <c r="J124" s="11" t="n"/>
      <c r="K124" s="11" t="n"/>
      <c r="L124" s="11" t="n"/>
      <c r="M124" s="11" t="n"/>
      <c r="N124" s="11" t="n"/>
    </row>
    <row r="125" ht="69" customHeight="1">
      <c r="A125" s="10" t="n">
        <v>123</v>
      </c>
      <c r="B125" s="10" t="inlineStr">
        <is>
          <t>Simulazione nel tempo (3D e grafici)</t>
        </is>
      </c>
      <c r="C125" s="10" t="inlineStr">
        <is>
          <t>Limite di aderenza mostrato durante la marcia</t>
        </is>
      </c>
      <c r="D125" s="10" t="inlineStr">
        <is>
          <t>e^(f·α) con il coefficiente d'attrito della frenatura (μ ridotto con la velocità delle funi): il confronto è indicativo (oltre il limite: avviso, non verifica fallita), la verifica resta quella dei casi della norma</t>
        </is>
      </c>
      <c r="E125" s="10" t="inlineStr">
        <is>
          <t>UNI EN 81-50:2020, 5.11.2.2</t>
        </is>
      </c>
      <c r="F125" s="10" t="inlineStr">
        <is>
          <t>scelta del software</t>
        </is>
      </c>
      <c r="G125" s="10" t="inlineStr">
        <is>
          <t>scelta del software</t>
        </is>
      </c>
      <c r="H125" s="10" t="inlineStr">
        <is>
          <t>—</t>
        </is>
      </c>
      <c r="I125" s="11" t="n"/>
      <c r="J125" s="11" t="n"/>
      <c r="K125" s="11" t="n"/>
      <c r="L125" s="11" t="n"/>
      <c r="M125" s="11" t="n"/>
      <c r="N125" s="11" t="n"/>
    </row>
    <row r="126" ht="43" customHeight="1">
      <c r="A126" s="10" t="n">
        <v>124</v>
      </c>
      <c r="B126" s="10" t="inlineStr">
        <is>
          <t>Simulazione nel tempo (3D e grafici)</t>
        </is>
      </c>
      <c r="C126" s="10" t="inlineStr">
        <is>
          <t>Tempi delle porte</t>
        </is>
      </c>
      <c r="D126" s="10" t="inlineStr">
        <is>
          <t>apertura 2,5 s, chiusura 3 s, sosta a porte aperte 3 s, partenza 0,5 s dopo la chiusura</t>
        </is>
      </c>
      <c r="E126" s="10" t="inlineStr">
        <is>
          <t>—</t>
        </is>
      </c>
      <c r="F126" s="10" t="inlineStr">
        <is>
          <t>scelta del software (solo animazione)</t>
        </is>
      </c>
      <c r="G126" s="10" t="inlineStr">
        <is>
          <t>scelta del software</t>
        </is>
      </c>
      <c r="H126" s="10" t="inlineStr">
        <is>
          <t>—</t>
        </is>
      </c>
      <c r="I126" s="11" t="n"/>
      <c r="J126" s="11" t="n"/>
      <c r="K126" s="11" t="n"/>
      <c r="L126" s="11" t="n"/>
      <c r="M126" s="11" t="n"/>
      <c r="N126" s="11" t="n"/>
    </row>
    <row r="127" ht="108" customHeight="1">
      <c r="A127" s="10" t="n">
        <v>125</v>
      </c>
      <c r="B127" s="10" t="inlineStr">
        <is>
          <t>Simulazione nel tempo (3D e grafici)</t>
        </is>
      </c>
      <c r="C127" s="10" t="inlineStr">
        <is>
          <t>Urto sugli ammortizzatori — la rigidezza è una scelta del software coerente con i carichi sulla fossa (il tampone in poliuretano reale non è lineare: valori indicativi); la verifica della corsa resta quella della sezione</t>
        </is>
      </c>
      <c r="D127"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27" s="10" t="inlineStr">
        <is>
          <t>UNI EN 81-20:2020, 5.8.2.1.1.1–5.8.2.1.1.2 (urto al 115 %; corsa piena con un carico statico tra 2,5 e 4 volte: il software prende 4), 5.8.2.1.2.2 (90 %), 5.8.2.2.1 e 5.8.2.2.3 a)</t>
        </is>
      </c>
      <c r="F127" s="10" t="inlineStr">
        <is>
          <t>UNI EN 81-20:2020, testo della norma fornito dal cliente, letto il 2026-10-06, pp. 98–99</t>
        </is>
      </c>
      <c r="G127" s="10" t="inlineStr">
        <is>
          <t>scelta del software</t>
        </is>
      </c>
      <c r="H127" s="10" t="inlineStr">
        <is>
          <t>—</t>
        </is>
      </c>
      <c r="I127" s="11" t="n"/>
      <c r="J127" s="11" t="n"/>
      <c r="K127" s="11" t="n"/>
      <c r="L127" s="11" t="n"/>
      <c r="M127" s="11" t="n"/>
      <c r="N127" s="11" t="n"/>
    </row>
    <row r="128" ht="56" customHeight="1">
      <c r="A128" s="10" t="n">
        <v>126</v>
      </c>
      <c r="B128" s="10" t="inlineStr">
        <is>
          <t>Simulazione nel tempo (3D e grafici)</t>
        </is>
      </c>
      <c r="C128" s="10" t="inlineStr">
        <is>
          <t>Cabina bloccata: rotazione in salita</t>
        </is>
      </c>
      <c r="D128" s="10" t="inlineStr">
        <is>
          <t>la macchina gira in salita a 0,3 m/s finché il contrappeso poggia sui suoi ammortizzatori; poi le funi devono slittare (T1/T2 ≥ e^(f·α), μ della cabina bloccata)</t>
        </is>
      </c>
      <c r="E128" s="10" t="inlineStr">
        <is>
          <t>UNI EN 81-50:2020, 5.11.2</t>
        </is>
      </c>
      <c r="F128" s="10" t="inlineStr">
        <is>
          <t>motore di calcolo; velocità scelta dal software</t>
        </is>
      </c>
      <c r="G128" s="10" t="inlineStr">
        <is>
          <t>scelta del software</t>
        </is>
      </c>
      <c r="H128" s="10" t="inlineStr">
        <is>
          <t>—</t>
        </is>
      </c>
      <c r="I128" s="11" t="n"/>
      <c r="J128" s="11" t="n"/>
      <c r="K128" s="11" t="n"/>
      <c r="L128" s="11" t="n"/>
      <c r="M128" s="11" t="n"/>
      <c r="N128" s="11" t="n"/>
    </row>
    <row r="129" ht="43" customHeight="1">
      <c r="A129" s="10" t="n">
        <v>127</v>
      </c>
      <c r="B129" s="10" t="inlineStr">
        <is>
          <t>Simulazione nel tempo (3D e grafici)</t>
        </is>
      </c>
      <c r="C129" s="10" t="inlineStr">
        <is>
          <t>Passo di campionamento</t>
        </is>
      </c>
      <c r="D129" s="10" t="inlineStr">
        <is>
          <t>0,02 s; tra due campioni i valori sono interpolati linearmente</t>
        </is>
      </c>
      <c r="E129" s="10" t="inlineStr">
        <is>
          <t>—</t>
        </is>
      </c>
      <c r="F129" s="10" t="inlineStr">
        <is>
          <t>scelta del software</t>
        </is>
      </c>
      <c r="G129" s="10" t="inlineStr">
        <is>
          <t>scelta del software</t>
        </is>
      </c>
      <c r="H129" s="10" t="inlineStr">
        <is>
          <t>—</t>
        </is>
      </c>
      <c r="I129" s="11" t="n"/>
      <c r="J129" s="11" t="n"/>
      <c r="K129" s="11" t="n"/>
      <c r="L129" s="11" t="n"/>
      <c r="M129" s="11" t="n"/>
      <c r="N129" s="11" t="n"/>
    </row>
    <row r="130" ht="56" customHeight="1">
      <c r="A130" s="10" t="n">
        <v>128</v>
      </c>
      <c r="B130" s="10" t="inlineStr">
        <is>
          <t>Collaudo: adempimenti del DPR 162/1999 (impianto nuovo)</t>
        </is>
      </c>
      <c r="C130" s="10" t="inlineStr">
        <is>
          <t>DPR 162/1999, art. 4-bis</t>
        </is>
      </c>
      <c r="D130" s="10" t="inlineStr">
        <is>
          <t>progetto, fabbricazione, installazione e prove conformi all'All. I; documentazione tecnica e dichiarazione di conformità conservate per 10 anni</t>
        </is>
      </c>
      <c r="E130" s="10" t="inlineStr">
        <is>
          <t>DPR 162/1999, art. 4-bis</t>
        </is>
      </c>
      <c r="F130" s="10" t="inlineStr">
        <is>
          <t>ricerca, cap. 16 (testi ufficiali e schede UNI, 2026-10-02)</t>
        </is>
      </c>
      <c r="G130" s="10" t="inlineStr">
        <is>
          <t>confermato</t>
        </is>
      </c>
      <c r="H130" s="10" t="inlineStr">
        <is>
          <t>—</t>
        </is>
      </c>
      <c r="I130" s="11" t="n"/>
      <c r="J130" s="11" t="n"/>
      <c r="K130" s="11" t="n"/>
      <c r="L130" s="11" t="n"/>
      <c r="M130" s="11" t="n"/>
      <c r="N130" s="11" t="n"/>
    </row>
    <row r="131" ht="56" customHeight="1">
      <c r="A131" s="10" t="n">
        <v>129</v>
      </c>
      <c r="B131" s="10" t="inlineStr">
        <is>
          <t>Collaudo: adempimenti del DPR 162/1999 (impianto nuovo)</t>
        </is>
      </c>
      <c r="C131" s="10" t="inlineStr">
        <is>
          <t>DPR 162/1999, artt. 6-bis e 7 c.3</t>
        </is>
      </c>
      <c r="D131" s="10" t="inlineStr">
        <is>
          <t>procedura con un organismo notificato (All. V, VIII, X, XI o XII); marcatura CE in cabina con il numero dell'organismo</t>
        </is>
      </c>
      <c r="E131" s="10" t="inlineStr">
        <is>
          <t>DPR 162/1999, artt. 6-bis e 7 c.3</t>
        </is>
      </c>
      <c r="F131" s="10" t="inlineStr">
        <is>
          <t>ricerca, cap. 16 (testi ufficiali e schede UNI, 2026-10-02)</t>
        </is>
      </c>
      <c r="G131" s="10" t="inlineStr">
        <is>
          <t>confermato</t>
        </is>
      </c>
      <c r="H131" s="10" t="inlineStr">
        <is>
          <t>—</t>
        </is>
      </c>
      <c r="I131" s="11" t="n"/>
      <c r="J131" s="11" t="n"/>
      <c r="K131" s="11" t="n"/>
      <c r="L131" s="11" t="n"/>
      <c r="M131" s="11" t="n"/>
      <c r="N131" s="11" t="n"/>
    </row>
    <row r="132" ht="56" customHeight="1">
      <c r="A132" s="10" t="n">
        <v>130</v>
      </c>
      <c r="B132" s="10" t="inlineStr">
        <is>
          <t>Collaudo: adempimenti del DPR 162/1999 (impianto nuovo)</t>
        </is>
      </c>
      <c r="C132" s="10" t="inlineStr">
        <is>
          <t>DPR 162/1999, art. 12 c.1–3</t>
        </is>
      </c>
      <c r="D132" s="10" t="inlineStr">
        <is>
          <t>comunicazione al Comune entro 60 giorni dalla dichiarazione di conformità (oltre: con il verbale di una verifica straordinaria di attivazione); matricola entro 30 giorni</t>
        </is>
      </c>
      <c r="E132" s="10" t="inlineStr">
        <is>
          <t>DPR 162/1999, art. 12 c.1–3</t>
        </is>
      </c>
      <c r="F132" s="10" t="inlineStr">
        <is>
          <t>ricerca, cap. 16 (testi ufficiali e schede UNI, 2026-10-02)</t>
        </is>
      </c>
      <c r="G132" s="10" t="inlineStr">
        <is>
          <t>confermato</t>
        </is>
      </c>
      <c r="H132" s="10" t="inlineStr">
        <is>
          <t>—</t>
        </is>
      </c>
      <c r="I132" s="11" t="n"/>
      <c r="J132" s="11" t="n"/>
      <c r="K132" s="11" t="n"/>
      <c r="L132" s="11" t="n"/>
      <c r="M132" s="11" t="n"/>
      <c r="N132" s="11" t="n"/>
    </row>
    <row r="133" ht="56" customHeight="1">
      <c r="A133" s="10" t="n">
        <v>131</v>
      </c>
      <c r="B133" s="10" t="inlineStr">
        <is>
          <t>Collaudo: adempimenti del DPR 162/1999 (impianto nuovo)</t>
        </is>
      </c>
      <c r="C133" s="10" t="inlineStr">
        <is>
          <t>DPR 162/1999, artt. 13, 15 c.4 e 16 c.3</t>
        </is>
      </c>
      <c r="D133" s="10" t="inlineStr">
        <is>
          <t>verifiche periodiche ogni 2 anni; controllo dei dispositivi di sicurezza, delle funi e dell'isolamento almeno ogni 6 mesi; targa in cabina</t>
        </is>
      </c>
      <c r="E133" s="10" t="inlineStr">
        <is>
          <t>DPR 162/1999, artt. 13, 15 c.4 e 16 c.3</t>
        </is>
      </c>
      <c r="F133" s="10" t="inlineStr">
        <is>
          <t>ricerca, cap. 16 (testi ufficiali e schede UNI, 2026-10-02)</t>
        </is>
      </c>
      <c r="G133" s="10" t="inlineStr">
        <is>
          <t>confermato</t>
        </is>
      </c>
      <c r="H133" s="10" t="inlineStr">
        <is>
          <t>—</t>
        </is>
      </c>
      <c r="I133" s="11" t="n"/>
      <c r="J133" s="11" t="n"/>
      <c r="K133" s="11" t="n"/>
      <c r="L133" s="11" t="n"/>
      <c r="M133" s="11" t="n"/>
      <c r="N133" s="11" t="n"/>
    </row>
    <row r="134" ht="43" customHeight="1">
      <c r="A134" s="10" t="n">
        <v>132</v>
      </c>
      <c r="B134" s="10" t="inlineStr">
        <is>
          <t>Collaudo: adempimenti del DPR 162/1999 (modifica)</t>
        </is>
      </c>
      <c r="C134" s="10" t="inlineStr">
        <is>
          <t>DPR 162/1999, art. 2 c.1 lett. cc)</t>
        </is>
      </c>
      <c r="D134" s="10" t="inlineStr">
        <is>
          <t>la modifica è costruttiva: la sostituzione del macchinario ne è il caso n. 5)</t>
        </is>
      </c>
      <c r="E134" s="10" t="inlineStr">
        <is>
          <t>DPR 162/1999, art. 2 c.1 lett. cc)</t>
        </is>
      </c>
      <c r="F134" s="10" t="inlineStr">
        <is>
          <t>ricerca, cap. 16 (testi ufficiali e schede UNI, 2026-10-02)</t>
        </is>
      </c>
      <c r="G134" s="10" t="inlineStr">
        <is>
          <t>confermato</t>
        </is>
      </c>
      <c r="H134" s="10" t="inlineStr">
        <is>
          <t>—</t>
        </is>
      </c>
      <c r="I134" s="11" t="n"/>
      <c r="J134" s="11" t="n"/>
      <c r="K134" s="11" t="n"/>
      <c r="L134" s="11" t="n"/>
      <c r="M134" s="11" t="n"/>
      <c r="N134" s="11" t="n"/>
    </row>
    <row r="135" ht="43" customHeight="1">
      <c r="A135" s="10" t="n">
        <v>133</v>
      </c>
      <c r="B135" s="10" t="inlineStr">
        <is>
          <t>Collaudo: adempimenti del DPR 162/1999 (modifica)</t>
        </is>
      </c>
      <c r="C135" s="10" t="inlineStr">
        <is>
          <t>DPR 162/1999, art. 12 c.4</t>
        </is>
      </c>
      <c r="D135" s="10" t="inlineStr">
        <is>
          <t>prima della comunicazione, adeguamento della parte modificata o sostituita e delle altre parti interessate</t>
        </is>
      </c>
      <c r="E135" s="10" t="inlineStr">
        <is>
          <t>DPR 162/1999, art. 12 c.4</t>
        </is>
      </c>
      <c r="F135" s="10" t="inlineStr">
        <is>
          <t>ricerca, cap. 16 (testi ufficiali e schede UNI, 2026-10-02)</t>
        </is>
      </c>
      <c r="G135" s="10" t="inlineStr">
        <is>
          <t>confermato</t>
        </is>
      </c>
      <c r="H135" s="10" t="inlineStr">
        <is>
          <t>—</t>
        </is>
      </c>
      <c r="I135" s="11" t="n"/>
      <c r="J135" s="11" t="n"/>
      <c r="K135" s="11" t="n"/>
      <c r="L135" s="11" t="n"/>
      <c r="M135" s="11" t="n"/>
      <c r="N135" s="11" t="n"/>
    </row>
    <row r="136" ht="43" customHeight="1">
      <c r="A136" s="10" t="n">
        <v>134</v>
      </c>
      <c r="B136" s="10" t="inlineStr">
        <is>
          <t>Collaudo: adempimenti del DPR 162/1999 (modifica)</t>
        </is>
      </c>
      <c r="C136" s="10" t="inlineStr">
        <is>
          <t>DPR 162/1999, art. 12 c.4–5</t>
        </is>
      </c>
      <c r="D136" s="10" t="inlineStr">
        <is>
          <t>comunicazione al Comune e al soggetto delle verifiche periodiche; l'impianto non resta in esercizio senza le comunicazioni aggiornate</t>
        </is>
      </c>
      <c r="E136" s="10" t="inlineStr">
        <is>
          <t>DPR 162/1999, art. 12 c.4–5</t>
        </is>
      </c>
      <c r="F136" s="10" t="inlineStr">
        <is>
          <t>ricerca, cap. 16 (testi ufficiali e schede UNI, 2026-10-02)</t>
        </is>
      </c>
      <c r="G136" s="10" t="inlineStr">
        <is>
          <t>confermato</t>
        </is>
      </c>
      <c r="H136" s="10" t="inlineStr">
        <is>
          <t>—</t>
        </is>
      </c>
      <c r="I136" s="11" t="n"/>
      <c r="J136" s="11" t="n"/>
      <c r="K136" s="11" t="n"/>
      <c r="L136" s="11" t="n"/>
      <c r="M136" s="11" t="n"/>
      <c r="N136" s="11" t="n"/>
    </row>
    <row r="137" ht="56" customHeight="1">
      <c r="A137" s="10" t="n">
        <v>135</v>
      </c>
      <c r="B137" s="10" t="inlineStr">
        <is>
          <t>Collaudo: adempimenti del DPR 162/1999 (modifica)</t>
        </is>
      </c>
      <c r="C137" s="10" t="inlineStr">
        <is>
          <t>DPR 162/1999, art. 14 c.3</t>
        </is>
      </c>
      <c r="D137" s="10" t="inlineStr">
        <is>
          <t>verifica straordinaria da uno dei soggetti dell'art. 13 c.1, di norma limitata ai controlli sulle modifiche, con la documentazione delle modifiche e dei componenti sostituiti</t>
        </is>
      </c>
      <c r="E137" s="10" t="inlineStr">
        <is>
          <t>DPR 162/1999, art. 14 c.3</t>
        </is>
      </c>
      <c r="F137" s="10" t="inlineStr">
        <is>
          <t>ricerca, cap. 16 (testi ufficiali e schede UNI, 2026-10-02)</t>
        </is>
      </c>
      <c r="G137" s="10" t="inlineStr">
        <is>
          <t>confermato</t>
        </is>
      </c>
      <c r="H137" s="10" t="inlineStr">
        <is>
          <t>—</t>
        </is>
      </c>
      <c r="I137" s="11" t="n"/>
      <c r="J137" s="11" t="n"/>
      <c r="K137" s="11" t="n"/>
      <c r="L137" s="11" t="n"/>
      <c r="M137" s="11" t="n"/>
      <c r="N137" s="11" t="n"/>
    </row>
    <row r="138" ht="56" customHeight="1">
      <c r="A138" s="10" t="n">
        <v>136</v>
      </c>
      <c r="B138" s="10" t="inlineStr">
        <is>
          <t>Collaudo: UNI EN 81-20:2020 e UNI EN 81-50:2020</t>
        </is>
      </c>
      <c r="C138" s="10" t="inlineStr">
        <is>
          <t>DPR 162/1999, All. V 3.3 (All. VIII 4)</t>
        </is>
      </c>
      <c r="D138" s="10" t="inlineStr">
        <is>
          <t>prove dell'organismo notificato: funzionamento a vuoto e a pieno carico, in mancanza di energia, prova statica a 1,25 volte la portata e controllo che non restino deformazioni</t>
        </is>
      </c>
      <c r="E138" s="10" t="inlineStr">
        <is>
          <t>DPR 162/1999, All. V 3.3 (All. VIII 4)</t>
        </is>
      </c>
      <c r="F138" s="10" t="inlineStr">
        <is>
          <t>ricerca, cap. 16 (testi ufficiali e schede UNI, 2026-10-02)</t>
        </is>
      </c>
      <c r="G138" s="10" t="inlineStr">
        <is>
          <t>confermato</t>
        </is>
      </c>
      <c r="H138" s="10" t="inlineStr">
        <is>
          <t>—</t>
        </is>
      </c>
      <c r="I138" s="11" t="n"/>
      <c r="J138" s="11" t="n"/>
      <c r="K138" s="11" t="n"/>
      <c r="L138" s="11" t="n"/>
      <c r="M138" s="11" t="n"/>
      <c r="N138" s="11" t="n"/>
    </row>
    <row r="139" ht="56" customHeight="1">
      <c r="A139" s="10" t="n">
        <v>137</v>
      </c>
      <c r="B139" s="10" t="inlineStr">
        <is>
          <t>Collaudo: UNI EN 81-20:2020 e UNI EN 81-50:2020</t>
        </is>
      </c>
      <c r="C139" s="10" t="inlineStr">
        <is>
          <t>DPR 162/1999, All. VIII 3 e), g), h)</t>
        </is>
      </c>
      <c r="D139" s="10" t="inlineStr">
        <is>
          <t>documentazione tecnica con i risultati dei calcoli di progetto, le relazioni sulle prove e l'elenco delle norme armonizzate applicate, anche in parte</t>
        </is>
      </c>
      <c r="E139" s="10" t="inlineStr">
        <is>
          <t>DPR 162/1999, All. VIII 3 e), g), h)</t>
        </is>
      </c>
      <c r="F139" s="10" t="inlineStr">
        <is>
          <t>ricerca, cap. 16 (testi ufficiali e schede UNI, 2026-10-02)</t>
        </is>
      </c>
      <c r="G139" s="10" t="inlineStr">
        <is>
          <t>confermato</t>
        </is>
      </c>
      <c r="H139" s="10" t="inlineStr">
        <is>
          <t>—</t>
        </is>
      </c>
      <c r="I139" s="11" t="n"/>
      <c r="J139" s="11" t="n"/>
      <c r="K139" s="11" t="n"/>
      <c r="L139" s="11" t="n"/>
      <c r="M139" s="11" t="n"/>
      <c r="N139" s="11" t="n"/>
    </row>
    <row r="140" ht="56" customHeight="1">
      <c r="A140" s="10" t="n">
        <v>138</v>
      </c>
      <c r="B140" s="10" t="inlineStr">
        <is>
          <t>Collaudo: UNI EN 81-20:2020 e UNI EN 81-50:2020</t>
        </is>
      </c>
      <c r="C140" s="10" t="inlineStr">
        <is>
          <t>Regolamento (UE) 2023/1230, art. 51 par. 2</t>
        </is>
      </c>
      <c r="D140" s="10" t="inlineStr">
        <is>
          <t>per gli ascensori dichiarati conformi dal 20/01/2027: requisiti dell'All. III del Regolamento macchine (tra cui 1.1.9 e 1.2.1), con una valutazione aggiuntiva per i requisiti nuovi o cambiati</t>
        </is>
      </c>
      <c r="E140" s="10" t="inlineStr">
        <is>
          <t>Regolamento (UE) 2023/1230, art. 51 par. 2</t>
        </is>
      </c>
      <c r="F140" s="10" t="inlineStr">
        <is>
          <t>ricerca, cap. 16 (testi ufficiali e schede UNI, 2026-10-02)</t>
        </is>
      </c>
      <c r="G140" s="10" t="inlineStr">
        <is>
          <t>confermato</t>
        </is>
      </c>
      <c r="H140" s="10" t="inlineStr">
        <is>
          <t>—</t>
        </is>
      </c>
      <c r="I140" s="11" t="n"/>
      <c r="J140" s="11" t="n"/>
      <c r="K140" s="11" t="n"/>
      <c r="L140" s="11" t="n"/>
      <c r="M140" s="11" t="n"/>
      <c r="N140" s="11" t="n"/>
    </row>
    <row r="141" ht="82" customHeight="1">
      <c r="A141" s="10" t="n">
        <v>139</v>
      </c>
      <c r="B141" s="10" t="inlineStr">
        <is>
          <t>Collaudo: UNI EN 81-20:2020 e UNI EN 81-50:2020</t>
        </is>
      </c>
      <c r="C141" s="10" t="inlineStr">
        <is>
          <t>UNI EN 81-50:2020, 5.12.1 e 5.12.2.1</t>
        </is>
      </c>
      <c r="D141"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141" s="10" t="inlineStr">
        <is>
          <t>UNI EN 81-50:2020, 5.12.1 e 5.12.2.1</t>
        </is>
      </c>
      <c r="F141" s="10" t="inlineStr">
        <is>
          <t>ricerca, cap. 16 (testi ufficiali e schede UNI, 2026-10-02)</t>
        </is>
      </c>
      <c r="G141" s="10" t="inlineStr">
        <is>
          <t>confermato</t>
        </is>
      </c>
      <c r="H141" s="10" t="inlineStr">
        <is>
          <t>—</t>
        </is>
      </c>
      <c r="I141" s="11" t="n"/>
      <c r="J141" s="11" t="n"/>
      <c r="K141" s="11" t="n"/>
      <c r="L141" s="11" t="n"/>
      <c r="M141" s="11" t="n"/>
      <c r="N141" s="11" t="n"/>
    </row>
    <row r="142" ht="43" customHeight="1">
      <c r="A142" s="10" t="n">
        <v>140</v>
      </c>
      <c r="B142" s="10" t="inlineStr">
        <is>
          <t>Collaudo: UNI EN 81-20:2020 e UNI EN 81-50:2020</t>
        </is>
      </c>
      <c r="C142" s="10" t="inlineStr">
        <is>
          <t>UNI EN 81-20:2020, 5.6.2.2.1.2</t>
        </is>
      </c>
      <c r="D142" s="10" t="inlineStr">
        <is>
          <t>tempo di risposta del limitatore di velocità: i suoi punti d'intervento distano al massimo 250 mm di corsa della fune del limitatore</t>
        </is>
      </c>
      <c r="E142" s="10" t="inlineStr">
        <is>
          <t>UNI EN 81-20:2020, 5.6.2.2.1.2</t>
        </is>
      </c>
      <c r="F142" s="10" t="inlineStr">
        <is>
          <t>ricerca, cap. 16 (testi ufficiali e schede UNI, 2026-10-02)</t>
        </is>
      </c>
      <c r="G142" s="10" t="inlineStr">
        <is>
          <t>confermato</t>
        </is>
      </c>
      <c r="H142" s="10" t="inlineStr">
        <is>
          <t>—</t>
        </is>
      </c>
      <c r="I142" s="11" t="n"/>
      <c r="J142" s="11" t="n"/>
      <c r="K142" s="11" t="n"/>
      <c r="L142" s="11" t="n"/>
      <c r="M142" s="11" t="n"/>
      <c r="N142" s="11" t="n"/>
    </row>
    <row r="143" ht="56" customHeight="1">
      <c r="A143" s="10" t="n">
        <v>141</v>
      </c>
      <c r="B143" s="10" t="inlineStr">
        <is>
          <t>Collaudo: UNI EN 81-20:2020 e UNI EN 81-50:2020</t>
        </is>
      </c>
      <c r="C143" s="10" t="inlineStr">
        <is>
          <t>UNI EN 81-20:2020, 5.8.2.1.2.1 e 5.8.2.2.3</t>
        </is>
      </c>
      <c r="D143" s="10" t="inlineStr">
        <is>
          <t>ammortizzatori (dato del fornitore): decelerazione non oltre 1 gn, sopra 2,5 gn al massimo per 0,04 s; per quelli ad accumulo non lineari anche picco non oltre 6 gn e rimbalzo non oltre 1 m/s</t>
        </is>
      </c>
      <c r="E143" s="10" t="inlineStr">
        <is>
          <t>UNI EN 81-20:2020, 5.8.2.1.2.1 e 5.8.2.2.3</t>
        </is>
      </c>
      <c r="F143" s="10" t="inlineStr">
        <is>
          <t>ricerca, cap. 16 (testi ufficiali e schede UNI, 2026-10-02)</t>
        </is>
      </c>
      <c r="G143" s="10" t="inlineStr">
        <is>
          <t>confermato</t>
        </is>
      </c>
      <c r="H143" s="10" t="inlineStr">
        <is>
          <t>—</t>
        </is>
      </c>
      <c r="I143" s="11" t="n"/>
      <c r="J143" s="11" t="n"/>
      <c r="K143" s="11" t="n"/>
      <c r="L143" s="11" t="n"/>
      <c r="M143" s="11" t="n"/>
      <c r="N143" s="11" t="n"/>
    </row>
    <row r="144" ht="69" customHeight="1">
      <c r="A144" s="10" t="n">
        <v>142</v>
      </c>
      <c r="B144" s="10" t="inlineStr">
        <is>
          <t>Collaudo: UNI EN 81-20:2020 e UNI EN 81-50:2020</t>
        </is>
      </c>
      <c r="C144" s="10" t="inlineStr">
        <is>
          <t>UNI EN 81-20:2020, 5.2.5.7.1</t>
        </is>
      </c>
      <c r="D144" s="10" t="inlineStr">
        <is>
          <t>cartello sopra o accanto allo schermo del contrappeso (5.2.5.5.1) con il gioco massimo ammesso tra contrappeso e ammortizzatore con la cabina al piano più alto, per conservare gli spazi in testata</t>
        </is>
      </c>
      <c r="E144" s="10" t="inlineStr">
        <is>
          <t>UNI EN 81-20:2020, 5.2.5.7.1</t>
        </is>
      </c>
      <c r="F144" s="10" t="inlineStr">
        <is>
          <t>ricerca, cap. 16 (testi ufficiali e schede UNI, 2026-10-02)</t>
        </is>
      </c>
      <c r="G144" s="10" t="inlineStr">
        <is>
          <t>confermato</t>
        </is>
      </c>
      <c r="H144" s="10" t="inlineStr">
        <is>
          <t>—</t>
        </is>
      </c>
      <c r="I144" s="11" t="n"/>
      <c r="J144" s="11" t="n"/>
      <c r="K144" s="11" t="n"/>
      <c r="L144" s="11" t="n"/>
      <c r="M144" s="11" t="n"/>
      <c r="N144" s="11" t="n"/>
    </row>
    <row r="145" ht="43" customHeight="1">
      <c r="A145" s="10" t="n">
        <v>143</v>
      </c>
      <c r="B145" s="10" t="inlineStr">
        <is>
          <t>Collaudo: UNI EN 81-20:2020 e UNI EN 81-50:2020</t>
        </is>
      </c>
      <c r="C145" s="10" t="inlineStr">
        <is>
          <t>UNI EN 81-20:2020, 5.2.2.4</t>
        </is>
      </c>
      <c r="D145" s="10" t="inlineStr">
        <is>
          <t>fossa più profonda di 2,50 m: porta di accesso; fino a 2,50 m porta di accesso oppure scala dentro il vano (appendice F)</t>
        </is>
      </c>
      <c r="E145" s="10" t="inlineStr">
        <is>
          <t>UNI EN 81-20:2020, 5.2.2.4</t>
        </is>
      </c>
      <c r="F145" s="10" t="inlineStr">
        <is>
          <t>ricerca, cap. 16 (testi ufficiali e schede UNI, 2026-10-02)</t>
        </is>
      </c>
      <c r="G145" s="10" t="inlineStr">
        <is>
          <t>confermato</t>
        </is>
      </c>
      <c r="H145" s="10" t="inlineStr">
        <is>
          <t>—</t>
        </is>
      </c>
      <c r="I145" s="11" t="n"/>
      <c r="J145" s="11" t="n"/>
      <c r="K145" s="11" t="n"/>
      <c r="L145" s="11" t="n"/>
      <c r="M145" s="11" t="n"/>
      <c r="N145" s="11" t="n"/>
    </row>
    <row r="146" ht="43" customHeight="1">
      <c r="A146" s="10" t="n">
        <v>144</v>
      </c>
      <c r="B146" s="10" t="inlineStr">
        <is>
          <t>Collaudo: UNI EN 81-20:2020 e UNI EN 81-50:2020</t>
        </is>
      </c>
      <c r="C146" s="10" t="inlineStr">
        <is>
          <t>UNI EN 81-20:2020, 5.2.1.5.1 b)</t>
        </is>
      </c>
      <c r="D146" s="10" t="inlineStr">
        <is>
          <t>in fossa un commutatore di ispezione fisso, manovrabile da non oltre 0,30 m da uno spazio di rifugio</t>
        </is>
      </c>
      <c r="E146" s="10" t="inlineStr">
        <is>
          <t>UNI EN 81-20:2020, 5.2.1.5.1 b)</t>
        </is>
      </c>
      <c r="F146" s="10" t="inlineStr">
        <is>
          <t>ricerca, cap. 16 (testi ufficiali e schede UNI, 2026-10-02)</t>
        </is>
      </c>
      <c r="G146" s="10" t="inlineStr">
        <is>
          <t>confermato</t>
        </is>
      </c>
      <c r="H146" s="10" t="inlineStr">
        <is>
          <t>—</t>
        </is>
      </c>
      <c r="I146" s="11" t="n"/>
      <c r="J146" s="11" t="n"/>
      <c r="K146" s="11" t="n"/>
      <c r="L146" s="11" t="n"/>
      <c r="M146" s="11" t="n"/>
      <c r="N146" s="11" t="n"/>
    </row>
    <row r="147" ht="43" customHeight="1">
      <c r="A147" s="10" t="n">
        <v>145</v>
      </c>
      <c r="B147" s="10" t="inlineStr">
        <is>
          <t>Collaudo: UNI EN 81-20:2020 e UNI EN 81-50:2020</t>
        </is>
      </c>
      <c r="C147" s="10" t="inlineStr">
        <is>
          <t>UNI EN 81-20:2020, 5.2.5.7.1 e 5.2.5.8.1</t>
        </is>
      </c>
      <c r="D147" s="10" t="inlineStr">
        <is>
          <t>uno spazio di rifugio per ogni persona, tutti dello stesso tipo e senza sovrapposizioni; cartello con il numero di persone ammesse e la postura</t>
        </is>
      </c>
      <c r="E147" s="10" t="inlineStr">
        <is>
          <t>UNI EN 81-20:2020, 5.2.5.7.1 e 5.2.5.8.1</t>
        </is>
      </c>
      <c r="F147" s="10" t="inlineStr">
        <is>
          <t>ricerca, cap. 16 (testi ufficiali e schede UNI, 2026-10-02)</t>
        </is>
      </c>
      <c r="G147" s="10" t="inlineStr">
        <is>
          <t>confermato</t>
        </is>
      </c>
      <c r="H147" s="10" t="inlineStr">
        <is>
          <t>—</t>
        </is>
      </c>
      <c r="I147" s="11" t="n"/>
      <c r="J147" s="11" t="n"/>
      <c r="K147" s="11" t="n"/>
      <c r="L147" s="11" t="n"/>
      <c r="M147" s="11" t="n"/>
      <c r="N147" s="11" t="n"/>
    </row>
    <row r="148" ht="69" customHeight="1">
      <c r="A148" s="10" t="n">
        <v>146</v>
      </c>
      <c r="B148" s="10" t="inlineStr">
        <is>
          <t>Collaudo: UNI EN 81-20:2020 e UNI EN 81-50:2020</t>
        </is>
      </c>
      <c r="C148" s="10" t="inlineStr">
        <is>
          <t>UNI EN 81-20:2020, 5.2.1.4.1</t>
        </is>
      </c>
      <c r="D148" s="10" t="inlineStr">
        <is>
          <t>illuminazione del vano: almeno 50 lux a 1 m sopra il tetto della cabina nella sua proiezione e a 1 m sopra il fondo della fossa dove si sta, si lavora o si passa tra le zone di lavoro; almeno 20 lux altrove</t>
        </is>
      </c>
      <c r="E148" s="10" t="inlineStr">
        <is>
          <t>UNI EN 81-20:2020, 5.2.1.4.1</t>
        </is>
      </c>
      <c r="F148" s="10" t="inlineStr">
        <is>
          <t>ricerca, cap. 16 (testi ufficiali e schede UNI, 2026-10-02)</t>
        </is>
      </c>
      <c r="G148" s="10" t="inlineStr">
        <is>
          <t>confermato</t>
        </is>
      </c>
      <c r="H148" s="10" t="inlineStr">
        <is>
          <t>—</t>
        </is>
      </c>
      <c r="I148" s="11" t="n"/>
      <c r="J148" s="11" t="n"/>
      <c r="K148" s="11" t="n"/>
      <c r="L148" s="11" t="n"/>
      <c r="M148" s="11" t="n"/>
      <c r="N148" s="11" t="n"/>
    </row>
    <row r="149" ht="56" customHeight="1">
      <c r="A149" s="10" t="n">
        <v>147</v>
      </c>
      <c r="B149" s="10" t="inlineStr">
        <is>
          <t>Collaudo: UNI EN 81-20:2020 e UNI EN 81-50:2020</t>
        </is>
      </c>
      <c r="C149" s="10" t="inlineStr">
        <is>
          <t>UNI EN 81-20:2020, 5.4.10.1 e 5.4.10.4</t>
        </is>
      </c>
      <c r="D149" s="10" t="inlineStr">
        <is>
          <t>luce in cabina almeno 100 lux sui comandi e a 1 m dal pavimento; luce di emergenza di almeno 5 lux per un'ora presso gli allarmi in cabina e sul tetto e al centro di cabina e tetto, a 1 m</t>
        </is>
      </c>
      <c r="E149" s="10" t="inlineStr">
        <is>
          <t>UNI EN 81-20:2020, 5.4.10.1 e 5.4.10.4</t>
        </is>
      </c>
      <c r="F149" s="10" t="inlineStr">
        <is>
          <t>ricerca, cap. 16 (testi ufficiali e schede UNI, 2026-10-02)</t>
        </is>
      </c>
      <c r="G149" s="10" t="inlineStr">
        <is>
          <t>confermato</t>
        </is>
      </c>
      <c r="H149" s="10" t="inlineStr">
        <is>
          <t>—</t>
        </is>
      </c>
      <c r="I149" s="11" t="n"/>
      <c r="J149" s="11" t="n"/>
      <c r="K149" s="11" t="n"/>
      <c r="L149" s="11" t="n"/>
      <c r="M149" s="11" t="n"/>
      <c r="N149" s="11" t="n"/>
    </row>
    <row r="150" ht="43" customHeight="1">
      <c r="A150" s="10" t="n">
        <v>148</v>
      </c>
      <c r="B150" s="10" t="inlineStr">
        <is>
          <t>Collaudo: UNI EN 81-20:2020 e UNI EN 81-50:2020</t>
        </is>
      </c>
      <c r="C150" s="10" t="inlineStr">
        <is>
          <t>UNI EN 81-20:2020, 5.4.4</t>
        </is>
      </c>
      <c r="D150" s="10" t="inlineStr">
        <is>
          <t>materiali della cabina secondo EN 13501-1: pavimento Cfl-s2, pareti C-s2,d1, soffitto C-s2,d0</t>
        </is>
      </c>
      <c r="E150" s="10" t="inlineStr">
        <is>
          <t>UNI EN 81-20:2020, 5.4.4</t>
        </is>
      </c>
      <c r="F150" s="10" t="inlineStr">
        <is>
          <t>ricerca, cap. 16 (testi ufficiali e schede UNI, 2026-10-02)</t>
        </is>
      </c>
      <c r="G150" s="10" t="inlineStr">
        <is>
          <t>confermato</t>
        </is>
      </c>
      <c r="H150" s="10" t="inlineStr">
        <is>
          <t>—</t>
        </is>
      </c>
      <c r="I150" s="11" t="n"/>
      <c r="J150" s="11" t="n"/>
      <c r="K150" s="11" t="n"/>
      <c r="L150" s="11" t="n"/>
      <c r="M150" s="11" t="n"/>
      <c r="N150" s="11" t="n"/>
    </row>
    <row r="151" ht="108" customHeight="1">
      <c r="A151" s="10" t="n">
        <v>149</v>
      </c>
      <c r="B151" s="10" t="inlineStr">
        <is>
          <t>Collaudo: UNI EN 81-20:2020 e UNI EN 81-50:2020</t>
        </is>
      </c>
      <c r="C151" s="10" t="inlineStr">
        <is>
          <t>UNI EN 81-20:2020, 5.3.5.3.2, 5.3.5.3.4, 5.3.6.2.2.1 b) e 5.3.15.2 b)</t>
        </is>
      </c>
      <c r="D151"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151" s="10" t="inlineStr">
        <is>
          <t>UNI EN 81-20:2020, 5.3.5.3.2, 5.3.5.3.4, 5.3.6.2.2.1 b) e 5.3.15.2 b)</t>
        </is>
      </c>
      <c r="F151" s="10" t="inlineStr">
        <is>
          <t>ricerca, cap. 16 (testi ufficiali e schede UNI, 2026-10-02)</t>
        </is>
      </c>
      <c r="G151" s="10" t="inlineStr">
        <is>
          <t>confermato</t>
        </is>
      </c>
      <c r="H151" s="10" t="inlineStr">
        <is>
          <t>—</t>
        </is>
      </c>
      <c r="I151" s="11" t="n"/>
      <c r="J151" s="11" t="n"/>
      <c r="K151" s="11" t="n"/>
      <c r="L151" s="11" t="n"/>
      <c r="M151" s="11" t="n"/>
      <c r="N151" s="11" t="n"/>
    </row>
    <row r="152" ht="56" customHeight="1">
      <c r="A152" s="10" t="n">
        <v>150</v>
      </c>
      <c r="B152" s="10" t="inlineStr">
        <is>
          <t>Collaudo: UNI 10411-1:2024</t>
        </is>
      </c>
      <c r="C152" s="10" t="inlineStr">
        <is>
          <t>UNI 10411-1:2024, scopo</t>
        </is>
      </c>
      <c r="D152" s="10" t="inlineStr">
        <is>
          <t>ascensori elettrici a frizione non conformi alla 95/16/CE né alla 2014/33/UE; esclude le modifiche che cambiano le misure antincendio (valgono il DM 15/09/2005 o il Codice V.3)</t>
        </is>
      </c>
      <c r="E152" s="10" t="inlineStr">
        <is>
          <t>UNI 10411-1:2024, scopo</t>
        </is>
      </c>
      <c r="F152" s="10" t="inlineStr">
        <is>
          <t>ricerca, cap. 16 (testi ufficiali e schede UNI, 2026-10-02)</t>
        </is>
      </c>
      <c r="G152" s="10" t="inlineStr">
        <is>
          <t>confermato</t>
        </is>
      </c>
      <c r="H152" s="10" t="inlineStr">
        <is>
          <t>—</t>
        </is>
      </c>
      <c r="I152" s="11" t="n"/>
      <c r="J152" s="11" t="n"/>
      <c r="K152" s="11" t="n"/>
      <c r="L152" s="11" t="n"/>
      <c r="M152" s="11" t="n"/>
      <c r="N152" s="11" t="n"/>
    </row>
    <row r="153" ht="56" customHeight="1">
      <c r="A153" s="10" t="n">
        <v>151</v>
      </c>
      <c r="B153" s="10" t="inlineStr">
        <is>
          <t>Collaudo: UNI 10411-11:2024</t>
        </is>
      </c>
      <c r="C153" s="10" t="inlineStr">
        <is>
          <t>UNI 10411-11:2024, scopo</t>
        </is>
      </c>
      <c r="D153" s="10" t="inlineStr">
        <is>
          <t>ascensori elettrici a frizione conformi alla Direttiva Ascensori; esclude le modifiche che cambiano le misure antincendio (valgono il DM 15/09/2005 o il Codice V.3)</t>
        </is>
      </c>
      <c r="E153" s="10" t="inlineStr">
        <is>
          <t>UNI 10411-11:2024, scopo</t>
        </is>
      </c>
      <c r="F153" s="10" t="inlineStr">
        <is>
          <t>ricerca, cap. 16 (testi ufficiali e schede UNI, 2026-10-02)</t>
        </is>
      </c>
      <c r="G153" s="10" t="inlineStr">
        <is>
          <t>confermato</t>
        </is>
      </c>
      <c r="H153" s="10" t="inlineStr">
        <is>
          <t>—</t>
        </is>
      </c>
      <c r="I153" s="11" t="n"/>
      <c r="J153" s="11" t="n"/>
      <c r="K153" s="11" t="n"/>
      <c r="L153" s="11" t="n"/>
      <c r="M153" s="11" t="n"/>
      <c r="N153" s="11" t="n"/>
    </row>
    <row r="154" ht="108" customHeight="1">
      <c r="A154" s="10" t="n">
        <v>152</v>
      </c>
      <c r="B154" s="10" t="inlineStr">
        <is>
          <t>Collaudo: UNI 10411-11:2024</t>
        </is>
      </c>
      <c r="C154" s="10" t="inlineStr">
        <is>
          <t>UNI 10411-11:2024, 14.3 a) e App. A (14); UNI EN 81-20:2020, 5.6.6.2 e 5.6.7.3</t>
        </is>
      </c>
      <c r="D154" s="10" t="inlineStr">
        <is>
          <t>cambiando la macchina con protezioni ACOP o UCM esistenti: la modifica ne deve garantire il funzionamento, con una relazione sulla compatibilità della nuova macchina, oppure nuovi dispositivi con certificato di esame di tipo e dichiarazione di conformità; il freno della macchina vale come organo d'arresto solo se ridondante e autocontrollato</t>
        </is>
      </c>
      <c r="E154" s="10" t="inlineStr">
        <is>
          <t>UNI 10411-11:2024, 14.3 a) e App. A (14); UNI EN 81-20:2020, 5.6.6.2 e 5.6.7.3</t>
        </is>
      </c>
      <c r="F154" s="10" t="inlineStr">
        <is>
          <t>ricerca, cap. 16 (testi ufficiali e schede UNI, 2026-10-02)</t>
        </is>
      </c>
      <c r="G154" s="10" t="inlineStr">
        <is>
          <t>confermato</t>
        </is>
      </c>
      <c r="H154" s="10" t="inlineStr">
        <is>
          <t>—</t>
        </is>
      </c>
      <c r="I154" s="11" t="n"/>
      <c r="J154" s="11" t="n"/>
      <c r="K154" s="11" t="n"/>
      <c r="L154" s="11" t="n"/>
      <c r="M154" s="11" t="n"/>
      <c r="N154" s="11" t="n"/>
    </row>
    <row r="155" ht="69" customHeight="1">
      <c r="A155" s="10" t="n">
        <v>153</v>
      </c>
      <c r="B155" s="10" t="inlineStr">
        <is>
          <t>Collaudo: UNI EN 81-21:2022 (ascensori nuovi in edifici esistenti)</t>
        </is>
      </c>
      <c r="C155" s="10" t="inlineStr">
        <is>
          <t>UNI EN 81-21:2022, 1</t>
        </is>
      </c>
      <c r="D155" s="10" t="inlineStr">
        <is>
          <t>ascensori installati in un edificio esistente quando vincoli dell'edificio impediscono di soddisfare alcuni requisiti della UNI EN 81-20:2020; non si applica agli ascensori installati prima della sua pubblicazione</t>
        </is>
      </c>
      <c r="E155" s="10" t="inlineStr">
        <is>
          <t>UNI EN 81-21:2022, 1</t>
        </is>
      </c>
      <c r="F155" s="10" t="inlineStr">
        <is>
          <t>ricerca, cap. 16 (testi ufficiali e schede UNI, 2026-10-02)</t>
        </is>
      </c>
      <c r="G155" s="10" t="inlineStr">
        <is>
          <t>confermato</t>
        </is>
      </c>
      <c r="H155" s="10" t="inlineStr">
        <is>
          <t>—</t>
        </is>
      </c>
      <c r="I155" s="11" t="n"/>
      <c r="J155" s="11" t="n"/>
      <c r="K155" s="11" t="n"/>
      <c r="L155" s="11" t="n"/>
      <c r="M155" s="11" t="n"/>
      <c r="N155" s="11" t="n"/>
    </row>
    <row r="156" ht="82" customHeight="1">
      <c r="A156" s="10" t="n">
        <v>154</v>
      </c>
      <c r="B156" s="10" t="inlineStr">
        <is>
          <t>Collaudo: UNI EN 81-21:2022 (ascensori nuovi in edifici esistenti)</t>
        </is>
      </c>
      <c r="C156" s="10" t="inlineStr">
        <is>
          <t>DPR 162/1999, art. 17-bis; DM 19/03/2015; linee guida MIMIT 2022</t>
        </is>
      </c>
      <c r="D156"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56" s="10" t="inlineStr">
        <is>
          <t>DPR 162/1999, art. 17-bis; DM 19/03/2015; linee guida MIMIT 2022</t>
        </is>
      </c>
      <c r="F156" s="10" t="inlineStr">
        <is>
          <t>ricerca, cap. 16 (testi ufficiali e schede UNI, 2026-10-02)</t>
        </is>
      </c>
      <c r="G156" s="10" t="inlineStr">
        <is>
          <t>confermato</t>
        </is>
      </c>
      <c r="H156" s="10" t="inlineStr">
        <is>
          <t>—</t>
        </is>
      </c>
      <c r="I156" s="11" t="n"/>
      <c r="J156" s="11" t="n"/>
      <c r="K156" s="11" t="n"/>
      <c r="L156" s="11" t="n"/>
      <c r="M156" s="11" t="n"/>
      <c r="N156" s="11" t="n"/>
    </row>
    <row r="157" ht="69" customHeight="1">
      <c r="A157" s="10" t="n">
        <v>155</v>
      </c>
      <c r="B157" s="10" t="inlineStr">
        <is>
          <t>Collaudo: UNI EN 81-28:2022 (teleallarme)</t>
        </is>
      </c>
      <c r="C157" s="10" t="inlineStr">
        <is>
          <t>UNI EN 81-28:2022</t>
        </is>
      </c>
      <c r="D157" s="10" t="inlineStr">
        <is>
          <t>teleallarme verso un servizio di soccorso: requisiti da verificare sul testo della norma (la UNI EN 81-28:2004 letta si applica agli impianti montati dopo la sua pubblicazione e vale da riferimento per gli esistenti, punto 1)</t>
        </is>
      </c>
      <c r="E157" s="10" t="inlineStr">
        <is>
          <t>UNI EN 81-28:2022</t>
        </is>
      </c>
      <c r="F157" s="10" t="inlineStr">
        <is>
          <t>ricerca, cap. 16 (testi ufficiali e schede UNI, 2026-10-02)</t>
        </is>
      </c>
      <c r="G157" s="10" t="inlineStr">
        <is>
          <t>da verificare</t>
        </is>
      </c>
      <c r="H157" s="10" t="inlineStr">
        <is>
          <t>—</t>
        </is>
      </c>
      <c r="I157" s="11" t="n"/>
      <c r="J157" s="11" t="n"/>
      <c r="K157" s="11" t="n"/>
      <c r="L157" s="11" t="n"/>
      <c r="M157" s="11" t="n"/>
      <c r="N157" s="11" t="n"/>
    </row>
    <row r="158" ht="69" customHeight="1">
      <c r="A158" s="10" t="n">
        <v>156</v>
      </c>
      <c r="B158" s="10" t="inlineStr">
        <is>
          <t>Collaudo: UNI EN 81-58:2022 (resistenza al fuoco delle porte di piano)</t>
        </is>
      </c>
      <c r="C158" s="10" t="inlineStr">
        <is>
          <t>UNI EN 81-58:2022; DM 15/09/2005, 3.2–3.3 e art. 1 c.2 lett. c)</t>
        </is>
      </c>
      <c r="D158" s="10" t="inlineStr">
        <is>
          <t>porte di piano resistenti al fuoco (classi E, EI, EW) provate secondo la norma, quando fanno parte della compartimentazione del vano; sostituirle con modelli diversi è una modifica sostanziale ai fini antincendio</t>
        </is>
      </c>
      <c r="E158" s="10" t="inlineStr">
        <is>
          <t>UNI EN 81-58:2022; DM 15/09/2005, 3.2–3.3 e art. 1 c.2 lett. c)</t>
        </is>
      </c>
      <c r="F158" s="10" t="inlineStr">
        <is>
          <t>ricerca, cap. 16 (testi ufficiali e schede UNI, 2026-10-02)</t>
        </is>
      </c>
      <c r="G158" s="10" t="inlineStr">
        <is>
          <t>confermato</t>
        </is>
      </c>
      <c r="H158" s="10" t="inlineStr">
        <is>
          <t>—</t>
        </is>
      </c>
      <c r="I158" s="11" t="n"/>
      <c r="J158" s="11" t="n"/>
      <c r="K158" s="11" t="n"/>
      <c r="L158" s="11" t="n"/>
      <c r="M158" s="11" t="n"/>
      <c r="N158" s="11" t="n"/>
    </row>
    <row r="159" ht="95" customHeight="1">
      <c r="A159" s="10" t="n">
        <v>157</v>
      </c>
      <c r="B159" s="10" t="inlineStr">
        <is>
          <t>Collaudo: UNI EN 81-70:2022 (accessibilità)</t>
        </is>
      </c>
      <c r="C159" s="10" t="inlineStr">
        <is>
          <t>UNI EN 81-70:2022, 5.3.1</t>
        </is>
      </c>
      <c r="D159"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159" s="10" t="inlineStr">
        <is>
          <t>UNI EN 81-70:2022, 5.3.1</t>
        </is>
      </c>
      <c r="F159" s="10" t="inlineStr">
        <is>
          <t>ricerca, cap. 16 (testi ufficiali e schede UNI, 2026-10-02)</t>
        </is>
      </c>
      <c r="G159" s="10" t="inlineStr">
        <is>
          <t>da verificare</t>
        </is>
      </c>
      <c r="H159" s="10" t="inlineStr">
        <is>
          <t>—</t>
        </is>
      </c>
      <c r="I159" s="11" t="n"/>
      <c r="J159" s="11" t="n"/>
      <c r="K159" s="11" t="n"/>
      <c r="L159" s="11" t="n"/>
      <c r="M159" s="11" t="n"/>
      <c r="N159" s="11" t="n"/>
    </row>
    <row r="160" ht="95" customHeight="1">
      <c r="A160" s="10" t="n">
        <v>158</v>
      </c>
      <c r="B160" s="10" t="inlineStr">
        <is>
          <t>Collaudo: UNI EN 81-70:2022 (accessibilità)</t>
        </is>
      </c>
      <c r="C160" s="10" t="inlineStr">
        <is>
          <t>UNI EN 81-70:2022, 5.3.2 e 5.4</t>
        </is>
      </c>
      <c r="D160"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160" s="10" t="inlineStr">
        <is>
          <t>UNI EN 81-70:2022, 5.3.2 e 5.4</t>
        </is>
      </c>
      <c r="F160" s="10" t="inlineStr">
        <is>
          <t>ricerca, cap. 16 (testi ufficiali e schede UNI, 2026-10-02)</t>
        </is>
      </c>
      <c r="G160" s="10" t="inlineStr">
        <is>
          <t>da verificare</t>
        </is>
      </c>
      <c r="H160" s="10" t="inlineStr">
        <is>
          <t>—</t>
        </is>
      </c>
      <c r="I160" s="11" t="n"/>
      <c r="J160" s="11" t="n"/>
      <c r="K160" s="11" t="n"/>
      <c r="L160" s="11" t="n"/>
      <c r="M160" s="11" t="n"/>
      <c r="N160" s="11" t="n"/>
    </row>
    <row r="161" ht="43" customHeight="1">
      <c r="A161" s="10" t="n">
        <v>159</v>
      </c>
      <c r="B161" s="10" t="inlineStr">
        <is>
          <t>Collaudo: UNI EN 81-70:2022 (accessibilità)</t>
        </is>
      </c>
      <c r="C161" s="10" t="inlineStr">
        <is>
          <t>UNI EN 81-70:2022, scopo</t>
        </is>
      </c>
      <c r="D161" s="10" t="inlineStr">
        <is>
          <t>si usa con la UNI EN 81-20:2020; per gli impianti esistenti vale la UNI EN 81-82</t>
        </is>
      </c>
      <c r="E161" s="10" t="inlineStr">
        <is>
          <t>UNI EN 81-70:2022, scopo</t>
        </is>
      </c>
      <c r="F161" s="10" t="inlineStr">
        <is>
          <t>ricerca, cap. 16 (testi ufficiali e schede UNI, 2026-10-02)</t>
        </is>
      </c>
      <c r="G161" s="10" t="inlineStr">
        <is>
          <t>confermato</t>
        </is>
      </c>
      <c r="H161" s="10" t="inlineStr">
        <is>
          <t>—</t>
        </is>
      </c>
      <c r="I161" s="11" t="n"/>
      <c r="J161" s="11" t="n"/>
      <c r="K161" s="11" t="n"/>
      <c r="L161" s="11" t="n"/>
      <c r="M161" s="11" t="n"/>
      <c r="N161" s="11" t="n"/>
    </row>
    <row r="162" ht="43" customHeight="1">
      <c r="A162" s="10" t="n">
        <v>160</v>
      </c>
      <c r="B162" s="10" t="inlineStr">
        <is>
          <t>Collaudo: UNI EN 81-71 (ascensori antivandalo)</t>
        </is>
      </c>
      <c r="C162" s="10" t="inlineStr">
        <is>
          <t>UNI EN 81-71</t>
        </is>
      </c>
      <c r="D162" s="10" t="inlineStr">
        <is>
          <t>categoria antivandalo da concordare con il committente; per la presunzione di conformità vale l'edizione 2005+A1:2006</t>
        </is>
      </c>
      <c r="E162" s="10" t="inlineStr">
        <is>
          <t>UNI EN 81-71</t>
        </is>
      </c>
      <c r="F162" s="10" t="inlineStr">
        <is>
          <t>ricerca, cap. 16 (testi ufficiali e schede UNI, 2026-10-02)</t>
        </is>
      </c>
      <c r="G162" s="10" t="inlineStr">
        <is>
          <t>confermato</t>
        </is>
      </c>
      <c r="H162" s="10" t="inlineStr">
        <is>
          <t>—</t>
        </is>
      </c>
      <c r="I162" s="11" t="n"/>
      <c r="J162" s="11" t="n"/>
      <c r="K162" s="11" t="n"/>
      <c r="L162" s="11" t="n"/>
      <c r="M162" s="11" t="n"/>
      <c r="N162" s="11" t="n"/>
    </row>
    <row r="163" ht="108" customHeight="1">
      <c r="A163" s="10" t="n">
        <v>161</v>
      </c>
      <c r="B163" s="10" t="inlineStr">
        <is>
          <t>Collaudo: UNI EN 81-72:2020 (ascensori antincendio)</t>
        </is>
      </c>
      <c r="C163" s="10" t="inlineStr">
        <is>
          <t>DM 15/09/2005, punto 7; Codice V.3.3.4</t>
        </is>
      </c>
      <c r="D163"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163" s="10" t="inlineStr">
        <is>
          <t>DM 15/09/2005, punto 7; Codice V.3.3.4</t>
        </is>
      </c>
      <c r="F163" s="10" t="inlineStr">
        <is>
          <t>ricerca, cap. 16 (testi ufficiali e schede UNI, 2026-10-02)</t>
        </is>
      </c>
      <c r="G163" s="10" t="inlineStr">
        <is>
          <t>confermato</t>
        </is>
      </c>
      <c r="H163" s="10" t="inlineStr">
        <is>
          <t>—</t>
        </is>
      </c>
      <c r="I163" s="11" t="n"/>
      <c r="J163" s="11" t="n"/>
      <c r="K163" s="11" t="n"/>
      <c r="L163" s="11" t="n"/>
      <c r="M163" s="11" t="n"/>
      <c r="N163" s="11" t="n"/>
    </row>
    <row r="164" ht="56" customHeight="1">
      <c r="A164" s="10" t="n">
        <v>162</v>
      </c>
      <c r="B164" s="10" t="inlineStr">
        <is>
          <t>Collaudo: UNI EN 81-72:2020 (ascensori antincendio)</t>
        </is>
      </c>
      <c r="C164" s="10" t="inlineStr">
        <is>
          <t>Codice S.10, Tab. S.10-2</t>
        </is>
      </c>
      <c r="D164" s="10" t="inlineStr">
        <is>
          <t>alimentazione di sicurezza dell'ascensore antincendio: interruzione al massimo 15 s, autonomia oltre 30 min</t>
        </is>
      </c>
      <c r="E164" s="10" t="inlineStr">
        <is>
          <t>Codice S.10, Tab. S.10-2</t>
        </is>
      </c>
      <c r="F164" s="10" t="inlineStr">
        <is>
          <t>ricerca, cap. 16 (testi ufficiali e schede UNI, 2026-10-02)</t>
        </is>
      </c>
      <c r="G164" s="10" t="inlineStr">
        <is>
          <t>confermato</t>
        </is>
      </c>
      <c r="H164" s="10" t="inlineStr">
        <is>
          <t>—</t>
        </is>
      </c>
      <c r="I164" s="11" t="n"/>
      <c r="J164" s="11" t="n"/>
      <c r="K164" s="11" t="n"/>
      <c r="L164" s="11" t="n"/>
      <c r="M164" s="11" t="n"/>
      <c r="N164" s="11" t="n"/>
    </row>
    <row r="165" ht="56" customHeight="1">
      <c r="A165" s="10" t="n">
        <v>163</v>
      </c>
      <c r="B165" s="10" t="inlineStr">
        <is>
          <t>Collaudo: UNI EN 81-72:2020 (ascensori antincendio)</t>
        </is>
      </c>
      <c r="C165" s="10" t="inlineStr">
        <is>
          <t>UNI EN 81-72:2020</t>
        </is>
      </c>
      <c r="D165" s="10" t="inlineStr">
        <is>
          <t>requisiti propri della norma (cabina, tempi, protezione dall'acqua) da verificare sul testo</t>
        </is>
      </c>
      <c r="E165" s="10" t="inlineStr">
        <is>
          <t>UNI EN 81-72:2020</t>
        </is>
      </c>
      <c r="F165" s="10" t="inlineStr">
        <is>
          <t>ricerca, cap. 16 (testi ufficiali e schede UNI, 2026-10-02)</t>
        </is>
      </c>
      <c r="G165" s="10" t="inlineStr">
        <is>
          <t>da verificare</t>
        </is>
      </c>
      <c r="H165" s="10" t="inlineStr">
        <is>
          <t>—</t>
        </is>
      </c>
      <c r="I165" s="11" t="n"/>
      <c r="J165" s="11" t="n"/>
      <c r="K165" s="11" t="n"/>
      <c r="L165" s="11" t="n"/>
      <c r="M165" s="11" t="n"/>
      <c r="N165" s="11" t="n"/>
    </row>
    <row r="166" ht="56" customHeight="1">
      <c r="A166" s="10" t="n">
        <v>164</v>
      </c>
      <c r="B166" s="10" t="inlineStr">
        <is>
          <t>Collaudo: UNI EN 81-73:2020 (comportamento in caso d'incendio)</t>
        </is>
      </c>
      <c r="C166" s="10" t="inlineStr">
        <is>
          <t>DM 15/09/2005, punto 6; Codice V.3.3.1</t>
        </is>
      </c>
      <c r="D166" s="10" t="inlineStr">
        <is>
          <t>su comando della rivelazione incendio la cabina va al piano prestabilito e lascia uscire i passeggeri; con il Codice l'ascensore «dovrebbe» essere conforme alla UNI EN 81-73</t>
        </is>
      </c>
      <c r="E166" s="10" t="inlineStr">
        <is>
          <t>DM 15/09/2005, punto 6; Codice V.3.3.1</t>
        </is>
      </c>
      <c r="F166" s="10" t="inlineStr">
        <is>
          <t>ricerca, cap. 16 (testi ufficiali e schede UNI, 2026-10-02)</t>
        </is>
      </c>
      <c r="G166" s="10" t="inlineStr">
        <is>
          <t>confermato</t>
        </is>
      </c>
      <c r="H166" s="10" t="inlineStr">
        <is>
          <t>—</t>
        </is>
      </c>
      <c r="I166" s="11" t="n"/>
      <c r="J166" s="11" t="n"/>
      <c r="K166" s="11" t="n"/>
      <c r="L166" s="11" t="n"/>
      <c r="M166" s="11" t="n"/>
      <c r="N166" s="11" t="n"/>
    </row>
    <row r="167" ht="56" customHeight="1">
      <c r="A167" s="10" t="n">
        <v>165</v>
      </c>
      <c r="B167" s="10" t="inlineStr">
        <is>
          <t>Collaudo: UNI EN 81-73:2020 (comportamento in caso d'incendio)</t>
        </is>
      </c>
      <c r="C167" s="10" t="inlineStr">
        <is>
          <t>UNI EN 81-73:2020</t>
        </is>
      </c>
      <c r="D167" s="10" t="inlineStr">
        <is>
          <t>segnali e comportamento della manovra da verificare sul testo; la norma serve anche da base per migliorare gli esistenti (così la UNI EN 81-73:2005 letta, punto 1)</t>
        </is>
      </c>
      <c r="E167" s="10" t="inlineStr">
        <is>
          <t>UNI EN 81-73:2020</t>
        </is>
      </c>
      <c r="F167" s="10" t="inlineStr">
        <is>
          <t>ricerca, cap. 16 (testi ufficiali e schede UNI, 2026-10-02)</t>
        </is>
      </c>
      <c r="G167" s="10" t="inlineStr">
        <is>
          <t>da verificare</t>
        </is>
      </c>
      <c r="H167" s="10" t="inlineStr">
        <is>
          <t>—</t>
        </is>
      </c>
      <c r="I167" s="11" t="n"/>
      <c r="J167" s="11" t="n"/>
      <c r="K167" s="11" t="n"/>
      <c r="L167" s="11" t="n"/>
      <c r="M167" s="11" t="n"/>
      <c r="N167" s="11" t="n"/>
    </row>
    <row r="168" ht="69" customHeight="1">
      <c r="A168" s="10" t="n">
        <v>166</v>
      </c>
      <c r="B168" s="10" t="inlineStr">
        <is>
          <t>Collaudo: UNI EN 81-76:2025 (evacuazione delle persone con disabilità)</t>
        </is>
      </c>
      <c r="C168" s="10" t="inlineStr">
        <is>
          <t>UNI EN 81-76:2025</t>
        </is>
      </c>
      <c r="D168" s="10" t="inlineStr">
        <is>
          <t>evacuazione delle persone con disabilità con l'ascensore: requisiti aggiuntivi alla EN 81-20 (manovra, alimentazione) da verificare sul testo</t>
        </is>
      </c>
      <c r="E168" s="10" t="inlineStr">
        <is>
          <t>UNI EN 81-76:2025</t>
        </is>
      </c>
      <c r="F168" s="10" t="inlineStr">
        <is>
          <t>ricerca, cap. 16 (testi ufficiali e schede UNI, 2026-10-02)</t>
        </is>
      </c>
      <c r="G168" s="10" t="inlineStr">
        <is>
          <t>da verificare</t>
        </is>
      </c>
      <c r="H168" s="10" t="inlineStr">
        <is>
          <t>—</t>
        </is>
      </c>
      <c r="I168" s="11" t="n"/>
      <c r="J168" s="11" t="n"/>
      <c r="K168" s="11" t="n"/>
      <c r="L168" s="11" t="n"/>
      <c r="M168" s="11" t="n"/>
      <c r="N168" s="11" t="n"/>
    </row>
    <row r="169" ht="56" customHeight="1">
      <c r="A169" s="10" t="n">
        <v>167</v>
      </c>
      <c r="B169" s="10" t="inlineStr">
        <is>
          <t>Collaudo: UNI EN 81-77:2022 (azioni sismiche)</t>
        </is>
      </c>
      <c r="C169" s="10" t="inlineStr">
        <is>
          <t>UNI EN 81-77:2022, 1</t>
        </is>
      </c>
      <c r="D169" s="10" t="inlineStr">
        <is>
          <t>con accelerazione di progetto a_d fino a 1 m/s² nessuna prescrizione specifica; a_d e la posizione dei rilevatori si concordano con il progettista dell'edificio</t>
        </is>
      </c>
      <c r="E169" s="10" t="inlineStr">
        <is>
          <t>UNI EN 81-77:2022, 1</t>
        </is>
      </c>
      <c r="F169" s="10" t="inlineStr">
        <is>
          <t>ricerca, cap. 16 (testi ufficiali e schede UNI, 2026-10-02)</t>
        </is>
      </c>
      <c r="G169" s="10" t="inlineStr">
        <is>
          <t>confermato</t>
        </is>
      </c>
      <c r="H169" s="10" t="inlineStr">
        <is>
          <t>—</t>
        </is>
      </c>
      <c r="I169" s="11" t="n"/>
      <c r="J169" s="11" t="n"/>
      <c r="K169" s="11" t="n"/>
      <c r="L169" s="11" t="n"/>
      <c r="M169" s="11" t="n"/>
      <c r="N169" s="11" t="n"/>
    </row>
    <row r="170" ht="95" customHeight="1">
      <c r="A170" s="10" t="n">
        <v>168</v>
      </c>
      <c r="B170" s="10" t="inlineStr">
        <is>
          <t>Collaudo: UNI EN 81-77:2022 (azioni sismiche)</t>
        </is>
      </c>
      <c r="C170" s="10" t="inlineStr">
        <is>
          <t>UNI EN 81-77:2022, 5.4–5.10, All. A, B, D</t>
        </is>
      </c>
      <c r="D170"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170" s="10" t="inlineStr">
        <is>
          <t>UNI EN 81-77:2022, 5.4–5.10, All. A, B, D</t>
        </is>
      </c>
      <c r="F170" s="10" t="inlineStr">
        <is>
          <t>ricerca, cap. 16 (testi ufficiali e schede UNI, 2026-10-02)</t>
        </is>
      </c>
      <c r="G170" s="10" t="inlineStr">
        <is>
          <t>da verificare</t>
        </is>
      </c>
      <c r="H170" s="10" t="inlineStr">
        <is>
          <t>—</t>
        </is>
      </c>
      <c r="I170" s="11" t="n"/>
      <c r="J170" s="11" t="n"/>
      <c r="K170" s="11" t="n"/>
      <c r="L170" s="11" t="n"/>
      <c r="M170" s="11" t="n"/>
      <c r="N170" s="11" t="n"/>
    </row>
    <row r="171" ht="43" customHeight="1">
      <c r="A171" s="10" t="n">
        <v>169</v>
      </c>
      <c r="B171" s="10" t="inlineStr">
        <is>
          <t>Collaudo: UNI EN 81-77:2022 (azioni sismiche)</t>
        </is>
      </c>
      <c r="C171" s="10" t="inlineStr">
        <is>
          <t>UNI EN 81-77:2022, 0.3</t>
        </is>
      </c>
      <c r="D171" s="10" t="inlineStr">
        <is>
          <t>non si applica agli impianti installati prima della sua pubblicazione</t>
        </is>
      </c>
      <c r="E171" s="10" t="inlineStr">
        <is>
          <t>UNI EN 81-77:2022, 0.3</t>
        </is>
      </c>
      <c r="F171" s="10" t="inlineStr">
        <is>
          <t>ricerca, cap. 16 (testi ufficiali e schede UNI, 2026-10-02)</t>
        </is>
      </c>
      <c r="G171" s="10" t="inlineStr">
        <is>
          <t>confermato</t>
        </is>
      </c>
      <c r="H171" s="10" t="inlineStr">
        <is>
          <t>—</t>
        </is>
      </c>
      <c r="I171" s="11" t="n"/>
      <c r="J171" s="11" t="n"/>
      <c r="K171" s="11" t="n"/>
      <c r="L171" s="11" t="n"/>
      <c r="M171" s="11" t="n"/>
      <c r="N171" s="11" t="n"/>
    </row>
    <row r="172" ht="69" customHeight="1">
      <c r="A172" s="10" t="n">
        <v>170</v>
      </c>
      <c r="B172" s="10" t="inlineStr">
        <is>
          <t>Collaudo: UNI EN 81-80:2019 (miglioramento della sicurezza degli esistenti)</t>
        </is>
      </c>
      <c r="C172" s="10" t="inlineStr">
        <is>
          <t>UNI EN 81-80:2019</t>
        </is>
      </c>
      <c r="D172" s="10" t="inlineStr">
        <is>
          <t>analisi dei rischi dell'impianto esistente e piano di miglioramento per priorità, scelta volontaria del proprietario (così le UNI EN 81-80:2004 e 2009 lette, punto 1 e appendice A)</t>
        </is>
      </c>
      <c r="E172" s="10" t="inlineStr">
        <is>
          <t>UNI EN 81-80:2019</t>
        </is>
      </c>
      <c r="F172" s="10" t="inlineStr">
        <is>
          <t>ricerca, cap. 16 (testi ufficiali e schede UNI, 2026-10-02)</t>
        </is>
      </c>
      <c r="G172" s="10" t="inlineStr">
        <is>
          <t>da verificare</t>
        </is>
      </c>
      <c r="H172" s="10" t="inlineStr">
        <is>
          <t>—</t>
        </is>
      </c>
      <c r="I172" s="11" t="n"/>
      <c r="J172" s="11" t="n"/>
      <c r="K172" s="11" t="n"/>
      <c r="L172" s="11" t="n"/>
      <c r="M172" s="11" t="n"/>
      <c r="N172" s="11" t="n"/>
    </row>
    <row r="173" ht="56" customHeight="1">
      <c r="A173" s="10" t="n">
        <v>171</v>
      </c>
      <c r="B173" s="10" t="inlineStr">
        <is>
          <t>Collaudo: UNI EN 81-82:2026 (accessibilità degli esistenti)</t>
        </is>
      </c>
      <c r="C173" s="10" t="inlineStr">
        <is>
          <t>UNI EN 81-82:2026</t>
        </is>
      </c>
      <c r="D173" s="10" t="inlineStr">
        <is>
          <t>miglioramento dell'accessibilità di un impianto esistente secondo i requisiti della EN 81-70</t>
        </is>
      </c>
      <c r="E173" s="10" t="inlineStr">
        <is>
          <t>UNI EN 81-82:2026</t>
        </is>
      </c>
      <c r="F173" s="10" t="inlineStr">
        <is>
          <t>ricerca, cap. 16 (testi ufficiali e schede UNI, 2026-10-02)</t>
        </is>
      </c>
      <c r="G173" s="10" t="inlineStr">
        <is>
          <t>confermato</t>
        </is>
      </c>
      <c r="H173" s="10" t="inlineStr">
        <is>
          <t>—</t>
        </is>
      </c>
      <c r="I173" s="11" t="n"/>
      <c r="J173" s="11" t="n"/>
      <c r="K173" s="11" t="n"/>
      <c r="L173" s="11" t="n"/>
      <c r="M173" s="11" t="n"/>
      <c r="N173" s="11" t="n"/>
    </row>
    <row r="174" ht="56" customHeight="1">
      <c r="A174" s="10" t="n">
        <v>172</v>
      </c>
      <c r="B174" s="10" t="inlineStr">
        <is>
          <t>Collaudo: UNI EN 81-83:2026 (antivandalo degli esistenti)</t>
        </is>
      </c>
      <c r="C174" s="10" t="inlineStr">
        <is>
          <t>UNI EN 81-83:2026</t>
        </is>
      </c>
      <c r="D174" s="10" t="inlineStr">
        <is>
          <t>miglioramento della resistenza agli atti vandalici di un impianto esistente secondo la EN 81-71:2022 (voce 1.2 della Tab. A.1 della EN 81-80)</t>
        </is>
      </c>
      <c r="E174" s="10" t="inlineStr">
        <is>
          <t>UNI EN 81-83:2026</t>
        </is>
      </c>
      <c r="F174" s="10" t="inlineStr">
        <is>
          <t>ricerca, cap. 16 (testi ufficiali e schede UNI, 2026-10-02)</t>
        </is>
      </c>
      <c r="G174" s="10" t="inlineStr">
        <is>
          <t>confermato</t>
        </is>
      </c>
      <c r="H174" s="10" t="inlineStr">
        <is>
          <t>—</t>
        </is>
      </c>
      <c r="I174" s="11" t="n"/>
      <c r="J174" s="11" t="n"/>
      <c r="K174" s="11" t="n"/>
      <c r="L174" s="11" t="n"/>
      <c r="M174" s="11" t="n"/>
      <c r="N174" s="11" t="n"/>
    </row>
    <row r="175" ht="56" customHeight="1">
      <c r="A175" s="10" t="n">
        <v>173</v>
      </c>
      <c r="B175" s="10" t="inlineStr">
        <is>
          <t>Collaudo: DM 236/1989 (barriere architettoniche)</t>
        </is>
      </c>
      <c r="C175" s="10" t="inlineStr">
        <is>
          <t>DM 236/1989, 8.1.12</t>
        </is>
      </c>
      <c r="D175" s="10" t="inlineStr">
        <is>
          <t>piattaforma di distribuzione davanti alla porta di cabina: 1,50 × 1,50 m negli edifici nuovi, 1,40 × 1,40 m nell'adeguamento (fuori dal vano: in sito)</t>
        </is>
      </c>
      <c r="E175" s="10" t="inlineStr">
        <is>
          <t>DM 236/1989, 8.1.12</t>
        </is>
      </c>
      <c r="F175" s="10" t="inlineStr">
        <is>
          <t>ricerca, cap. 16 (testi ufficiali e schede UNI, 2026-10-02)</t>
        </is>
      </c>
      <c r="G175" s="10" t="inlineStr">
        <is>
          <t>confermato</t>
        </is>
      </c>
      <c r="H175" s="10" t="inlineStr">
        <is>
          <t>cabina minima (DM 236/1989); porta minima (DM 236/1989); porta sul lato corto</t>
        </is>
      </c>
      <c r="I175" s="11" t="n"/>
      <c r="J175" s="11" t="n"/>
      <c r="K175" s="11" t="n"/>
      <c r="L175" s="11" t="n"/>
      <c r="M175" s="11" t="n"/>
      <c r="N175" s="11" t="n"/>
    </row>
    <row r="176" ht="56" customHeight="1">
      <c r="A176" s="10" t="n">
        <v>174</v>
      </c>
      <c r="B176" s="10" t="inlineStr">
        <is>
          <t>Collaudo: DM 236/1989 (barriere architettoniche)</t>
        </is>
      </c>
      <c r="C176" s="10" t="inlineStr">
        <is>
          <t>DM 236/1989, 8.1.12</t>
        </is>
      </c>
      <c r="D176" s="10" t="inlineStr">
        <is>
          <t>porte di cabina e di piano a scorrimento automatico (nell'adeguamento la porta di piano può essere a battente se ad apertura automatica); porte aperte almeno 8 s, chiusura in almeno 4 s</t>
        </is>
      </c>
      <c r="E176" s="10" t="inlineStr">
        <is>
          <t>DM 236/1989, 8.1.12</t>
        </is>
      </c>
      <c r="F176" s="10" t="inlineStr">
        <is>
          <t>ricerca, cap. 16 (testi ufficiali e schede UNI, 2026-10-02)</t>
        </is>
      </c>
      <c r="G176" s="10" t="inlineStr">
        <is>
          <t>confermato</t>
        </is>
      </c>
      <c r="H176" s="10" t="inlineStr">
        <is>
          <t>cabina minima (DM 236/1989); porta minima (DM 236/1989); porta sul lato corto</t>
        </is>
      </c>
      <c r="I176" s="11" t="n"/>
      <c r="J176" s="11" t="n"/>
      <c r="K176" s="11" t="n"/>
      <c r="L176" s="11" t="n"/>
      <c r="M176" s="11" t="n"/>
      <c r="N176" s="11" t="n"/>
    </row>
    <row r="177" ht="43" customHeight="1">
      <c r="A177" s="10" t="n">
        <v>175</v>
      </c>
      <c r="B177" s="10" t="inlineStr">
        <is>
          <t>Collaudo: DM 236/1989 (barriere architettoniche)</t>
        </is>
      </c>
      <c r="C177" s="10" t="inlineStr">
        <is>
          <t>DM 236/1989, 8.1.12</t>
        </is>
      </c>
      <c r="D177" s="10" t="inlineStr">
        <is>
          <t>arresto ai piani con autolivellamento entro ± 2 cm; sosta ai piani con le porte chiuse</t>
        </is>
      </c>
      <c r="E177" s="10" t="inlineStr">
        <is>
          <t>DM 236/1989, 8.1.12</t>
        </is>
      </c>
      <c r="F177" s="10" t="inlineStr">
        <is>
          <t>ricerca, cap. 16 (testi ufficiali e schede UNI, 2026-10-02)</t>
        </is>
      </c>
      <c r="G177" s="10" t="inlineStr">
        <is>
          <t>confermato</t>
        </is>
      </c>
      <c r="H177" s="10" t="inlineStr">
        <is>
          <t>cabina minima (DM 236/1989); porta minima (DM 236/1989); porta sul lato corto</t>
        </is>
      </c>
      <c r="I177" s="11" t="n"/>
      <c r="J177" s="11" t="n"/>
      <c r="K177" s="11" t="n"/>
      <c r="L177" s="11" t="n"/>
      <c r="M177" s="11" t="n"/>
      <c r="N177" s="11" t="n"/>
    </row>
    <row r="178" ht="56" customHeight="1">
      <c r="A178" s="10" t="n">
        <v>176</v>
      </c>
      <c r="B178" s="10" t="inlineStr">
        <is>
          <t>Collaudo: DM 236/1989 (barriere architettoniche)</t>
        </is>
      </c>
      <c r="C178" s="10" t="inlineStr">
        <is>
          <t>DM 236/1989, 8.1.12 e 8.0.1</t>
        </is>
      </c>
      <c r="D178" s="10" t="inlineStr">
        <is>
          <t>pulsanti di cabina e di piano: il più alto tra 1,10 e 1,40 m, misurato all'asse del comando; bottoniera di cabina su una parete laterale ad almeno 0,35 m dalla porta</t>
        </is>
      </c>
      <c r="E178" s="10" t="inlineStr">
        <is>
          <t>DM 236/1989, 8.1.12 e 8.0.1</t>
        </is>
      </c>
      <c r="F178" s="10" t="inlineStr">
        <is>
          <t>ricerca, cap. 16 (testi ufficiali e schede UNI, 2026-10-02)</t>
        </is>
      </c>
      <c r="G178" s="10" t="inlineStr">
        <is>
          <t>confermato</t>
        </is>
      </c>
      <c r="H178" s="10" t="inlineStr">
        <is>
          <t>cabina minima (DM 236/1989); porta minima (DM 236/1989); porta sul lato corto</t>
        </is>
      </c>
      <c r="I178" s="11" t="n"/>
      <c r="J178" s="11" t="n"/>
      <c r="K178" s="11" t="n"/>
      <c r="L178" s="11" t="n"/>
      <c r="M178" s="11" t="n"/>
      <c r="N178" s="11" t="n"/>
    </row>
    <row r="179" ht="95" customHeight="1">
      <c r="A179" s="10" t="n">
        <v>177</v>
      </c>
      <c r="B179" s="10" t="inlineStr">
        <is>
          <t>Collaudo: DM 236/1989 (barriere architettoniche)</t>
        </is>
      </c>
      <c r="C179" s="10" t="inlineStr">
        <is>
          <t>DM 236/1989, 8.1.12 e 4.1.12</t>
        </is>
      </c>
      <c r="D179"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179" s="10" t="inlineStr">
        <is>
          <t>DM 236/1989, 8.1.12 e 4.1.12</t>
        </is>
      </c>
      <c r="F179" s="10" t="inlineStr">
        <is>
          <t>ricerca, cap. 16 (testi ufficiali e schede UNI, 2026-10-02)</t>
        </is>
      </c>
      <c r="G179" s="10" t="inlineStr">
        <is>
          <t>confermato</t>
        </is>
      </c>
      <c r="H179" s="10" t="inlineStr">
        <is>
          <t>cabina minima (DM 236/1989); porta minima (DM 236/1989); porta sul lato corto</t>
        </is>
      </c>
      <c r="I179" s="11" t="n"/>
      <c r="J179" s="11" t="n"/>
      <c r="K179" s="11" t="n"/>
      <c r="L179" s="11" t="n"/>
      <c r="M179" s="11" t="n"/>
      <c r="N179" s="11" t="n"/>
    </row>
    <row r="180" ht="56" customHeight="1">
      <c r="A180" s="10" t="n">
        <v>178</v>
      </c>
      <c r="B180" s="10" t="inlineStr">
        <is>
          <t>Collaudo: DM 236/1989 (barriere architettoniche)</t>
        </is>
      </c>
      <c r="C180" s="10" t="inlineStr">
        <is>
          <t>DM 236/1989, 3.2; L. 13/1989, art. 1 c.3 lett. d)</t>
        </is>
      </c>
      <c r="D180" s="10" t="inlineStr">
        <is>
          <t>ascensore obbligatorio oltre il terzo livello (contati interrati e porticati); negli immobili con più di tre livelli fuori terra un ascensore per ogni scala principale</t>
        </is>
      </c>
      <c r="E180" s="10" t="inlineStr">
        <is>
          <t>DM 236/1989, 3.2; L. 13/1989, art. 1 c.3 lett. d)</t>
        </is>
      </c>
      <c r="F180" s="10" t="inlineStr">
        <is>
          <t>ricerca, cap. 16 (testi ufficiali e schede UNI, 2026-10-02)</t>
        </is>
      </c>
      <c r="G180" s="10" t="inlineStr">
        <is>
          <t>confermato</t>
        </is>
      </c>
      <c r="H180" s="10" t="inlineStr">
        <is>
          <t>cabina minima (DM 236/1989); porta minima (DM 236/1989); porta sul lato corto</t>
        </is>
      </c>
      <c r="I180" s="11" t="n"/>
      <c r="J180" s="11" t="n"/>
      <c r="K180" s="11" t="n"/>
      <c r="L180" s="11" t="n"/>
      <c r="M180" s="11" t="n"/>
      <c r="N180" s="11" t="n"/>
    </row>
    <row r="181" ht="56" customHeight="1">
      <c r="A181" s="10" t="n">
        <v>179</v>
      </c>
      <c r="B181" s="10" t="inlineStr">
        <is>
          <t>Collaudo: DM 236/1989 (barriere architettoniche)</t>
        </is>
      </c>
      <c r="C181" s="10" t="inlineStr">
        <is>
          <t>DM 236/1989, 7.5; DPR 503/1996, art. 19</t>
        </is>
      </c>
      <c r="D181" s="10" t="inlineStr">
        <is>
          <t>nelle ristrutturazioni deroghe per impossibilità tecnica strutturale o impiantistica (privati: concesse dal Sindaco); edifici vincolati: deroga se le opere pregiudicano il bene</t>
        </is>
      </c>
      <c r="E181" s="10" t="inlineStr">
        <is>
          <t>DM 236/1989, 7.5; DPR 503/1996, art. 19</t>
        </is>
      </c>
      <c r="F181" s="10" t="inlineStr">
        <is>
          <t>ricerca, cap. 16 (testi ufficiali e schede UNI, 2026-10-02)</t>
        </is>
      </c>
      <c r="G181" s="10" t="inlineStr">
        <is>
          <t>confermato</t>
        </is>
      </c>
      <c r="H181" s="10" t="inlineStr">
        <is>
          <t>cabina minima (DM 236/1989); porta minima (DM 236/1989); porta sul lato corto</t>
        </is>
      </c>
      <c r="I181" s="11" t="n"/>
      <c r="J181" s="11" t="n"/>
      <c r="K181" s="11" t="n"/>
      <c r="L181" s="11" t="n"/>
      <c r="M181" s="11" t="n"/>
      <c r="N181" s="11" t="n"/>
    </row>
    <row r="182" ht="69" customHeight="1">
      <c r="A182" s="10" t="n">
        <v>180</v>
      </c>
      <c r="B182" s="10" t="inlineStr">
        <is>
          <t>Collaudo: DM 15/09/2005 o Codice di prevenzione incendi, RTV V.3 (antincendio)</t>
        </is>
      </c>
      <c r="C182" s="10" t="inlineStr">
        <is>
          <t>DM 3/8/2015, art. 5 c.1-bis lett. e)</t>
        </is>
      </c>
      <c r="D182" s="10" t="inlineStr">
        <is>
          <t>il progettista applica il DM 15/09/2005 oppure la RTV V.3 del Codice: dove si usa il Codice il DM 2005 non si applica</t>
        </is>
      </c>
      <c r="E182" s="10" t="inlineStr">
        <is>
          <t>DM 3/8/2015, art. 5 c.1-bis lett. e)</t>
        </is>
      </c>
      <c r="F182" s="10" t="inlineStr">
        <is>
          <t>ricerca, cap. 16 (testi ufficiali e schede UNI, 2026-10-02)</t>
        </is>
      </c>
      <c r="G182" s="10" t="inlineStr">
        <is>
          <t>confermato</t>
        </is>
      </c>
      <c r="H182" s="10" t="inlineStr">
        <is>
          <t>—</t>
        </is>
      </c>
      <c r="I182" s="11" t="n"/>
      <c r="J182" s="11" t="n"/>
      <c r="K182" s="11" t="n"/>
      <c r="L182" s="11" t="n"/>
      <c r="M182" s="11" t="n"/>
      <c r="N182" s="11" t="n"/>
    </row>
    <row r="183" ht="95" customHeight="1">
      <c r="A183" s="10" t="n">
        <v>181</v>
      </c>
      <c r="B183" s="10" t="inlineStr">
        <is>
          <t>Collaudo: DM 15/09/2005 o Codice di prevenzione incendi, RTV V.3 (antincendio)</t>
        </is>
      </c>
      <c r="C183" s="10" t="inlineStr">
        <is>
          <t>DM 15/09/2005, art. 1 c.2</t>
        </is>
      </c>
      <c r="D183" s="10" t="inlineStr">
        <is>
          <t>sugli impianti esistenti vale per le modifiche sostanziali: nuovo impianto; più fermate o altro azionamento; pareti del vano, porte di piano, locale macchine o pulegge sostituiti con materiali, modelli, dimensioni o criteri diversi; solai o scale rifatti che coinvolgono l'impianto; sopraelevazione; cambio di destinazione d'uso</t>
        </is>
      </c>
      <c r="E183" s="10" t="inlineStr">
        <is>
          <t>DM 15/09/2005, art. 1 c.2</t>
        </is>
      </c>
      <c r="F183" s="10" t="inlineStr">
        <is>
          <t>ricerca, cap. 16 (testi ufficiali e schede UNI, 2026-10-02)</t>
        </is>
      </c>
      <c r="G183" s="10" t="inlineStr">
        <is>
          <t>confermato</t>
        </is>
      </c>
      <c r="H183" s="10" t="inlineStr">
        <is>
          <t>—</t>
        </is>
      </c>
      <c r="I183" s="11" t="n"/>
      <c r="J183" s="11" t="n"/>
      <c r="K183" s="11" t="n"/>
      <c r="L183" s="11" t="n"/>
      <c r="M183" s="11" t="n"/>
      <c r="N183" s="11" t="n"/>
    </row>
    <row r="184" ht="69" customHeight="1">
      <c r="A184" s="10" t="n">
        <v>182</v>
      </c>
      <c r="B184" s="10" t="inlineStr">
        <is>
          <t>Collaudo: DM 15/09/2005 o Codice di prevenzione incendi, RTV V.3 (antincendio)</t>
        </is>
      </c>
      <c r="C184" s="10" t="inlineStr">
        <is>
          <t>DM 15/09/2005, 3.1–3.3; Codice V.3.2</t>
        </is>
      </c>
      <c r="D184" s="10" t="inlineStr">
        <is>
          <t>tipo di vano: aperto, protetto o a prova di fumo (Codice: classi da SA a SE)</t>
        </is>
      </c>
      <c r="E184" s="10" t="inlineStr">
        <is>
          <t>DM 15/09/2005, 3.1–3.3; Codice V.3.2</t>
        </is>
      </c>
      <c r="F184" s="10" t="inlineStr">
        <is>
          <t>ricerca, cap. 16 (testi ufficiali e schede UNI, 2026-10-02)</t>
        </is>
      </c>
      <c r="G184" s="10" t="inlineStr">
        <is>
          <t>confermato</t>
        </is>
      </c>
      <c r="H184" s="10" t="inlineStr">
        <is>
          <t>—</t>
        </is>
      </c>
      <c r="I184" s="11" t="n"/>
      <c r="J184" s="11" t="n"/>
      <c r="K184" s="11" t="n"/>
      <c r="L184" s="11" t="n"/>
      <c r="M184" s="11" t="n"/>
      <c r="N184" s="11" t="n"/>
    </row>
    <row r="185" ht="69" customHeight="1">
      <c r="A185" s="10" t="n">
        <v>183</v>
      </c>
      <c r="B185" s="10" t="inlineStr">
        <is>
          <t>Collaudo: DM 15/09/2005 o Codice di prevenzione incendi, RTV V.3 (antincendio)</t>
        </is>
      </c>
      <c r="C185" s="10" t="inlineStr">
        <is>
          <t>DM 15/09/2005, punto 2</t>
        </is>
      </c>
      <c r="D185" s="10" t="inlineStr">
        <is>
          <t>pareti del vano, locale macchine e pulegge, setti e arcata non combustibili; pareti, pavimento e tetto della cabina in classe di reazione al fuoco non oltre 1</t>
        </is>
      </c>
      <c r="E185" s="10" t="inlineStr">
        <is>
          <t>DM 15/09/2005, punto 2</t>
        </is>
      </c>
      <c r="F185" s="10" t="inlineStr">
        <is>
          <t>ricerca, cap. 16 (testi ufficiali e schede UNI, 2026-10-02)</t>
        </is>
      </c>
      <c r="G185" s="10" t="inlineStr">
        <is>
          <t>confermato</t>
        </is>
      </c>
      <c r="H185" s="10" t="inlineStr">
        <is>
          <t>—</t>
        </is>
      </c>
      <c r="I185" s="11" t="n"/>
      <c r="J185" s="11" t="n"/>
      <c r="K185" s="11" t="n"/>
      <c r="L185" s="11" t="n"/>
      <c r="M185" s="11" t="n"/>
      <c r="N185" s="11" t="n"/>
    </row>
    <row r="186" ht="82" customHeight="1">
      <c r="A186" s="10" t="n">
        <v>184</v>
      </c>
      <c r="B186" s="10" t="inlineStr">
        <is>
          <t>Collaudo: DM 15/09/2005 o Codice di prevenzione incendi, RTV V.3 (antincendio)</t>
        </is>
      </c>
      <c r="C186" s="10" t="inlineStr">
        <is>
          <t>DM 15/09/2005, punto 5</t>
        </is>
      </c>
      <c r="D186" s="10" t="inlineStr">
        <is>
          <t>aerazione permanente in alto verso spazi scoperti di almeno il 3 % della pianta (vano almeno 0,20 m², locale macchine o pulegge almeno 0,05 m²), con una protezione che non lascia passare una sfera oltre 15 mm; non serve se il vano è aperto su spazi scoperti</t>
        </is>
      </c>
      <c r="E186" s="10" t="inlineStr">
        <is>
          <t>DM 15/09/2005, punto 5</t>
        </is>
      </c>
      <c r="F186" s="10" t="inlineStr">
        <is>
          <t>ricerca, cap. 16 (testi ufficiali e schede UNI, 2026-10-02)</t>
        </is>
      </c>
      <c r="G186" s="10" t="inlineStr">
        <is>
          <t>confermato</t>
        </is>
      </c>
      <c r="H186" s="10" t="inlineStr">
        <is>
          <t>—</t>
        </is>
      </c>
      <c r="I186" s="11" t="n"/>
      <c r="J186" s="11" t="n"/>
      <c r="K186" s="11" t="n"/>
      <c r="L186" s="11" t="n"/>
      <c r="M186" s="11" t="n"/>
      <c r="N186" s="11" t="n"/>
    </row>
    <row r="187" ht="69" customHeight="1">
      <c r="A187" s="10" t="n">
        <v>185</v>
      </c>
      <c r="B187" s="10" t="inlineStr">
        <is>
          <t>Collaudo: DM 15/09/2005 o Codice di prevenzione incendi, RTV V.3 (antincendio)</t>
        </is>
      </c>
      <c r="C187" s="10" t="inlineStr">
        <is>
          <t>DM 15/09/2005, punto 6; Codice V.3.3.1 c.5</t>
        </is>
      </c>
      <c r="D187" s="10" t="inlineStr">
        <is>
          <t>estintore 21A89BC vicino all'accesso al macchinario; richiamo della cabina al piano prestabilito su comando della rivelazione quando la compartimentazione lo richiede</t>
        </is>
      </c>
      <c r="E187" s="10" t="inlineStr">
        <is>
          <t>DM 15/09/2005, punto 6; Codice V.3.3.1 c.5</t>
        </is>
      </c>
      <c r="F187" s="10" t="inlineStr">
        <is>
          <t>ricerca, cap. 16 (testi ufficiali e schede UNI, 2026-10-02)</t>
        </is>
      </c>
      <c r="G187" s="10" t="inlineStr">
        <is>
          <t>confermato</t>
        </is>
      </c>
      <c r="H187" s="10" t="inlineStr">
        <is>
          <t>—</t>
        </is>
      </c>
      <c r="I187" s="11" t="n"/>
      <c r="J187" s="11" t="n"/>
      <c r="K187" s="11" t="n"/>
      <c r="L187" s="11" t="n"/>
      <c r="M187" s="11" t="n"/>
      <c r="N187" s="11" t="n"/>
    </row>
    <row r="188" ht="69" customHeight="1">
      <c r="A188" s="10" t="n">
        <v>186</v>
      </c>
      <c r="B188" s="10" t="inlineStr">
        <is>
          <t>Collaudo: DM 15/09/2005 o Codice di prevenzione incendi, RTV V.3 (antincendio)</t>
        </is>
      </c>
      <c r="C188" s="10" t="inlineStr">
        <is>
          <t>Codice S.9, Tab. S.9-3</t>
        </is>
      </c>
      <c r="D188" s="10" t="inlineStr">
        <is>
          <t>piani tra 32 e 54 m: almeno un ascensore antincendio; oltre 54 m: almeno uno di soccorso; interrati tra −10 e −15 m: antincendio; sotto −15 m: soccorso</t>
        </is>
      </c>
      <c r="E188" s="10" t="inlineStr">
        <is>
          <t>Codice S.9, Tab. S.9-3</t>
        </is>
      </c>
      <c r="F188" s="10" t="inlineStr">
        <is>
          <t>ricerca, cap. 16 (testi ufficiali e schede UNI, 2026-10-02)</t>
        </is>
      </c>
      <c r="G188" s="10" t="inlineStr">
        <is>
          <t>confermato</t>
        </is>
      </c>
      <c r="H188" s="10" t="inlineStr">
        <is>
          <t>—</t>
        </is>
      </c>
      <c r="I188" s="11" t="n"/>
      <c r="J188" s="11" t="n"/>
      <c r="K188" s="11" t="n"/>
      <c r="L188" s="11" t="n"/>
      <c r="M188" s="11" t="n"/>
      <c r="N188" s="11" t="n"/>
    </row>
    <row r="189" ht="43" customHeight="1">
      <c r="A189" s="10" t="n">
        <v>187</v>
      </c>
      <c r="B189" s="10" t="inlineStr">
        <is>
          <t>Collaudo: NTC 2018 (strutture e azioni sismiche)</t>
        </is>
      </c>
      <c r="C189" s="10" t="inlineStr">
        <is>
          <t>NTC 2018, §3.1.4</t>
        </is>
      </c>
      <c r="D189" s="10" t="inlineStr">
        <is>
          <t>carichi del macchinario valutati caso per caso sui massimi prevedibili e riportati nel progetto e nel collaudo statico</t>
        </is>
      </c>
      <c r="E189" s="10" t="inlineStr">
        <is>
          <t>NTC 2018, §3.1.4</t>
        </is>
      </c>
      <c r="F189" s="10" t="inlineStr">
        <is>
          <t>ricerca, cap. 16 (testi ufficiali e schede UNI, 2026-10-02)</t>
        </is>
      </c>
      <c r="G189" s="10" t="inlineStr">
        <is>
          <t>confermato</t>
        </is>
      </c>
      <c r="H189" s="10" t="inlineStr">
        <is>
          <t>tensione nelle putrelle sotto l'argano; freccia delle putrelle sotto l'argano</t>
        </is>
      </c>
      <c r="I189" s="11" t="n"/>
      <c r="J189" s="11" t="n"/>
      <c r="K189" s="11" t="n"/>
      <c r="L189" s="11" t="n"/>
      <c r="M189" s="11" t="n"/>
      <c r="N189" s="11" t="n"/>
    </row>
    <row r="190" ht="43" customHeight="1">
      <c r="A190" s="10" t="n">
        <v>188</v>
      </c>
      <c r="B190" s="10" t="inlineStr">
        <is>
          <t>Collaudo: NTC 2018 (strutture e azioni sismiche)</t>
        </is>
      </c>
      <c r="C190" s="10" t="inlineStr">
        <is>
          <t>NTC 2018, §8.4.1</t>
        </is>
      </c>
      <c r="D190" s="10" t="inlineStr">
        <is>
          <t>su un edificio esistente l'intervento è locale: verifica limitata alle parti interessate, senza ridurre la sicurezza preesistente</t>
        </is>
      </c>
      <c r="E190" s="10" t="inlineStr">
        <is>
          <t>NTC 2018, §8.4.1</t>
        </is>
      </c>
      <c r="F190" s="10" t="inlineStr">
        <is>
          <t>ricerca, cap. 16 (testi ufficiali e schede UNI, 2026-10-02)</t>
        </is>
      </c>
      <c r="G190" s="10" t="inlineStr">
        <is>
          <t>confermato</t>
        </is>
      </c>
      <c r="H190" s="10" t="inlineStr">
        <is>
          <t>tensione nelle putrelle sotto l'argano; freccia delle putrelle sotto l'argano</t>
        </is>
      </c>
      <c r="I190" s="11" t="n"/>
      <c r="J190" s="11" t="n"/>
      <c r="K190" s="11" t="n"/>
      <c r="L190" s="11" t="n"/>
      <c r="M190" s="11" t="n"/>
      <c r="N190" s="11" t="n"/>
    </row>
    <row r="191" ht="43" customHeight="1">
      <c r="A191" s="10" t="n">
        <v>189</v>
      </c>
      <c r="B191" s="10" t="inlineStr">
        <is>
          <t>Collaudo: NTC 2018 (strutture e azioni sismiche)</t>
        </is>
      </c>
      <c r="C191" s="10" t="inlineStr">
        <is>
          <t>NTC 2018, §11.4.1</t>
        </is>
      </c>
      <c r="D191" s="10" t="inlineStr">
        <is>
          <t>ancoranti per uso strutturale qualificati; con azioni sismiche categoria C2 per tutte le classi d'uso</t>
        </is>
      </c>
      <c r="E191" s="10" t="inlineStr">
        <is>
          <t>NTC 2018, §11.4.1</t>
        </is>
      </c>
      <c r="F191" s="10" t="inlineStr">
        <is>
          <t>ricerca, cap. 16 (testi ufficiali e schede UNI, 2026-10-02)</t>
        </is>
      </c>
      <c r="G191" s="10" t="inlineStr">
        <is>
          <t>confermato</t>
        </is>
      </c>
      <c r="H191" s="10" t="inlineStr">
        <is>
          <t>tensione nelle putrelle sotto l'argano; freccia delle putrelle sotto l'argano</t>
        </is>
      </c>
      <c r="I191" s="11" t="n"/>
      <c r="J191" s="11" t="n"/>
      <c r="K191" s="11" t="n"/>
      <c r="L191" s="11" t="n"/>
      <c r="M191" s="11" t="n"/>
      <c r="N191" s="11" t="n"/>
    </row>
    <row r="192" ht="108" customHeight="1">
      <c r="A192" s="10" t="n">
        <v>190</v>
      </c>
      <c r="B192" s="10" t="inlineStr">
        <is>
          <t>Collaudo: NTC 2018 (strutture e azioni sismiche)</t>
        </is>
      </c>
      <c r="C192" s="10" t="inlineStr">
        <is>
          <t>NTC 2018, §7.2.3–7.2.4</t>
        </is>
      </c>
      <c r="D192"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192" s="10" t="inlineStr">
        <is>
          <t>NTC 2018, §7.2.3–7.2.4</t>
        </is>
      </c>
      <c r="F192" s="10" t="inlineStr">
        <is>
          <t>ricerca, cap. 16 (testi ufficiali e schede UNI, 2026-10-02)</t>
        </is>
      </c>
      <c r="G192" s="10" t="inlineStr">
        <is>
          <t>confermato</t>
        </is>
      </c>
      <c r="H192" s="10" t="inlineStr">
        <is>
          <t>tensione nelle putrelle sotto l'argano; freccia delle putrelle sotto l'argano</t>
        </is>
      </c>
      <c r="I192" s="11" t="n"/>
      <c r="J192" s="11" t="n"/>
      <c r="K192" s="11" t="n"/>
      <c r="L192" s="11" t="n"/>
      <c r="M192" s="11" t="n"/>
      <c r="N192" s="11" t="n"/>
    </row>
    <row r="193" ht="43" customHeight="1">
      <c r="A193" s="10" t="n">
        <v>191</v>
      </c>
      <c r="B193" s="10" t="inlineStr">
        <is>
          <t>Collaudo: NTC 2018 (strutture e azioni sismiche)</t>
        </is>
      </c>
      <c r="C193" s="10" t="inlineStr">
        <is>
          <t>NTC 2018, Tab. 7.3.III e §7.3.6.3</t>
        </is>
      </c>
      <c r="D193" s="10" t="inlineStr">
        <is>
          <t>impianti: stabilità allo SLV per tutte le classi d'uso; nelle classi III e IV anche funzionamento allo SLO</t>
        </is>
      </c>
      <c r="E193" s="10" t="inlineStr">
        <is>
          <t>NTC 2018, Tab. 7.3.III e §7.3.6.3</t>
        </is>
      </c>
      <c r="F193" s="10" t="inlineStr">
        <is>
          <t>ricerca, cap. 16 (testi ufficiali e schede UNI, 2026-10-02)</t>
        </is>
      </c>
      <c r="G193" s="10" t="inlineStr">
        <is>
          <t>confermato</t>
        </is>
      </c>
      <c r="H193" s="10" t="inlineStr">
        <is>
          <t>tensione nelle putrelle sotto l'argano; freccia delle putrelle sotto l'argano</t>
        </is>
      </c>
      <c r="I193" s="11" t="n"/>
      <c r="J193" s="11" t="n"/>
      <c r="K193" s="11" t="n"/>
      <c r="L193" s="11" t="n"/>
      <c r="M193" s="11" t="n"/>
      <c r="N193" s="11" t="n"/>
    </row>
  </sheetData>
  <autoFilter ref="A1:N193"/>
  <dataValidations count="1">
    <dataValidation sqref="I3:I193"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COUNTIF(Voci!$G$3:$G$193,"da verificare")</f>
        <v/>
      </c>
    </row>
    <row r="5">
      <c r="A5" s="6" t="inlineStr">
        <is>
          <t>confermato</t>
        </is>
      </c>
      <c r="B5" s="6">
        <f>COUNTIF(Voci!$G$3:$G$193,"confermato")</f>
        <v/>
      </c>
    </row>
    <row r="6">
      <c r="A6" s="6" t="inlineStr">
        <is>
          <t>scelta del software</t>
        </is>
      </c>
      <c r="B6" s="6">
        <f>COUNTIF(Voci!$G$3:$G$193,"scelta del software")</f>
        <v/>
      </c>
    </row>
    <row r="7">
      <c r="A7" s="6" t="inlineStr">
        <is>
          <t>stima</t>
        </is>
      </c>
      <c r="B7" s="6">
        <f>COUNTIF(Voci!$G$3:$G$193,"stima")</f>
        <v/>
      </c>
    </row>
    <row r="8">
      <c r="A8" s="6" t="inlineStr">
        <is>
          <t>derivazione</t>
        </is>
      </c>
      <c r="B8" s="6">
        <f>COUNTIF(Voci!$G$3:$G$193,"derivazione")</f>
        <v/>
      </c>
    </row>
    <row r="9">
      <c r="A9" s="6" t="inlineStr">
        <is>
          <t>prassi di cantiere</t>
        </is>
      </c>
      <c r="B9" s="6">
        <f>COUNTIF(Voci!$G$3:$G$193,"prassi di cantiere")</f>
        <v/>
      </c>
    </row>
    <row r="10">
      <c r="A10" s="3" t="inlineStr">
        <is>
          <t>Totale voci</t>
        </is>
      </c>
      <c r="B10" s="3">
        <f>COUNTA(Voci!$A$3:$A$193)</f>
        <v/>
      </c>
    </row>
    <row r="12">
      <c r="A12" s="3" t="inlineStr">
        <is>
          <t>Esito</t>
        </is>
      </c>
    </row>
    <row r="13">
      <c r="A13" s="6" t="inlineStr">
        <is>
          <t>conforme</t>
        </is>
      </c>
      <c r="B13" s="6">
        <f>COUNTIF(Voci!$I$3:$I$193,"conforme")</f>
        <v/>
      </c>
    </row>
    <row r="14">
      <c r="A14" s="6" t="inlineStr">
        <is>
          <t>diverso</t>
        </is>
      </c>
      <c r="B14" s="6">
        <f>COUNTIF(Voci!$I$3:$I$193,"diverso")</f>
        <v/>
      </c>
    </row>
    <row r="15">
      <c r="A15" s="6" t="inlineStr">
        <is>
          <t>non applicabile</t>
        </is>
      </c>
      <c r="B15" s="6">
        <f>COUNTIF(Voci!$I$3:$I$193,"non applicabile")</f>
        <v/>
      </c>
    </row>
    <row r="16">
      <c r="A16" s="6" t="inlineStr">
        <is>
          <t>da compilare</t>
        </is>
      </c>
      <c r="B16" s="6">
        <f>COUNTBLANK(Voci!$I$3:$I$193)</f>
        <v/>
      </c>
    </row>
    <row r="18">
      <c r="A18" s="13" t="inlineStr">
        <is>
          <t>Conteggi sulle righe 3–193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2026-10-06T08:13:43Z</dcterms:created>
  <dcterms:modified xsi:type="dcterms:W3CDTF">2026-10-06T08:13:43Z</dcterms:modified>
</cp:coreProperties>
</file>