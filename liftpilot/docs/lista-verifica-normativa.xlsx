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'Voci'!$A$1:$N$206</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0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47"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la UNI EN 81-1:2008 (9.3 c)) no. Il software verifica sempre la condizione: se c'è il dispositivo, lo decide l'ingegnere.</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43" customHeight="1">
      <c r="A4" s="10" t="n">
        <v>2</v>
      </c>
      <c r="B4" s="10" t="inlineStr">
        <is>
          <t>Aderenza</t>
        </is>
      </c>
      <c r="C4" s="10" t="inlineStr">
        <is>
          <t>Coefficiente di attrito, caricamento</t>
        </is>
      </c>
      <c r="D4" s="10" t="inlineStr">
        <is>
          <t>μ = 0,1</t>
        </is>
      </c>
      <c r="E4" s="10" t="inlineStr">
        <is>
          <t>UNI EN 81-50:2020, 5.11.2.3.2</t>
        </is>
      </c>
      <c r="F4" s="10" t="inlineStr">
        <is>
          <t>UNI EN 81-50:2020, testo della norma, letto il 2026-10-06, p. 42</t>
        </is>
      </c>
      <c r="G4" s="10" t="inlineStr">
        <is>
          <t>confermato</t>
        </is>
      </c>
      <c r="H4" s="10" t="inlineStr">
        <is>
          <t>aderenza al caricamento</t>
        </is>
      </c>
      <c r="I4" s="11" t="n"/>
      <c r="J4" s="11" t="n"/>
      <c r="K4" s="11" t="n"/>
      <c r="L4" s="11" t="n"/>
      <c r="M4" s="11" t="n"/>
      <c r="N4" s="11" t="n"/>
    </row>
    <row r="5" ht="69" customHeight="1">
      <c r="A5" s="10" t="n">
        <v>3</v>
      </c>
      <c r="B5" s="10" t="inlineStr">
        <is>
          <t>Aderenza</t>
        </is>
      </c>
      <c r="C5" s="10" t="inlineStr">
        <is>
          <t>Coefficiente di attrito, frenatura di emergenza</t>
        </is>
      </c>
      <c r="D5" s="10" t="inlineStr">
        <is>
          <t>μ = 0,1 / (1 + v_f/10), v_f = velocità delle funi</t>
        </is>
      </c>
      <c r="E5" s="10" t="inlineStr">
        <is>
          <t>UNI EN 81-50:2020, 5.11.2.3.2</t>
        </is>
      </c>
      <c r="F5" s="10" t="inlineStr">
        <is>
          <t>UNI EN 81-50:2020, testo della norma, letto il 2026-10-06, p. 42 (v_f: velocità delle funi alla velocità nominale della cabina)</t>
        </is>
      </c>
      <c r="G5" s="10" t="inlineStr">
        <is>
          <t>confermato</t>
        </is>
      </c>
      <c r="H5" s="10" t="inlineStr">
        <is>
          <t>aderenza in frenatura, in discesa; aderenza in frenatura, in salita; aderenza alla decelerazione reale (avviso)</t>
        </is>
      </c>
      <c r="I5" s="11" t="n"/>
      <c r="J5" s="11" t="n"/>
      <c r="K5" s="11" t="n"/>
      <c r="L5" s="11" t="n"/>
      <c r="M5" s="11" t="n"/>
      <c r="N5" s="11" t="n"/>
    </row>
    <row r="6" ht="43" customHeight="1">
      <c r="A6" s="10" t="n">
        <v>4</v>
      </c>
      <c r="B6" s="10" t="inlineStr">
        <is>
          <t>Aderenza</t>
        </is>
      </c>
      <c r="C6" s="10" t="inlineStr">
        <is>
          <t>Coefficiente di attrito, contrappeso o cabina bloccati</t>
        </is>
      </c>
      <c r="D6" s="10" t="inlineStr">
        <is>
          <t>μ = 0,2</t>
        </is>
      </c>
      <c r="E6" s="10" t="inlineStr">
        <is>
          <t>UNI EN 81-50:2020, 5.11.2.3.2</t>
        </is>
      </c>
      <c r="F6" s="10" t="inlineStr">
        <is>
          <t>UNI EN 81-50:2020, testo della norma, letto il 2026-10-06, p. 42</t>
        </is>
      </c>
      <c r="G6" s="10" t="inlineStr">
        <is>
          <t>confermato</t>
        </is>
      </c>
      <c r="H6" s="10" t="inlineStr">
        <is>
          <t>cabina bloccata</t>
        </is>
      </c>
      <c r="I6" s="11" t="n"/>
      <c r="J6" s="11" t="n"/>
      <c r="K6" s="11" t="n"/>
      <c r="L6" s="11" t="n"/>
      <c r="M6" s="11" t="n"/>
      <c r="N6" s="11" t="n"/>
    </row>
    <row r="7" ht="95" customHeight="1">
      <c r="A7" s="10" t="n">
        <v>5</v>
      </c>
      <c r="B7" s="10" t="inlineStr">
        <is>
          <t>Aderenza</t>
        </is>
      </c>
      <c r="C7" s="10" t="inlineStr">
        <is>
          <t>Carico della verifica di caricamento — La norma aggiunge il peso dei dispositivi di movimentazione, dove usati negli ascensori per merci e persone: non modellato. Le due posizioni della cabina sono quelle più sfavorevoli che il software verifica.</t>
        </is>
      </c>
      <c r="D7" s="10" t="inlineStr">
        <is>
          <t>1,25·Q, cabina in basso e in alto</t>
        </is>
      </c>
      <c r="E7" s="10" t="inlineStr">
        <is>
          <t>UNI EN 81-50:2020, 5.11.2.2.1 e 5.11.3</t>
        </is>
      </c>
      <c r="F7" s="10" t="inlineStr">
        <is>
          <t>UNI EN 81-50:2020, testo della norma, letto il 2026-10-06, pp. 40 e 44 (al caricamento e con la cabina bloccata a = 0)</t>
        </is>
      </c>
      <c r="G7" s="10" t="inlineStr">
        <is>
          <t>confermato</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almeno 0,5 m/s²</t>
        </is>
      </c>
      <c r="E8" s="10" t="inlineStr">
        <is>
          <t>UNI EN 81-50:2020, 5.11.2.2.2</t>
        </is>
      </c>
      <c r="F8" s="10" t="inlineStr">
        <is>
          <t>UNI EN 81-50:2020, testo della norma, letto il 2026-10-06, p. 40</t>
        </is>
      </c>
      <c r="G8" s="10" t="inlineStr">
        <is>
          <t>confermato</t>
        </is>
      </c>
      <c r="H8" s="10" t="inlineStr">
        <is>
          <t>aderenza in frenatura, in discesa; aderenza in frenatura, in salita</t>
        </is>
      </c>
      <c r="I8" s="11" t="n"/>
      <c r="J8" s="11" t="n"/>
      <c r="K8" s="11" t="n"/>
      <c r="L8" s="11" t="n"/>
      <c r="M8" s="11" t="n"/>
      <c r="N8" s="11" t="n"/>
    </row>
    <row r="9" ht="160" customHeight="1">
      <c r="A9" s="10" t="n">
        <v>7</v>
      </c>
      <c r="B9" s="10" t="inlineStr">
        <is>
          <t>Aderenza</t>
        </is>
      </c>
      <c r="C9"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9" s="10" t="inlineStr">
        <is>
          <t>0,8 m/s²</t>
        </is>
      </c>
      <c r="E9" s="10" t="inlineStr">
        <is>
          <t>UNI EN 81-1:2008, M.2.1.2; UNI EN 81-50:2020, 5.11.2.2.2</t>
        </is>
      </c>
      <c r="F9" s="10" t="inlineStr">
        <is>
          <t>UNI EN 81-1:2008, testo della norma, letto il 2026-10-06, p. 167; UNI EN 81-50:2020, testo della norma, letto il 2026-10-06, p. 40</t>
        </is>
      </c>
      <c r="G9" s="10" t="inlineStr">
        <is>
          <t>scelta del software</t>
        </is>
      </c>
      <c r="H9" s="10" t="inlineStr">
        <is>
          <t>aderenza in frenatura, in discesa; aderenza in frenatura, in salita</t>
        </is>
      </c>
      <c r="I9" s="11" t="n"/>
      <c r="J9" s="11" t="n"/>
      <c r="K9" s="11" t="n"/>
      <c r="L9" s="11" t="n"/>
      <c r="M9" s="11" t="n"/>
      <c r="N9" s="11" t="n"/>
    </row>
    <row r="10" ht="43" customHeight="1">
      <c r="A10" s="10" t="n">
        <v>8</v>
      </c>
      <c r="B10" s="10" t="inlineStr">
        <is>
          <t>Aderenza</t>
        </is>
      </c>
      <c r="C10" s="10" t="inlineStr">
        <is>
          <t>Combinazioni della frenatura di emergenza</t>
        </is>
      </c>
      <c r="D10" s="10" t="inlineStr">
        <is>
          <t>cabina vuota e con portata × in discesa e in salita × in basso e in alto; conta la peggiore per verso</t>
        </is>
      </c>
      <c r="E10" s="10" t="inlineStr">
        <is>
          <t>UNI EN 81-50:2020, 5.11.2.2.2</t>
        </is>
      </c>
      <c r="F10" s="10" t="inlineStr">
        <is>
          <t>derivazione (copertura completa dei casi)</t>
        </is>
      </c>
      <c r="G10" s="10" t="inlineStr">
        <is>
          <t>scelta del software</t>
        </is>
      </c>
      <c r="H10" s="10" t="inlineStr">
        <is>
          <t>aderenza in frenatura, in discesa; aderenza in frenatura, in salita</t>
        </is>
      </c>
      <c r="I10" s="11" t="n"/>
      <c r="J10" s="11" t="n"/>
      <c r="K10" s="11" t="n"/>
      <c r="L10" s="11" t="n"/>
      <c r="M10" s="11" t="n"/>
      <c r="N10" s="11" t="n"/>
    </row>
    <row r="11" ht="121" customHeight="1">
      <c r="A11" s="10" t="n">
        <v>9</v>
      </c>
      <c r="B11" s="10" t="inlineStr">
        <is>
          <t>Aderenza</t>
        </is>
      </c>
      <c r="C11"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1" s="10" t="inlineStr">
        <is>
          <t>Seconda verifica con la decelerazione data dal freno (tutti i gruppi, mai sotto il minimo); oggi solo avviso</t>
        </is>
      </c>
      <c r="E11" s="10" t="inlineStr">
        <is>
          <t>UNI EN 81-50:2020, 5.11.2.2.2</t>
        </is>
      </c>
      <c r="F11" s="10" t="inlineStr">
        <is>
          <t>UNI EN 81-50:2020, testo della norma, letto il 2026-10-06, p. 40</t>
        </is>
      </c>
      <c r="G11" s="10" t="inlineStr">
        <is>
          <t>scelta del software</t>
        </is>
      </c>
      <c r="H11" s="10" t="inlineStr">
        <is>
          <t>aderenza alla decelerazione reale (avviso)</t>
        </is>
      </c>
      <c r="I11" s="11" t="n"/>
      <c r="J11" s="11" t="n"/>
      <c r="K11" s="11" t="n"/>
      <c r="L11" s="11" t="n"/>
      <c r="M11" s="11" t="n"/>
      <c r="N11" s="11" t="n"/>
    </row>
    <row r="12" ht="69" customHeight="1">
      <c r="A12" s="10" t="n">
        <v>10</v>
      </c>
      <c r="B12" s="10" t="inlineStr">
        <is>
          <t>Aderenza</t>
        </is>
      </c>
      <c r="C12" s="10" t="inlineStr">
        <is>
          <t>Soglia di attenzione sull'utilizzo dell'aderenza</t>
        </is>
      </c>
      <c r="D12" s="10" t="inlineStr">
        <is>
          <t>utilizzo &gt; 0,97 → «Attenzione»</t>
        </is>
      </c>
      <c r="E12" s="10" t="inlineStr">
        <is>
          <t>—</t>
        </is>
      </c>
      <c r="F12" s="10" t="inlineStr">
        <is>
          <t>scelta del software (margine per incertezza su masse e bilanciamento)</t>
        </is>
      </c>
      <c r="G12" s="10" t="inlineStr">
        <is>
          <t>scelta del software</t>
        </is>
      </c>
      <c r="H12" s="10" t="inlineStr">
        <is>
          <t>aderenza al caricamento; aderenza in frenatura, in discesa; aderenza in frenatura, in salita; aderenza alla decelerazione reale (avviso)</t>
        </is>
      </c>
      <c r="I12" s="11" t="n"/>
      <c r="J12" s="11" t="n"/>
      <c r="K12" s="11" t="n"/>
      <c r="L12" s="11" t="n"/>
      <c r="M12" s="11" t="n"/>
      <c r="N12" s="11" t="n"/>
    </row>
    <row r="13" ht="56" customHeight="1">
      <c r="A13" s="10" t="n">
        <v>11</v>
      </c>
      <c r="B13" s="10" t="inlineStr">
        <is>
          <t>Gole</t>
        </is>
      </c>
      <c r="C13" s="10" t="inlineStr">
        <is>
          <t>Fattore di gola, semicircolare con o senza sottosquadro</t>
        </is>
      </c>
      <c r="D13" s="10" t="inlineStr">
        <is>
          <t>f = μ·4·(cos(γ/2) − sin(β/2)) / (π − β − γ − sin β + sin γ); senza sottosquadro β = 0</t>
        </is>
      </c>
      <c r="E13" s="10" t="inlineStr">
        <is>
          <t>UNI EN 81-50:2020, 5.11.2.3.1.1</t>
        </is>
      </c>
      <c r="F13" s="10" t="inlineStr">
        <is>
          <t>UNI EN 81-50:2020, testo della norma, letto il 2026-10-06, pp. 40–41</t>
        </is>
      </c>
      <c r="G13" s="10" t="inlineStr">
        <is>
          <t>confermato</t>
        </is>
      </c>
      <c r="H13" s="10" t="inlineStr">
        <is>
          <t>aderenza al caricamento; aderenza in frenatura, in discesa; aderenza in frenatura, in salita; cabina bloccata</t>
        </is>
      </c>
      <c r="I13" s="11" t="n"/>
      <c r="J13" s="11" t="n"/>
      <c r="K13" s="11" t="n"/>
      <c r="L13" s="11" t="n"/>
      <c r="M13" s="11" t="n"/>
      <c r="N13" s="11" t="n"/>
    </row>
    <row r="14" ht="69" customHeight="1">
      <c r="A14" s="10" t="n">
        <v>12</v>
      </c>
      <c r="B14" s="10" t="inlineStr">
        <is>
          <t>Gole</t>
        </is>
      </c>
      <c r="C14" s="10" t="inlineStr">
        <is>
          <t>Fattore di gola a V — la norma dà f = μ / sin(γ/2) per il contrappeso bloccato; il software la usa anche per la cabina bloccata nella posizione più bassa (5.11.2.2.3)</t>
        </is>
      </c>
      <c r="D14" s="10" t="inlineStr">
        <is>
          <t>non temprata, al caricamento e in frenatura: f = μ·4·(1 − sin(β/2)) / (π − β − sin β); temprata, e ogni gola a V con il contrappeso o la cabina bloccati: f = μ / sin(γ/2)</t>
        </is>
      </c>
      <c r="E14" s="10" t="inlineStr">
        <is>
          <t>UNI EN 81-50:2020, 5.11.2.3.1.2</t>
        </is>
      </c>
      <c r="F14" s="10" t="inlineStr">
        <is>
          <t>UNI EN 81-50:2020, testo della norma, letto il 2026-10-06, p. 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56" customHeight="1">
      <c r="A15" s="10" t="n">
        <v>13</v>
      </c>
      <c r="B15" s="10" t="inlineStr">
        <is>
          <t>Gole</t>
        </is>
      </c>
      <c r="C15" s="10" t="inlineStr">
        <is>
          <t>Limite del sottosquadro — fino alla versione 1.1.0 del motore il limite era 106°, il valore raccomandato della UNI EN 81-1:2008 (M.2.2.1.1)</t>
        </is>
      </c>
      <c r="D15" s="10" t="inlineStr">
        <is>
          <t>β ≤ 105° (1,83 rad; oltre: KO)</t>
        </is>
      </c>
      <c r="E15" s="10" t="inlineStr">
        <is>
          <t>UNI EN 81-50:2020, 5.11.2.3.1.1 e 5.11.2.3.1.2</t>
        </is>
      </c>
      <c r="F15" s="10" t="inlineStr">
        <is>
          <t>UNI EN 81-50:2020, testo della norma, letto il 2026-10-06, pp. 40–41</t>
        </is>
      </c>
      <c r="G15" s="10" t="inlineStr">
        <is>
          <t>confermato</t>
        </is>
      </c>
      <c r="H15" s="10" t="inlineStr">
        <is>
          <t>geometria della gola</t>
        </is>
      </c>
      <c r="I15" s="11" t="n"/>
      <c r="J15" s="11" t="n"/>
      <c r="K15" s="11" t="n"/>
      <c r="L15" s="11" t="n"/>
      <c r="M15" s="11" t="n"/>
      <c r="N15" s="11" t="n"/>
    </row>
    <row r="16" ht="30" customHeight="1">
      <c r="A16" s="10" t="n">
        <v>14</v>
      </c>
      <c r="B16" s="10" t="inlineStr">
        <is>
          <t>Gole</t>
        </is>
      </c>
      <c r="C16" s="10" t="inlineStr">
        <is>
          <t>Sottosquadro raccomandato</t>
        </is>
      </c>
      <c r="D16" s="10" t="inlineStr">
        <is>
          <t>β ≤ 90° (oltre: «Attenzione»)</t>
        </is>
      </c>
      <c r="E16" s="10" t="inlineStr">
        <is>
          <t>—</t>
        </is>
      </c>
      <c r="F16" s="10" t="inlineStr">
        <is>
          <t>Montanari, documento tecnico del costruttore</t>
        </is>
      </c>
      <c r="G16" s="10" t="inlineStr">
        <is>
          <t>scelta del software</t>
        </is>
      </c>
      <c r="H16" s="10" t="inlineStr">
        <is>
          <t>geometria della gola</t>
        </is>
      </c>
      <c r="I16" s="11" t="n"/>
      <c r="J16" s="11" t="n"/>
      <c r="K16" s="11" t="n"/>
      <c r="L16" s="11" t="n"/>
      <c r="M16" s="11" t="n"/>
      <c r="N16" s="11" t="n"/>
    </row>
    <row r="17" ht="43" customHeight="1">
      <c r="A17" s="10" t="n">
        <v>15</v>
      </c>
      <c r="B17" s="10" t="inlineStr">
        <is>
          <t>Gole</t>
        </is>
      </c>
      <c r="C17" s="10" t="inlineStr">
        <is>
          <t>Angolo minimo della gola a V</t>
        </is>
      </c>
      <c r="D17" s="10" t="inlineStr">
        <is>
          <t>γ ≥ 35° (sotto: KO)</t>
        </is>
      </c>
      <c r="E17" s="10" t="inlineStr">
        <is>
          <t>UNI EN 81-50:2020, 5.11.2.3.1.2</t>
        </is>
      </c>
      <c r="F17" s="10" t="inlineStr">
        <is>
          <t>UNI EN 81-50:2020, testo della norma, letto il 2026-10-06, p. 41; Montanari consiglia 35–40°</t>
        </is>
      </c>
      <c r="G17" s="10" t="inlineStr">
        <is>
          <t>confermato</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semicircolare</t>
        </is>
      </c>
      <c r="D18" s="10" t="inlineStr">
        <is>
          <t>γ ≥ 25° (0,44 rad; sotto: «Attenzione»: la norma lo raccomanda, non lo impone)</t>
        </is>
      </c>
      <c r="E18" s="10" t="inlineStr">
        <is>
          <t>UNI EN 81-50:2020, 5.11.2.3.1.1</t>
        </is>
      </c>
      <c r="F18" s="10" t="inlineStr">
        <is>
          <t>UNI EN 81-50:2020, testo della norma, letto il 2026-10-06, pp. 40–41</t>
        </is>
      </c>
      <c r="G18" s="10" t="inlineStr">
        <is>
          <t>confermato</t>
        </is>
      </c>
      <c r="H18" s="10" t="inlineStr">
        <is>
          <t>geometria della gola</t>
        </is>
      </c>
      <c r="I18" s="11" t="n"/>
      <c r="J18" s="11" t="n"/>
      <c r="K18" s="11" t="n"/>
      <c r="L18" s="11" t="n"/>
      <c r="M18" s="11" t="n"/>
      <c r="N18" s="11" t="n"/>
    </row>
    <row r="19" ht="43" customHeight="1">
      <c r="A19" s="10" t="n">
        <v>17</v>
      </c>
      <c r="B19" s="10" t="inlineStr">
        <is>
          <t>Funi</t>
        </is>
      </c>
      <c r="C19" s="10" t="inlineStr">
        <is>
          <t>Rapporto D/d della puleggia di trazione</t>
        </is>
      </c>
      <c r="D19" s="10" t="inlineStr">
        <is>
          <t>D/d ≥ 40</t>
        </is>
      </c>
      <c r="E19" s="10" t="inlineStr">
        <is>
          <t>UNI EN 81-20:2020, 5.5.2.1</t>
        </is>
      </c>
      <c r="F19" s="10" t="inlineStr">
        <is>
          <t>UNI EN 81-20:2020, testo della norma, letto il 2026-10-06, p. 74</t>
        </is>
      </c>
      <c r="G19" s="10" t="inlineStr">
        <is>
          <t>confermato</t>
        </is>
      </c>
      <c r="H19" s="10" t="inlineStr">
        <is>
          <t>D/d della puleggia</t>
        </is>
      </c>
      <c r="I19" s="11" t="n"/>
      <c r="J19" s="11" t="n"/>
      <c r="K19" s="11" t="n"/>
      <c r="L19" s="11" t="n"/>
      <c r="M19" s="11" t="n"/>
      <c r="N19" s="11" t="n"/>
    </row>
    <row r="20" ht="108" customHeight="1">
      <c r="A20" s="10" t="n">
        <v>18</v>
      </c>
      <c r="B20" s="10" t="inlineStr">
        <is>
          <t>Funi</t>
        </is>
      </c>
      <c r="C20" s="10" t="inlineStr">
        <is>
          <t>Rapporto D/d delle pulegge di rinvio — Il limite vale per ogni puleggia (5.5.2.1), mentre Dp è uno solo e nel calcolo di N_equiv(p) è la media delle pulegge di rinvio (UNI EN 81-50:2020, 5.12.2.3): con pulegge di diametro diverso si controlla la più piccola.</t>
        </is>
      </c>
      <c r="D20" s="10" t="inlineStr">
        <is>
          <t>Dp/d ≥ 40</t>
        </is>
      </c>
      <c r="E20" s="10" t="inlineStr">
        <is>
          <t>UNI EN 81-20:2020, 5.5.2.1; UNI 10411-1:2024, 14.3</t>
        </is>
      </c>
      <c r="F20" s="10" t="inlineStr">
        <is>
          <t>UNI EN 81-20:2020, testo della norma, letto il 2026-10-06, p. 74; UNI 10411-1:2024, testo della norma, letto il 2026-10-06, p. 14</t>
        </is>
      </c>
      <c r="G20" s="10" t="inlineStr">
        <is>
          <t>confermato</t>
        </is>
      </c>
      <c r="H20" s="10" t="inlineStr">
        <is>
          <t>Dp/d dei rinvii</t>
        </is>
      </c>
      <c r="I20" s="11" t="n"/>
      <c r="J20" s="11" t="n"/>
      <c r="K20" s="11" t="n"/>
      <c r="L20" s="11" t="n"/>
      <c r="M20" s="11" t="n"/>
      <c r="N20" s="11" t="n"/>
    </row>
    <row r="21" ht="95" customHeight="1">
      <c r="A21" s="10" t="n">
        <v>19</v>
      </c>
      <c r="B21" s="10" t="inlineStr">
        <is>
          <t>Funi</t>
        </is>
      </c>
      <c r="C21" s="10" t="inlineStr">
        <is>
          <t>Numero minimo di funi — Con 2 sole funi la UNI EN 81-20:2020 (5.5.5.3 a)) chiede anche un dispositivo elettrico di sicurezza contro l'allungamento anomalo di una fune rispetto all'altra; il software non lo verifica.</t>
        </is>
      </c>
      <c r="D21" s="10" t="inlineStr">
        <is>
          <t>almeno 2 funi indipendenti, ciascuna con il suo attacco</t>
        </is>
      </c>
      <c r="E21" s="10" t="inlineStr">
        <is>
          <t>DPR 162/1999, All. I 1.3 (Direttiva 2014/33/UE, All. I); UNI EN 81-20:2020, 5.5</t>
        </is>
      </c>
      <c r="F21" s="10" t="inlineStr">
        <is>
          <t>DPR 162/1999 consolidato (Normattiva), letto il 2026-10-02, e Direttiva 2014/33/UE nel testo ufficiale italiano (EUR-Lex, fornito dal cliente), letto il 2026-10-04 (ricerca, cap. 16): All. I 1.3</t>
        </is>
      </c>
      <c r="G21" s="10" t="inlineStr">
        <is>
          <t>confermato</t>
        </is>
      </c>
      <c r="H21" s="10" t="inlineStr">
        <is>
          <t>numero e diametro delle funi</t>
        </is>
      </c>
      <c r="I21" s="11" t="n"/>
      <c r="J21" s="11" t="n"/>
      <c r="K21" s="11" t="n"/>
      <c r="L21" s="11" t="n"/>
      <c r="M21" s="11" t="n"/>
      <c r="N21" s="11" t="n"/>
    </row>
    <row r="22" ht="43" customHeight="1">
      <c r="A22" s="10" t="n">
        <v>20</v>
      </c>
      <c r="B22" s="10" t="inlineStr">
        <is>
          <t>Funi</t>
        </is>
      </c>
      <c r="C22" s="10" t="inlineStr">
        <is>
          <t>Diametro nominale minimo</t>
        </is>
      </c>
      <c r="D22" s="10" t="inlineStr">
        <is>
          <t>d ≥ 8 mm</t>
        </is>
      </c>
      <c r="E22" s="10" t="inlineStr">
        <is>
          <t>UNI EN 81-20:2020, 5.5.1.2 a)</t>
        </is>
      </c>
      <c r="F22" s="10" t="inlineStr">
        <is>
          <t>UNI EN 81-20:2020, testo della norma, letto il 2026-10-06, p. 74</t>
        </is>
      </c>
      <c r="G22" s="10" t="inlineStr">
        <is>
          <t>confermato</t>
        </is>
      </c>
      <c r="H22" s="10" t="inlineStr">
        <is>
          <t>numero e diametro delle funi</t>
        </is>
      </c>
      <c r="I22" s="11" t="n"/>
      <c r="J22" s="11" t="n"/>
      <c r="K22" s="11" t="n"/>
      <c r="L22" s="11" t="n"/>
      <c r="M22" s="11" t="n"/>
      <c r="N22" s="11" t="n"/>
    </row>
    <row r="23" ht="108" customHeight="1">
      <c r="A23" s="10" t="n">
        <v>21</v>
      </c>
      <c r="B23" s="10" t="inlineStr">
        <is>
          <t>Funi</t>
        </is>
      </c>
      <c r="C23"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3" s="10" t="inlineStr">
        <is>
          <t>12 con tre o più funi; 16 con due funi</t>
        </is>
      </c>
      <c r="E23" s="10" t="inlineStr">
        <is>
          <t>UNI EN 81-20:2020, 5.5.2.2 a)–b); UNI 10411-1:2024, 14.1 c)–d)</t>
        </is>
      </c>
      <c r="F23" s="10" t="inlineStr">
        <is>
          <t>UNI EN 81-20:2020, testo della norma, letto il 2026-10-06, pp. 74–75; UNI 10411-1:2024, testo della norma, letto il 2026-10-06, p. 13</t>
        </is>
      </c>
      <c r="G23" s="10" t="inlineStr">
        <is>
          <t>confermato</t>
        </is>
      </c>
      <c r="H23" s="10" t="inlineStr">
        <is>
          <t>coefficiente di sicurezza delle funi</t>
        </is>
      </c>
      <c r="I23" s="11" t="n"/>
      <c r="J23" s="11" t="n"/>
      <c r="K23" s="11" t="n"/>
      <c r="L23" s="11" t="n"/>
      <c r="M23" s="11" t="n"/>
      <c r="N23" s="11" t="n"/>
    </row>
    <row r="24" ht="69" customHeight="1">
      <c r="A24" s="10" t="n">
        <v>22</v>
      </c>
      <c r="B24" s="10" t="inlineStr">
        <is>
          <t>Funi</t>
        </is>
      </c>
      <c r="C24" s="10" t="inlineStr">
        <is>
          <t>Coefficiente di sicurezza richiesto S_f</t>
        </is>
      </c>
      <c r="D24" s="10" t="inlineStr">
        <is>
          <t>S_f = 10^[2,6834 − log10(695,85·10^6·N_equiv/(D/d)^8,567) / log10(77,09·(D/d)^−2,894)]</t>
        </is>
      </c>
      <c r="E24" s="10" t="inlineStr">
        <is>
          <t>UNI EN 81-50:2020, 5.12.3 (ex UNI EN 81-1:2008, appendice N)</t>
        </is>
      </c>
      <c r="F24" s="10" t="inlineStr">
        <is>
          <t>UNI EN 81-50:2020, testo della norma, letto il 2026-10-06, p. 46; riprodotto anche su due casi pubblicati (liftdesign.it S_f 16,69; Mellor)</t>
        </is>
      </c>
      <c r="G24" s="10" t="inlineStr">
        <is>
          <t>confermato</t>
        </is>
      </c>
      <c r="H24" s="10" t="inlineStr">
        <is>
          <t>coefficiente di sicurezza delle funi</t>
        </is>
      </c>
      <c r="I24" s="11" t="n"/>
      <c r="J24" s="11" t="n"/>
      <c r="K24" s="11" t="n"/>
      <c r="L24" s="11" t="n"/>
      <c r="M24" s="11" t="n"/>
      <c r="N24" s="11" t="n"/>
    </row>
    <row r="25" ht="108" customHeight="1">
      <c r="A25" s="10" t="n">
        <v>23</v>
      </c>
      <c r="B25" s="10" t="inlineStr">
        <is>
          <t>Funi</t>
        </is>
      </c>
      <c r="C25" s="10" t="inlineStr">
        <is>
          <t>N_equiv delle pulegge — D: diametro della puleggia di trazione; Dp: media delle altre pulegge. La flessione è inversa solo tra due pulegge consecutive ad assi fissi, con i punti di contatto a meno di 200·d e i piani di flessione ruotati di oltre 120°: la classifica il progettista.</t>
        </is>
      </c>
      <c r="D25" s="10" t="inlineStr">
        <is>
          <t>N_equiv(p) = K_p·(N_ps + 4·N_pr), K_p = (D/Dp)^4</t>
        </is>
      </c>
      <c r="E25" s="10" t="inlineStr">
        <is>
          <t>UNI EN 81-50:2020, 5.12.2.3</t>
        </is>
      </c>
      <c r="F25" s="10" t="inlineStr">
        <is>
          <t>UNI EN 81-50:2020, testo della norma, letto il 2026-10-06, p. 46</t>
        </is>
      </c>
      <c r="G25" s="10" t="inlineStr">
        <is>
          <t>confermato</t>
        </is>
      </c>
      <c r="H25" s="10" t="inlineStr">
        <is>
          <t>coefficiente di sicurezza delle funi</t>
        </is>
      </c>
      <c r="I25" s="11" t="n"/>
      <c r="J25" s="11" t="n"/>
      <c r="K25" s="11" t="n"/>
      <c r="L25" s="11" t="n"/>
      <c r="M25" s="11" t="n"/>
      <c r="N25" s="11" t="n"/>
    </row>
    <row r="26" ht="82" customHeight="1">
      <c r="A26" s="10" t="n">
        <v>24</v>
      </c>
      <c r="B26" s="10" t="inlineStr">
        <is>
          <t>Funi</t>
        </is>
      </c>
      <c r="C26" s="10" t="inlineStr">
        <is>
          <t>N_equiv(t) della gola — Il prospetto non ha una riga per la gola a V con sottosquadro: il software prende il maggiore tra il valore di β (riga a U) e quello di γ (riga a V), dal lato della sicurezza.</t>
        </is>
      </c>
      <c r="D26" s="10" t="inlineStr">
        <is>
          <t>U senza sottosquadro 1 · U con sottosquadro: β 75° 2,5; 80° 3,0; 85° 3,8; 90° 5,0; 95° 6,7; 100° 10,0; 105° 15,2 · V: γ 35° 18,5; 36° 16,0; 38° 12,0; 40° 10,0; 42° 8,0; 45° 6,5; 50° 5,0</t>
        </is>
      </c>
      <c r="E26" s="10" t="inlineStr">
        <is>
          <t>UNI EN 81-50:2020, 5.12.2.2, prospetto 2</t>
        </is>
      </c>
      <c r="F26" s="10" t="inlineStr">
        <is>
          <t>UNI EN 81-50:2020, testo della norma, letto il 2026-10-06, p. 46 (i valori della gola a V differiscono da quelli della UNI EN 81-1:2008, prospetto N.1)</t>
        </is>
      </c>
      <c r="G26" s="10" t="inlineStr">
        <is>
          <t>confermato</t>
        </is>
      </c>
      <c r="H26" s="10" t="inlineStr">
        <is>
          <t>coefficiente di sicurezza delle funi</t>
        </is>
      </c>
      <c r="I26" s="11" t="n"/>
      <c r="J26" s="11" t="n"/>
      <c r="K26" s="11" t="n"/>
      <c r="L26" s="11" t="n"/>
      <c r="M26" s="11" t="n"/>
      <c r="N26" s="11" t="n"/>
    </row>
    <row r="27" ht="43" customHeight="1">
      <c r="A27" s="10" t="n">
        <v>25</v>
      </c>
      <c r="B27" s="10" t="inlineStr">
        <is>
          <t>Funi</t>
        </is>
      </c>
      <c r="C27" s="10" t="inlineStr">
        <is>
          <t>Angoli tra i punti della tabella di N_equiv(t)</t>
        </is>
      </c>
      <c r="D27" s="10" t="inlineStr">
        <is>
          <t>interpolazione lineare tra i due punti vicini</t>
        </is>
      </c>
      <c r="E27" s="10" t="inlineStr">
        <is>
          <t>UNI EN 81-50:2020, 5.12.2.2</t>
        </is>
      </c>
      <c r="F27" s="10" t="inlineStr">
        <is>
          <t>UNI EN 81-50:2020, testo della norma, letto il 2026-10-06, p. 46</t>
        </is>
      </c>
      <c r="G27" s="10" t="inlineStr">
        <is>
          <t>confermato</t>
        </is>
      </c>
      <c r="H27" s="10" t="inlineStr">
        <is>
          <t>coefficiente di sicurezza delle funi</t>
        </is>
      </c>
      <c r="I27" s="11" t="n"/>
      <c r="J27" s="11" t="n"/>
      <c r="K27" s="11" t="n"/>
      <c r="L27" s="11" t="n"/>
      <c r="M27" s="11" t="n"/>
      <c r="N27" s="11" t="n"/>
    </row>
    <row r="28" ht="82" customHeight="1">
      <c r="A28" s="10" t="n">
        <v>26</v>
      </c>
      <c r="B28" s="10" t="inlineStr">
        <is>
          <t>Funi</t>
        </is>
      </c>
      <c r="C28" s="10" t="inlineStr">
        <is>
          <t>Angoli fuori dalla tabella di N_equiv(t)</t>
        </is>
      </c>
      <c r="D28" s="10" t="inlineStr">
        <is>
          <t>U: sotto 75° il valore di 75°, oltre 105° estrapolazione dall'ultimo tratto, segnalata · V: oltre 50° il valore di 50°</t>
        </is>
      </c>
      <c r="E28" s="10" t="inlineStr">
        <is>
          <t>UNI EN 81-50:2020, 5.12.2.2</t>
        </is>
      </c>
      <c r="F28" s="10" t="inlineStr">
        <is>
          <t>scelta prudente del software (la tabella si ferma a quegli angoli; N_equiv cresce con β e cala con γ, quindi il valore dell'estremo sta dal lato della sicurezza)</t>
        </is>
      </c>
      <c r="G28" s="10" t="inlineStr">
        <is>
          <t>scelta del software</t>
        </is>
      </c>
      <c r="H28" s="10" t="inlineStr">
        <is>
          <t>coefficiente di sicurezza delle funi</t>
        </is>
      </c>
      <c r="I28" s="11" t="n"/>
      <c r="J28" s="11" t="n"/>
      <c r="K28" s="11" t="n"/>
      <c r="L28" s="11" t="n"/>
      <c r="M28" s="11" t="n"/>
      <c r="N28" s="11" t="n"/>
    </row>
    <row r="29" ht="56" customHeight="1">
      <c r="A29" s="10" t="n">
        <v>27</v>
      </c>
      <c r="B29" s="10" t="inlineStr">
        <is>
          <t>Funi</t>
        </is>
      </c>
      <c r="C29" s="10" t="inlineStr">
        <is>
          <t>Tiro massimo per fune — Con la macchina in basso il tiro sul primo tratto verso la testata è una derivazione del software.</t>
        </is>
      </c>
      <c r="D29" s="10" t="inlineStr">
        <is>
          <t>cabina con portata ferma al piano più basso; con la macchina in basso sul primo tratto verso la testata</t>
        </is>
      </c>
      <c r="E29" s="10" t="inlineStr">
        <is>
          <t>UNI EN 81-20:2020, 5.5.2.2 (definizione); UNI EN 81-50:2020, 5.12.1</t>
        </is>
      </c>
      <c r="F29" s="10" t="inlineStr">
        <is>
          <t>UNI EN 81-20:2020, testo della norma, letto il 2026-10-06, pp. 74–75</t>
        </is>
      </c>
      <c r="G29" s="10" t="inlineStr">
        <is>
          <t>confermato</t>
        </is>
      </c>
      <c r="H29" s="10" t="inlineStr">
        <is>
          <t>coefficiente di sicurezza delle funi</t>
        </is>
      </c>
      <c r="I29" s="11" t="n"/>
      <c r="J29" s="11" t="n"/>
      <c r="K29" s="11" t="n"/>
      <c r="L29" s="11" t="n"/>
      <c r="M29" s="11" t="n"/>
      <c r="N29" s="11" t="n"/>
    </row>
    <row r="30" ht="43" customHeight="1">
      <c r="A30" s="10" t="n">
        <v>28</v>
      </c>
      <c r="B30" s="10" t="inlineStr">
        <is>
          <t>Funi</t>
        </is>
      </c>
      <c r="C30" s="10" t="inlineStr">
        <is>
          <t>Stima di carico di rottura e massa delle funi</t>
        </is>
      </c>
      <c r="D30" s="10" t="inlineStr">
        <is>
          <t>8×19 Seale anima tessile 1570 N/mm²: 8 mm = 30,4 kN e 0,215 kg/m, poi in proporzione a d²</t>
        </is>
      </c>
      <c r="E30" s="10" t="inlineStr">
        <is>
          <t>—</t>
        </is>
      </c>
      <c r="F30" s="10" t="inlineStr">
        <is>
          <t>tabella Pfeifer 8×19S NFC; usata solo con il pulsante di stima e nella proposta libera</t>
        </is>
      </c>
      <c r="G30" s="10" t="inlineStr">
        <is>
          <t>stima</t>
        </is>
      </c>
      <c r="H30" s="10" t="inlineStr">
        <is>
          <t>—</t>
        </is>
      </c>
      <c r="I30" s="11" t="n"/>
      <c r="J30" s="11" t="n"/>
      <c r="K30" s="11" t="n"/>
      <c r="L30" s="11" t="n"/>
      <c r="M30" s="11" t="n"/>
      <c r="N30" s="11" t="n"/>
    </row>
    <row r="31" ht="69" customHeight="1">
      <c r="A31" s="10" t="n">
        <v>29</v>
      </c>
      <c r="B31" s="10" t="inlineStr">
        <is>
          <t>Freno</t>
        </is>
      </c>
      <c r="C31" s="10" t="inlineStr">
        <is>
          <t>Gruppi meccanici del freno</t>
        </is>
      </c>
      <c r="D31" s="10" t="inlineStr">
        <is>
          <t>almeno 2</t>
        </is>
      </c>
      <c r="E31" s="10" t="inlineStr">
        <is>
          <t>UNI EN 81-20:2020, 5.9.2.2.2.1; UNI 10411-1:2024, 14.1 a)</t>
        </is>
      </c>
      <c r="F31" s="10" t="inlineStr">
        <is>
          <t>UNI EN 81-20:2020, testo della norma, letto il 2026-10-06, p. 100; UNI 10411-1:2024, testo della norma, letto il 2026-10-06, p. 13</t>
        </is>
      </c>
      <c r="G31" s="10" t="inlineStr">
        <is>
          <t>confermato</t>
        </is>
      </c>
      <c r="H31" s="10" t="inlineStr">
        <is>
          <t>gruppi del freno</t>
        </is>
      </c>
      <c r="I31" s="11" t="n"/>
      <c r="J31" s="11" t="n"/>
      <c r="K31" s="11" t="n"/>
      <c r="L31" s="11" t="n"/>
      <c r="M31" s="11" t="n"/>
      <c r="N31" s="11" t="n"/>
    </row>
    <row r="32" ht="43" customHeight="1">
      <c r="A32" s="10" t="n">
        <v>30</v>
      </c>
      <c r="B32" s="10" t="inlineStr">
        <is>
          <t>Freno</t>
        </is>
      </c>
      <c r="C32" s="10" t="inlineStr">
        <is>
          <t>Freno, tutti i gruppi</t>
        </is>
      </c>
      <c r="D32" s="10" t="inlineStr">
        <is>
          <t>arresta la cabina in discesa a velocità nominale con 1,25·Q</t>
        </is>
      </c>
      <c r="E32" s="10" t="inlineStr">
        <is>
          <t>UNI EN 81-20:2020, 5.9.2.2.2.1</t>
        </is>
      </c>
      <c r="F32" s="10" t="inlineStr">
        <is>
          <t>UNI EN 81-20:2020, testo della norma, letto il 2026-10-06, p. 100</t>
        </is>
      </c>
      <c r="G32" s="10" t="inlineStr">
        <is>
          <t>confermato</t>
        </is>
      </c>
      <c r="H32" s="10" t="inlineStr">
        <is>
          <t>freno, tutti i gruppi</t>
        </is>
      </c>
      <c r="I32" s="11" t="n"/>
      <c r="J32" s="11" t="n"/>
      <c r="K32" s="11" t="n"/>
      <c r="L32" s="11" t="n"/>
      <c r="M32" s="11" t="n"/>
      <c r="N32" s="11" t="n"/>
    </row>
    <row r="33" ht="95" customHeight="1">
      <c r="A33" s="10" t="n">
        <v>31</v>
      </c>
      <c r="B33" s="10" t="inlineStr">
        <is>
          <t>Freno</t>
        </is>
      </c>
      <c r="C33" s="10" t="inlineStr">
        <is>
          <t>Freno, un solo gruppo — La UNI 10411-1:2024 (11.1.4) e la UNI EN 81-1:2008 (12.4.2.1) chiedono a un solo gruppo di rallentare la cabina carica in discesa; il software applica la richiesta più completa della UNI EN 81-20.</t>
        </is>
      </c>
      <c r="D33" s="10" t="inlineStr">
        <is>
          <t>rallenta, arresta e tiene la cabina con portata in discesa e la cabina vuota in salita</t>
        </is>
      </c>
      <c r="E33" s="10" t="inlineStr">
        <is>
          <t>UNI EN 81-20:2020, 5.9.2.2.2.1; UNI 10411-1:2024, 14.1 a)</t>
        </is>
      </c>
      <c r="F33" s="10" t="inlineStr">
        <is>
          <t>UNI EN 81-20:2020, testo della norma, letto il 2026-10-06, p. 100; UNI 10411-1:2024, testo della norma, letto il 2026-10-06, p. 13</t>
        </is>
      </c>
      <c r="G33" s="10" t="inlineStr">
        <is>
          <t>confermato</t>
        </is>
      </c>
      <c r="H33" s="10" t="inlineStr">
        <is>
          <t>freno, un gruppo in discesa; freno, un gruppo a vuoto in salita</t>
        </is>
      </c>
      <c r="I33" s="11" t="n"/>
      <c r="J33" s="11" t="n"/>
      <c r="K33" s="11" t="n"/>
      <c r="L33" s="11" t="n"/>
      <c r="M33" s="11" t="n"/>
      <c r="N33" s="11" t="n"/>
    </row>
    <row r="34" ht="43" customHeight="1">
      <c r="A34" s="10" t="n">
        <v>32</v>
      </c>
      <c r="B34" s="10" t="inlineStr">
        <is>
          <t>Freno</t>
        </is>
      </c>
      <c r="C34" s="10" t="inlineStr">
        <is>
          <t>Attrito del riduttore nel fabbisogno del freno</t>
        </is>
      </c>
      <c r="D34" s="10" t="inlineStr">
        <is>
          <t>non conteggiato (η_i = 1): a favore di sicurezza</t>
        </is>
      </c>
      <c r="E34" s="10" t="inlineStr">
        <is>
          <t>—</t>
        </is>
      </c>
      <c r="F34" s="10" t="inlineStr">
        <is>
          <t>scelta prudente del software</t>
        </is>
      </c>
      <c r="G34" s="10" t="inlineStr">
        <is>
          <t>scelta del software</t>
        </is>
      </c>
      <c r="H34" s="10" t="inlineStr">
        <is>
          <t>freno, tutti i gruppi; freno, un gruppo in discesa; freno, un gruppo a vuoto in salita</t>
        </is>
      </c>
      <c r="I34" s="11" t="n"/>
      <c r="J34" s="11" t="n"/>
      <c r="K34" s="11" t="n"/>
      <c r="L34" s="11" t="n"/>
      <c r="M34" s="11" t="n"/>
      <c r="N34" s="11" t="n"/>
    </row>
    <row r="35" ht="108" customHeight="1">
      <c r="A35" s="10" t="n">
        <v>33</v>
      </c>
      <c r="B35" s="10" t="inlineStr">
        <is>
          <t>Freno</t>
        </is>
      </c>
      <c r="C35"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5" s="10" t="inlineStr">
        <is>
          <t>≤ 1 g (oltre: «Attenzione»), da confrontare con paracadute e ammortizzatori</t>
        </is>
      </c>
      <c r="E35" s="10" t="inlineStr">
        <is>
          <t>UNI EN 81-20:2020, 5.9.2.2.2.1 (non oltre il paracadute o l'urto sugli ammortizzatori); 1 gn in 5.6.2.1.3 e 5.8.2; con il freno come organo d'arresto, 1 gn anche in 5.6.6.3 (ACOP) e 5.6.7.6 (UCM)</t>
        </is>
      </c>
      <c r="F35" s="10" t="inlineStr">
        <is>
          <t>UNI EN 81-20:2020, testo della norma, letto il 2026-10-06, pp. 81, 98–100</t>
        </is>
      </c>
      <c r="G35" s="10" t="inlineStr">
        <is>
          <t>derivazione</t>
        </is>
      </c>
      <c r="H35" s="10" t="inlineStr">
        <is>
          <t>decelerazione massima del freno</t>
        </is>
      </c>
      <c r="I35" s="11" t="n"/>
      <c r="J35" s="11" t="n"/>
      <c r="K35" s="11" t="n"/>
      <c r="L35" s="11" t="n"/>
      <c r="M35" s="11" t="n"/>
      <c r="N35" s="11" t="n"/>
    </row>
    <row r="36" ht="56" customHeight="1">
      <c r="A36" s="10" t="n">
        <v>34</v>
      </c>
      <c r="B36" s="10" t="inlineStr">
        <is>
          <t>Riduttore e motore</t>
        </is>
      </c>
      <c r="C36" s="10" t="inlineStr">
        <is>
          <t>Rendimento inverso del riduttore se non dato — Da sostituire con il valore del costruttore: la decelerazione reale del freno ne dipende molto.</t>
        </is>
      </c>
      <c r="D36" s="10" t="inlineStr">
        <is>
          <t>η_i ≈ 2 − 1/η_d (0 = irreversibile)</t>
        </is>
      </c>
      <c r="E36" s="10" t="inlineStr">
        <is>
          <t>—</t>
        </is>
      </c>
      <c r="F36" s="10" t="inlineStr">
        <is>
          <t>approssimazione della teoria della vite senza fine</t>
        </is>
      </c>
      <c r="G36" s="10" t="inlineStr">
        <is>
          <t>stima</t>
        </is>
      </c>
      <c r="H36" s="10" t="inlineStr">
        <is>
          <t>aderenza alla decelerazione reale (avviso); decelerazione massima del freno</t>
        </is>
      </c>
      <c r="I36" s="11" t="n"/>
      <c r="J36" s="11" t="n"/>
      <c r="K36" s="11" t="n"/>
      <c r="L36" s="11" t="n"/>
      <c r="M36" s="11" t="n"/>
      <c r="N36" s="11" t="n"/>
    </row>
    <row r="37" ht="43" customHeight="1">
      <c r="A37" s="10" t="n">
        <v>35</v>
      </c>
      <c r="B37" s="10" t="inlineStr">
        <is>
          <t>Riduttore e motore</t>
        </is>
      </c>
      <c r="C37" s="10" t="inlineStr">
        <is>
          <t>Coppia di accelerazione</t>
        </is>
      </c>
      <c r="D37" s="10" t="inlineStr">
        <is>
          <t>≤ 2 volte la coppia nominale (oltre: «Attenzione»; nella proposta: criterio di scelta del motore)</t>
        </is>
      </c>
      <c r="E37" s="10" t="inlineStr">
        <is>
          <t>—</t>
        </is>
      </c>
      <c r="F37" s="10" t="inlineStr">
        <is>
          <t>scelta del software; il limite vero è quello di motore e inverter</t>
        </is>
      </c>
      <c r="G37" s="10" t="inlineStr">
        <is>
          <t>scelta del software</t>
        </is>
      </c>
      <c r="H37" s="10" t="inlineStr">
        <is>
          <t>coppia di accelerazione</t>
        </is>
      </c>
      <c r="I37" s="11" t="n"/>
      <c r="J37" s="11" t="n"/>
      <c r="K37" s="11" t="n"/>
      <c r="L37" s="11" t="n"/>
      <c r="M37" s="11" t="n"/>
      <c r="N37" s="11" t="n"/>
    </row>
    <row r="38" ht="30" customHeight="1">
      <c r="A38" s="10" t="n">
        <v>36</v>
      </c>
      <c r="B38" s="10" t="inlineStr">
        <is>
          <t>Riduttore e motore</t>
        </is>
      </c>
      <c r="C38" s="10" t="inlineStr">
        <is>
          <t>Soglia di attenzione sui limiti del costruttore</t>
        </is>
      </c>
      <c r="D38" s="10" t="inlineStr">
        <is>
          <t>oltre il 98% del limite di catalogo (albero, coppia in uscita) → «Attenzione»</t>
        </is>
      </c>
      <c r="E38" s="10" t="inlineStr">
        <is>
          <t>—</t>
        </is>
      </c>
      <c r="F38" s="10" t="inlineStr">
        <is>
          <t>scelta del software</t>
        </is>
      </c>
      <c r="G38" s="10" t="inlineStr">
        <is>
          <t>scelta del software</t>
        </is>
      </c>
      <c r="H38" s="10" t="inlineStr">
        <is>
          <t>carico sull'albero; coppia in uscita</t>
        </is>
      </c>
      <c r="I38" s="11" t="n"/>
      <c r="J38" s="11" t="n"/>
      <c r="K38" s="11" t="n"/>
      <c r="L38" s="11" t="n"/>
      <c r="M38" s="11" t="n"/>
      <c r="N38" s="11" t="n"/>
    </row>
    <row r="39" ht="43" customHeight="1">
      <c r="A39" s="10" t="n">
        <v>37</v>
      </c>
      <c r="B39" s="10" t="inlineStr">
        <is>
          <t>Riduttore e motore</t>
        </is>
      </c>
      <c r="C39" s="10" t="inlineStr">
        <is>
          <t>Potenza statica del motore</t>
        </is>
      </c>
      <c r="D39" s="10" t="inlineStr">
        <is>
          <t>P_st = ΔF·v_f / (η_d·η_vano) ≤ P_n, con ΔF il maggiore tra cabina carica in salita dal basso e vuota in discesa dall'alto</t>
        </is>
      </c>
      <c r="E39" s="10" t="inlineStr">
        <is>
          <t>—</t>
        </is>
      </c>
      <c r="F39" s="10" t="inlineStr">
        <is>
          <t>derivazione</t>
        </is>
      </c>
      <c r="G39" s="10" t="inlineStr">
        <is>
          <t>derivazione</t>
        </is>
      </c>
      <c r="H39" s="10" t="inlineStr">
        <is>
          <t>potenza del motore</t>
        </is>
      </c>
      <c r="I39" s="11" t="n"/>
      <c r="J39" s="11" t="n"/>
      <c r="K39" s="11" t="n"/>
      <c r="L39" s="11" t="n"/>
      <c r="M39" s="11" t="n"/>
      <c r="N39" s="11" t="n"/>
    </row>
    <row r="40" ht="30" customHeight="1">
      <c r="A40" s="10" t="n">
        <v>38</v>
      </c>
      <c r="B40" s="10" t="inlineStr">
        <is>
          <t>Riduttore e motore</t>
        </is>
      </c>
      <c r="C40" s="10" t="inlineStr">
        <is>
          <t>Coppia massima in uscita dal riduttore</t>
        </is>
      </c>
      <c r="D40" s="10" t="inlineStr">
        <is>
          <t>M_p = ΔF·D/2 + J·i·α_m, confrontata con il valore di catalogo se inserito</t>
        </is>
      </c>
      <c r="E40" s="10" t="inlineStr">
        <is>
          <t>dato del costruttore</t>
        </is>
      </c>
      <c r="F40" s="10" t="inlineStr">
        <is>
          <t>derivazione</t>
        </is>
      </c>
      <c r="G40" s="10" t="inlineStr">
        <is>
          <t>derivazione</t>
        </is>
      </c>
      <c r="H40" s="10" t="inlineStr">
        <is>
          <t>coppia in uscita</t>
        </is>
      </c>
      <c r="I40" s="11" t="n"/>
      <c r="J40" s="11" t="n"/>
      <c r="K40" s="11" t="n"/>
      <c r="L40" s="11" t="n"/>
      <c r="M40" s="11" t="n"/>
      <c r="N40" s="11" t="n"/>
    </row>
    <row r="41" ht="147" customHeight="1">
      <c r="A41" s="10" t="n">
        <v>39</v>
      </c>
      <c r="B41" s="10" t="inlineStr">
        <is>
          <t>Riduttore e motore</t>
        </is>
      </c>
      <c r="C41"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1" s="10" t="inlineStr">
        <is>
          <t>con metà portata a metà corsa, in salita e in discesa, non oltre il 5 % sopra la nominale (buona pratica: non oltre l'8 % sotto); non verificata: il software mostra la velocità reale e la frequenza per la nominale</t>
        </is>
      </c>
      <c r="E41" s="10" t="inlineStr">
        <is>
          <t>UNI EN 81-20:2020, 5.9.2.4; UNI 10411-1:2024, 15.1</t>
        </is>
      </c>
      <c r="F41" s="10" t="inlineStr">
        <is>
          <t>UNI EN 81-20:2020, testo della norma, letto il 2026-10-06, p. 102; UNI 10411-1:2024, testo della norma, letto il 2026-10-06, p. 14</t>
        </is>
      </c>
      <c r="G41" s="10" t="inlineStr">
        <is>
          <t>confermato</t>
        </is>
      </c>
      <c r="H41" s="10" t="inlineStr">
        <is>
          <t>—</t>
        </is>
      </c>
      <c r="I41" s="11" t="n"/>
      <c r="J41" s="11" t="n"/>
      <c r="K41" s="11" t="n"/>
      <c r="L41" s="11" t="n"/>
      <c r="M41" s="11" t="n"/>
      <c r="N41" s="11" t="n"/>
    </row>
    <row r="42" ht="69" customHeight="1">
      <c r="A42" s="10" t="n">
        <v>40</v>
      </c>
      <c r="B42" s="10" t="inlineStr">
        <is>
          <t>Manovra di emergenza</t>
        </is>
      </c>
      <c r="C42" s="10" t="inlineStr">
        <is>
          <t>Forza massima al volantino — Il software verifica i 400 N; i 150 N del mezzo meccanico (5.9.2.3.1 a)) non sono verificati: sono nella lista da verificare.</t>
        </is>
      </c>
      <c r="D42" s="10" t="inlineStr">
        <is>
          <t>≤ 400 N per far salire la cabina con la portata, altrimenti manovra elettrica di emergenza; il mezzo meccanico è ammesso se per portare la cabina a una fermata bastano 150 N</t>
        </is>
      </c>
      <c r="E42" s="10" t="inlineStr">
        <is>
          <t>UNI EN 81-20:2020, 5.9.2.3.3 (400 N) e 5.9.2.3.1 a) (150 N)</t>
        </is>
      </c>
      <c r="F42" s="10" t="inlineStr">
        <is>
          <t>UNI EN 81-20:2020, testo della norma, letto il 2026-10-06, pp. 101–102</t>
        </is>
      </c>
      <c r="G42" s="10" t="inlineStr">
        <is>
          <t>confermato</t>
        </is>
      </c>
      <c r="H42" s="10" t="inlineStr">
        <is>
          <t>forza al volantino</t>
        </is>
      </c>
      <c r="I42" s="11" t="n"/>
      <c r="J42" s="11" t="n"/>
      <c r="K42" s="11" t="n"/>
      <c r="L42" s="11" t="n"/>
      <c r="M42" s="11" t="n"/>
      <c r="N42" s="11" t="n"/>
    </row>
    <row r="43" ht="56" customHeight="1">
      <c r="A43" s="10" t="n">
        <v>41</v>
      </c>
      <c r="B43" s="10" t="inlineStr">
        <is>
          <t>Albero e ancoraggi</t>
        </is>
      </c>
      <c r="C43" s="10" t="inlineStr">
        <is>
          <t>Carico sull'albero della puleggia</t>
        </is>
      </c>
      <c r="D43" s="10" t="inlineStr">
        <is>
          <t>risultante dei tiri con 1,25·Q al piano più basso, confrontata con il limite del costruttore</t>
        </is>
      </c>
      <c r="E43" s="10" t="inlineStr">
        <is>
          <t>dato del costruttore; 1,25·Q come nella verifica di caricamento (UNI EN 81-50:2020, 5.11.2.2.1)</t>
        </is>
      </c>
      <c r="F43" s="10" t="inlineStr">
        <is>
          <t>derivazione; la definizione del carico va confermata con il costruttore</t>
        </is>
      </c>
      <c r="G43" s="10" t="inlineStr">
        <is>
          <t>derivazione</t>
        </is>
      </c>
      <c r="H43" s="10" t="inlineStr">
        <is>
          <t>carico sull'albero</t>
        </is>
      </c>
      <c r="I43" s="11" t="n"/>
      <c r="J43" s="11" t="n"/>
      <c r="K43" s="11" t="n"/>
      <c r="L43" s="11" t="n"/>
      <c r="M43" s="11" t="n"/>
      <c r="N43" s="11" t="n"/>
    </row>
    <row r="44" ht="30" customHeight="1">
      <c r="A44" s="10" t="n">
        <v>42</v>
      </c>
      <c r="B44" s="10" t="inlineStr">
        <is>
          <t>Albero e ancoraggi</t>
        </is>
      </c>
      <c r="C44" s="10" t="inlineStr">
        <is>
          <t>Sollevamento netto sugli ancoraggi (macchina in basso)</t>
        </is>
      </c>
      <c r="D44" s="10" t="inlineStr">
        <is>
          <t>carico verso l'alto meno la massa della macchina: da verificare con il progettista strutturale</t>
        </is>
      </c>
      <c r="E44" s="10" t="inlineStr">
        <is>
          <t>—</t>
        </is>
      </c>
      <c r="F44" s="10" t="inlineStr">
        <is>
          <t>derivazione</t>
        </is>
      </c>
      <c r="G44" s="10" t="inlineStr">
        <is>
          <t>derivazione</t>
        </is>
      </c>
      <c r="H44" s="10" t="inlineStr">
        <is>
          <t>sollevamento netto</t>
        </is>
      </c>
      <c r="I44" s="11" t="n"/>
      <c r="J44" s="11" t="n"/>
      <c r="K44" s="11" t="n"/>
      <c r="L44" s="11" t="n"/>
      <c r="M44" s="11" t="n"/>
      <c r="N44" s="11" t="n"/>
    </row>
    <row r="45" ht="69" customHeight="1">
      <c r="A45" s="10" t="n">
        <v>43</v>
      </c>
      <c r="B45" s="10" t="inlineStr">
        <is>
          <t>Sostituzione (Italia)</t>
        </is>
      </c>
      <c r="C45" s="10" t="inlineStr">
        <is>
          <t>La sostituzione del macchinario è una modifica costruttiva</t>
        </is>
      </c>
      <c r="D45" s="10" t="inlineStr">
        <is>
          <t>modifica costruttiva (art. 2 c.1 lett. cc), n. 5): adeguamento della parte sostituita e delle altre parti interessate, comunicazione al Comune e al soggetto delle verifiche periodiche, verifica straordinaria prima del servizio</t>
        </is>
      </c>
      <c r="E45" s="10" t="inlineStr">
        <is>
          <t>DPR 162/1999 e s.m.i., art. 2 c.1 lett. cc), art. 12 c.4–5, art. 14 c.3</t>
        </is>
      </c>
      <c r="F45" s="10" t="inlineStr">
        <is>
          <t>DPR 162/1999 consolidato (Normattiva), letto il 2026-10-02 (ricerca, cap. 16), §3.2</t>
        </is>
      </c>
      <c r="G45" s="10" t="inlineStr">
        <is>
          <t>confermato</t>
        </is>
      </c>
      <c r="H45" s="10" t="inlineStr">
        <is>
          <t>—</t>
        </is>
      </c>
      <c r="I45" s="11" t="n"/>
      <c r="J45" s="11" t="n"/>
      <c r="K45" s="11" t="n"/>
      <c r="L45" s="11" t="n"/>
      <c r="M45" s="11" t="n"/>
      <c r="N45" s="11" t="n"/>
    </row>
    <row r="46" ht="225" customHeight="1">
      <c r="A46" s="10" t="n">
        <v>44</v>
      </c>
      <c r="B46" s="10" t="inlineStr">
        <is>
          <t>Sostituzione (Italia)</t>
        </is>
      </c>
      <c r="C46" s="10" t="inlineStr">
        <is>
          <t>Adeguamenti richiesti per la sostituzione del macchinario</t>
        </is>
      </c>
      <c r="D46"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t>
        </is>
      </c>
      <c r="E46" s="10" t="inlineStr">
        <is>
          <t>UNI 10411-1:2024, 14.1–14.4; UNI 10411-11:2024, 14.1–14.3</t>
        </is>
      </c>
      <c r="F46" s="10" t="inlineStr">
        <is>
          <t>UNI 10411-1:2024, testo della norma, letto il 2026-10-06, pp. 13–14; UNI 10411-11:2024, testo della norma, letto il 2026-10-06, p. 12</t>
        </is>
      </c>
      <c r="G46" s="10" t="inlineStr">
        <is>
          <t>confermato</t>
        </is>
      </c>
      <c r="H46" s="10" t="inlineStr">
        <is>
          <t>gruppi del freno</t>
        </is>
      </c>
      <c r="I46" s="11" t="n"/>
      <c r="J46" s="11" t="n"/>
      <c r="K46" s="11" t="n"/>
      <c r="L46" s="11" t="n"/>
      <c r="M46" s="11" t="n"/>
      <c r="N46" s="11" t="n"/>
    </row>
    <row r="47" ht="43" customHeight="1">
      <c r="A47" s="10" t="n">
        <v>45</v>
      </c>
      <c r="B47" s="10" t="inlineStr">
        <is>
          <t>Sostituzione (Italia)</t>
        </is>
      </c>
      <c r="C47" s="10" t="inlineStr">
        <is>
          <t>Funi nella sostituzione</t>
        </is>
      </c>
      <c r="D47" s="10" t="inlineStr">
        <is>
          <t>di norma funi nuove con lo stesso numero e diametro di quelle montate; la proposta le tiene fisse</t>
        </is>
      </c>
      <c r="E47" s="10" t="inlineStr">
        <is>
          <t>—</t>
        </is>
      </c>
      <c r="F47" s="10" t="inlineStr">
        <is>
          <t>indicazione di Panev Ascensori (29 settembre 2026)</t>
        </is>
      </c>
      <c r="G47" s="10" t="inlineStr">
        <is>
          <t>prassi di cantiere</t>
        </is>
      </c>
      <c r="H47" s="10" t="inlineStr">
        <is>
          <t>—</t>
        </is>
      </c>
      <c r="I47" s="11" t="n"/>
      <c r="J47" s="11" t="n"/>
      <c r="K47" s="11" t="n"/>
      <c r="L47" s="11" t="n"/>
      <c r="M47" s="11" t="n"/>
      <c r="N47" s="11" t="n"/>
    </row>
    <row r="48" ht="43" customHeight="1">
      <c r="A48" s="10" t="n">
        <v>46</v>
      </c>
      <c r="B48" s="10" t="inlineStr">
        <is>
          <t>Modello di calcolo</t>
        </is>
      </c>
      <c r="C48" s="10" t="inlineStr">
        <is>
          <t>Accelerazione di gravità</t>
        </is>
      </c>
      <c r="D48" s="10" t="inlineStr">
        <is>
          <t>g = 9,81 m/s² (anche come limite di 1 g)</t>
        </is>
      </c>
      <c r="E48" s="10" t="inlineStr">
        <is>
          <t>UNI EN 81-20:2020, 5.2.1.8.5 (g_n = 9,81 m/s²)</t>
        </is>
      </c>
      <c r="F48" s="10" t="inlineStr">
        <is>
          <t>UNI EN 81-20:2020, testo della norma, letto il 2026-10-06, p. 27</t>
        </is>
      </c>
      <c r="G48" s="10" t="inlineStr">
        <is>
          <t>confermato</t>
        </is>
      </c>
      <c r="H48" s="10" t="inlineStr">
        <is>
          <t>—</t>
        </is>
      </c>
      <c r="I48" s="11" t="n"/>
      <c r="J48" s="11" t="n"/>
      <c r="K48" s="11" t="n"/>
      <c r="L48" s="11" t="n"/>
      <c r="M48" s="11" t="n"/>
      <c r="N48" s="11" t="n"/>
    </row>
    <row r="49" ht="173" customHeight="1">
      <c r="A49" s="10" t="n">
        <v>47</v>
      </c>
      <c r="B49" s="10" t="inlineStr">
        <is>
          <t>Modello di calcolo</t>
        </is>
      </c>
      <c r="C49" s="10" t="inlineStr">
        <is>
          <t>Tiri con il metodo del percorso della fune — Confermati sul testo: le masse per lato, il fattore (r² + 2)/3 delle funi, il termine delle pulegge di rinvio e l'attrito trascurato. Da verificare: in taglia 2:1 le pulegge di cabina e di contrappeso (termine III della norma) non sono contate; con la macchina in basso il tratto tra macchina e pulegge in testata usa r·a, dove il testo stampa a (la forma stampata coincide con quella fisica solo a 1:1).</t>
        </is>
      </c>
      <c r="D49" s="10" t="inlineStr">
        <is>
          <t>masse e funi di ogni tratto, inerzia delle pulegge di rinvio; attrito di guide e pulegge trascurato in aderenza</t>
        </is>
      </c>
      <c r="E49" s="10" t="inlineStr">
        <is>
          <t>UNI EN 81-50:2020, 5.11.3</t>
        </is>
      </c>
      <c r="F49" s="10" t="inlineStr">
        <is>
          <t>UNI EN 81-50:2020, testo della norma, letto il 2026-10-06, pp. 43–44</t>
        </is>
      </c>
      <c r="G49" s="10" t="inlineStr">
        <is>
          <t>da verificare</t>
        </is>
      </c>
      <c r="H49" s="10" t="inlineStr">
        <is>
          <t>aderenza al caricamento; aderenza in frenatura, in discesa; aderenza in frenatura, in salita; aderenza alla decelerazione reale (avviso); cabina bloccata</t>
        </is>
      </c>
      <c r="I49" s="11" t="n"/>
      <c r="J49" s="11" t="n"/>
      <c r="K49" s="11" t="n"/>
      <c r="L49" s="11" t="n"/>
      <c r="M49" s="11" t="n"/>
      <c r="N49" s="11" t="n"/>
    </row>
    <row r="50" ht="69" customHeight="1">
      <c r="A50" s="10" t="n">
        <v>48</v>
      </c>
      <c r="B50" s="10" t="inlineStr">
        <is>
          <t>Modello di calcolo</t>
        </is>
      </c>
      <c r="C50" s="10" t="inlineStr">
        <is>
          <t>Compensazione e cavo flessibile — Nella 5.11.3 la massa della compensazione e del cavo dipende dalla posizione della cabina; il software la tiene costante dentro P.</t>
        </is>
      </c>
      <c r="D50" s="10" t="inlineStr">
        <is>
          <t>non modellati a parte: la loro massa sul lato cabina entra in P</t>
        </is>
      </c>
      <c r="E50" s="10" t="inlineStr">
        <is>
          <t>UNI EN 81-50:2020, 5.11</t>
        </is>
      </c>
      <c r="F50" s="10" t="inlineStr">
        <is>
          <t>limite del modello attuale</t>
        </is>
      </c>
      <c r="G50" s="10" t="inlineStr">
        <is>
          <t>scelta del software</t>
        </is>
      </c>
      <c r="H50" s="10" t="inlineStr">
        <is>
          <t>—</t>
        </is>
      </c>
      <c r="I50" s="11" t="n"/>
      <c r="J50" s="11" t="n"/>
      <c r="K50" s="11" t="n"/>
      <c r="L50" s="11" t="n"/>
      <c r="M50" s="11" t="n"/>
      <c r="N50" s="11" t="n"/>
    </row>
    <row r="51" ht="30" customHeight="1">
      <c r="A51" s="10" t="n">
        <v>49</v>
      </c>
      <c r="B51" s="10" t="inlineStr">
        <is>
          <t>Modello di calcolo</t>
        </is>
      </c>
      <c r="C51" s="10" t="inlineStr">
        <is>
          <t>Analisi di sensibilità</t>
        </is>
      </c>
      <c r="D51" s="10" t="inlineStr">
        <is>
          <t>P ±10%; k ±0,05 se il carico di equilibrio non è misurato</t>
        </is>
      </c>
      <c r="E51" s="10" t="inlineStr">
        <is>
          <t>—</t>
        </is>
      </c>
      <c r="F51" s="10" t="inlineStr">
        <is>
          <t>scelta del software (incertezza tipica del rilievo)</t>
        </is>
      </c>
      <c r="G51" s="10" t="inlineStr">
        <is>
          <t>scelta del software</t>
        </is>
      </c>
      <c r="H51" s="10" t="inlineStr">
        <is>
          <t>—</t>
        </is>
      </c>
      <c r="I51" s="11" t="n"/>
      <c r="J51" s="11" t="n"/>
      <c r="K51" s="11" t="n"/>
      <c r="L51" s="11" t="n"/>
      <c r="M51" s="11" t="n"/>
      <c r="N51" s="11" t="n"/>
    </row>
    <row r="52" ht="134" customHeight="1">
      <c r="A52" s="10" t="n">
        <v>50</v>
      </c>
      <c r="B52" s="10" t="inlineStr">
        <is>
          <t>Vano: cabina e portata</t>
        </is>
      </c>
      <c r="C5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5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2" s="10" t="inlineStr">
        <is>
          <t>UNI EN 81-20:2020, 5.4.2.1.1 (Prospetto 6)</t>
        </is>
      </c>
      <c r="F52" s="10" t="inlineStr">
        <is>
          <t>UNI EN 81-20:2020, testo della norma, letto il 2026-10-06, pp. 63–64</t>
        </is>
      </c>
      <c r="G52" s="10" t="inlineStr">
        <is>
          <t>confermato</t>
        </is>
      </c>
      <c r="H52" s="10" t="inlineStr">
        <is>
          <t>superficie della cabina per la portata</t>
        </is>
      </c>
      <c r="I52" s="11" t="n"/>
      <c r="J52" s="11" t="n"/>
      <c r="K52" s="11" t="n"/>
      <c r="L52" s="11" t="n"/>
      <c r="M52" s="11" t="n"/>
      <c r="N52" s="11" t="n"/>
    </row>
    <row r="53" ht="95" customHeight="1">
      <c r="A53" s="10" t="n">
        <v>51</v>
      </c>
      <c r="B53" s="10" t="inlineStr">
        <is>
          <t>Vano: cabina e portata</t>
        </is>
      </c>
      <c r="C53" s="10" t="inlineStr">
        <is>
          <t>Numero di passeggeri</t>
        </is>
      </c>
      <c r="D5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3" s="10" t="inlineStr">
        <is>
          <t>UNI EN 81-20:2020, 5.4.2.3.1 (Prospetto 8)</t>
        </is>
      </c>
      <c r="F53" s="10" t="inlineStr">
        <is>
          <t>UNI EN 81-20:2020, testo della norma, letto il 2026-10-06, p. 66</t>
        </is>
      </c>
      <c r="G53" s="10" t="inlineStr">
        <is>
          <t>confermato</t>
        </is>
      </c>
      <c r="H53" s="10" t="inlineStr">
        <is>
          <t>—</t>
        </is>
      </c>
      <c r="I53" s="11" t="n"/>
      <c r="J53" s="11" t="n"/>
      <c r="K53" s="11" t="n"/>
      <c r="L53" s="11" t="n"/>
      <c r="M53" s="11" t="n"/>
      <c r="N53" s="11" t="n"/>
    </row>
    <row r="54" ht="186" customHeight="1">
      <c r="A54" s="10" t="n">
        <v>52</v>
      </c>
      <c r="B54" s="10" t="inlineStr">
        <is>
          <t>Vano: distanze in pianta</t>
        </is>
      </c>
      <c r="C5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54" s="10" t="inlineStr">
        <is>
          <t>distanza orizzontale dalla soglia o dal telaio della porta di cabina ≤ 150 mm (qui: profondità della porta di piano + gioco tra le soglie)</t>
        </is>
      </c>
      <c r="E54" s="10" t="inlineStr">
        <is>
          <t>UNI EN 81-20:2020, 5.2.5.3.1</t>
        </is>
      </c>
      <c r="F54" s="10" t="inlineStr">
        <is>
          <t>UNI EN 81-20:2020, testo della norma, letto il 2026-10-06, p. 33</t>
        </is>
      </c>
      <c r="G54" s="10" t="inlineStr">
        <is>
          <t>confermato</t>
        </is>
      </c>
      <c r="H54" s="10" t="inlineStr">
        <is>
          <t>parete di fronte all'entrata</t>
        </is>
      </c>
      <c r="I54" s="11" t="n"/>
      <c r="J54" s="11" t="n"/>
      <c r="K54" s="11" t="n"/>
      <c r="L54" s="11" t="n"/>
      <c r="M54" s="11" t="n"/>
      <c r="N54" s="11" t="n"/>
    </row>
    <row r="55" ht="95" customHeight="1">
      <c r="A55" s="10" t="n">
        <v>53</v>
      </c>
      <c r="B55" s="10" t="inlineStr">
        <is>
          <t>Vano: distanze in pianta</t>
        </is>
      </c>
      <c r="C55" s="10" t="inlineStr">
        <is>
          <t>Gioco tra soglia di cabina e soglia di piano — Non calcolato: tra il bordo d'attacco delle ante di cabina e le porte di piano al massimo 0,12 m (5.3.4.2; 11.2.3 nella UNI EN 81-1:2008), dato del fornitore delle porte.</t>
        </is>
      </c>
      <c r="D55" s="10" t="inlineStr">
        <is>
          <t>distanza orizzontale ≤ 35 mm</t>
        </is>
      </c>
      <c r="E55" s="10" t="inlineStr">
        <is>
          <t>UNI EN 81-20:2020, 5.3.4.1 (figura 3); 11.2.2 nella UNI EN 81-1 (1999, 2008)</t>
        </is>
      </c>
      <c r="F55" s="10" t="inlineStr">
        <is>
          <t>UNI EN 81-20:2020, testo della norma, letto il 2026-10-06, p. 50</t>
        </is>
      </c>
      <c r="G55" s="10" t="inlineStr">
        <is>
          <t>confermato</t>
        </is>
      </c>
      <c r="H55" s="10" t="inlineStr">
        <is>
          <t>gioco tra le soglie</t>
        </is>
      </c>
      <c r="I55" s="11" t="n"/>
      <c r="J55" s="11" t="n"/>
      <c r="K55" s="11" t="n"/>
      <c r="L55" s="11" t="n"/>
      <c r="M55" s="11" t="n"/>
      <c r="N55" s="11" t="n"/>
    </row>
    <row r="56" ht="69" customHeight="1">
      <c r="A56" s="10" t="n">
        <v>54</v>
      </c>
      <c r="B56" s="10" t="inlineStr">
        <is>
          <t>Vano: distanze in pianta</t>
        </is>
      </c>
      <c r="C56" s="10" t="inlineStr">
        <is>
          <t>Distanza tra cabina e contrappeso — il software misura tra le sagome di cabina e contrappeso: pattini e staffe non sono nel modello della pianta</t>
        </is>
      </c>
      <c r="D56" s="10" t="inlineStr">
        <is>
          <t>≥ 50 mm tra la cabina con i suoi componenti e il contrappeso con i suoi</t>
        </is>
      </c>
      <c r="E56" s="10" t="inlineStr">
        <is>
          <t>UNI EN 81-20:2020, 5.2.5.5.1 h)</t>
        </is>
      </c>
      <c r="F56" s="10" t="inlineStr">
        <is>
          <t>UNI EN 81-20:2020, testo della norma, letto il 2026-10-06, p. 35</t>
        </is>
      </c>
      <c r="G56" s="10" t="inlineStr">
        <is>
          <t>confermato</t>
        </is>
      </c>
      <c r="H56" s="10" t="inlineStr">
        <is>
          <t>distanza cabina–contrappeso</t>
        </is>
      </c>
      <c r="I56" s="11" t="n"/>
      <c r="J56" s="11" t="n"/>
      <c r="K56" s="11" t="n"/>
      <c r="L56" s="11" t="n"/>
      <c r="M56" s="11" t="n"/>
      <c r="N56" s="11" t="n"/>
    </row>
    <row r="57" ht="199" customHeight="1">
      <c r="A57" s="10" t="n">
        <v>55</v>
      </c>
      <c r="B57" s="10" t="inlineStr">
        <is>
          <t>Vano: distanze in pianta</t>
        </is>
      </c>
      <c r="C57" s="10" t="inlineStr">
        <is>
          <t>Pareti all'ultimo piano e in testata diverse dal piano principale</t>
        </is>
      </c>
      <c r="D5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7" s="10" t="inlineStr">
        <is>
          <t>UNI EN 81-20:2020, 5.2.5.3.1 (parete di fronte all'entrata); il resto scelta del software</t>
        </is>
      </c>
      <c r="F57" s="10" t="inlineStr">
        <is>
          <t>scelta del software: il margine di marcia va confermato con l'installatore</t>
        </is>
      </c>
      <c r="G57" s="10" t="inlineStr">
        <is>
          <t>scelta del software</t>
        </is>
      </c>
      <c r="H57" s="10" t="inlineStr">
        <is>
          <t>pareti in testata diverse dal piano principale</t>
        </is>
      </c>
      <c r="I57" s="11" t="n"/>
      <c r="J57" s="11" t="n"/>
      <c r="K57" s="11" t="n"/>
      <c r="L57" s="11" t="n"/>
      <c r="M57" s="11" t="n"/>
      <c r="N57" s="11" t="n"/>
    </row>
    <row r="58" ht="56" customHeight="1">
      <c r="A58" s="10" t="n">
        <v>56</v>
      </c>
      <c r="B58" s="10" t="inlineStr">
        <is>
          <t>Vano: accessibilità (DM 236/1989)</t>
        </is>
      </c>
      <c r="C58" s="10" t="inlineStr">
        <is>
          <t>Edifici residenziali nuovi: cabina e porta minime</t>
        </is>
      </c>
      <c r="D58" s="10" t="inlineStr">
        <is>
          <t>cabina larga 950 mm e profonda 1300 mm, porta di 800 mm sul lato corto; piattaforma davanti alla porta 1,50 × 1,50 m (fuori dal vano: da verificare in sito)</t>
        </is>
      </c>
      <c r="E58" s="10" t="inlineStr">
        <is>
          <t>DM 236/1989, 8.1.12</t>
        </is>
      </c>
      <c r="F58" s="10" t="inlineStr">
        <is>
          <t>DM 236/1989, 8.1.12, letto per intero su Normattiva il 2026-10-02 (ricerca, cap. 16, §4.1)</t>
        </is>
      </c>
      <c r="G58" s="10" t="inlineStr">
        <is>
          <t>confermato</t>
        </is>
      </c>
      <c r="H58" s="10" t="inlineStr">
        <is>
          <t>cabina minima (DM 236/1989); porta minima (DM 236/1989); porta sul lato corto</t>
        </is>
      </c>
      <c r="I58" s="11" t="n"/>
      <c r="J58" s="11" t="n"/>
      <c r="K58" s="11" t="n"/>
      <c r="L58" s="11" t="n"/>
      <c r="M58" s="11" t="n"/>
      <c r="N58" s="11" t="n"/>
    </row>
    <row r="59" ht="56" customHeight="1">
      <c r="A59" s="10" t="n">
        <v>57</v>
      </c>
      <c r="B59" s="10" t="inlineStr">
        <is>
          <t>Vano: accessibilità (DM 236/1989)</t>
        </is>
      </c>
      <c r="C59" s="10" t="inlineStr">
        <is>
          <t>Edifici non residenziali nuovi: cabina e porta minime</t>
        </is>
      </c>
      <c r="D59" s="10" t="inlineStr">
        <is>
          <t>cabina larga 1100 mm e profonda 1400 mm, porta di 800 mm sul lato corto; piattaforma davanti alla porta 1,50 × 1,50 m (fuori dal vano: da verificare in sito)</t>
        </is>
      </c>
      <c r="E59" s="10" t="inlineStr">
        <is>
          <t>DM 236/1989, 8.1.12</t>
        </is>
      </c>
      <c r="F59" s="10" t="inlineStr">
        <is>
          <t>DM 236/1989, 8.1.12, letto per intero su Normattiva il 2026-10-02 (ricerca, cap. 16, §4.1)</t>
        </is>
      </c>
      <c r="G59" s="10" t="inlineStr">
        <is>
          <t>confermato</t>
        </is>
      </c>
      <c r="H59" s="10" t="inlineStr">
        <is>
          <t>cabina minima (DM 236/1989); porta minima (DM 236/1989); porta sul lato corto</t>
        </is>
      </c>
      <c r="I59" s="11" t="n"/>
      <c r="J59" s="11" t="n"/>
      <c r="K59" s="11" t="n"/>
      <c r="L59" s="11" t="n"/>
      <c r="M59" s="11" t="n"/>
      <c r="N59" s="11" t="n"/>
    </row>
    <row r="60" ht="56" customHeight="1">
      <c r="A60" s="10" t="n">
        <v>58</v>
      </c>
      <c r="B60" s="10" t="inlineStr">
        <is>
          <t>Vano: accessibilità (DM 236/1989)</t>
        </is>
      </c>
      <c r="C60" s="10" t="inlineStr">
        <is>
          <t>Adeguamento di edifici esistenti: cabina e porta minime</t>
        </is>
      </c>
      <c r="D60" s="10" t="inlineStr">
        <is>
          <t>cabina larga 800 mm e profonda 1200 mm, porta di 750 mm sul lato corto; piattaforma davanti alla porta 1,40 × 1,40 m (fuori dal vano: da verificare in sito)</t>
        </is>
      </c>
      <c r="E60" s="10" t="inlineStr">
        <is>
          <t>DM 236/1989, 8.1.12</t>
        </is>
      </c>
      <c r="F60" s="10" t="inlineStr">
        <is>
          <t>DM 236/1989, 8.1.12, letto per intero su Normattiva il 2026-10-02 (ricerca, cap. 16, §4.1)</t>
        </is>
      </c>
      <c r="G60" s="10" t="inlineStr">
        <is>
          <t>confermato</t>
        </is>
      </c>
      <c r="H60" s="10" t="inlineStr">
        <is>
          <t>cabina minima (DM 236/1989); porta minima (DM 236/1989); porta sul lato corto</t>
        </is>
      </c>
      <c r="I60" s="11" t="n"/>
      <c r="J60" s="11" t="n"/>
      <c r="K60" s="11" t="n"/>
      <c r="L60" s="11" t="n"/>
      <c r="M60" s="11" t="n"/>
      <c r="N60" s="11" t="n"/>
    </row>
    <row r="61" ht="43" customHeight="1">
      <c r="A61" s="10" t="n">
        <v>59</v>
      </c>
      <c r="B61" s="10" t="inlineStr">
        <is>
          <t>Vano: porte</t>
        </is>
      </c>
      <c r="C61" s="10" t="inlineStr">
        <is>
          <t>Ingombro della porta di piano lungo la parete del vano</t>
        </is>
      </c>
      <c r="D61" s="10" t="inlineStr">
        <is>
          <t>telescopica a 2 ante: 1,5·L + 110 mm; centrale a 2 ante: 2·L + 110 mm (L = luce netta)</t>
        </is>
      </c>
      <c r="E61" s="10" t="inlineStr">
        <is>
          <t>dato del fornitore delle porte</t>
        </is>
      </c>
      <c r="F61" s="10" t="inlineStr">
        <is>
          <t>valori tipici: scelta del software da confermare con il fornitore</t>
        </is>
      </c>
      <c r="G61" s="10" t="inlineStr">
        <is>
          <t>scelta del software</t>
        </is>
      </c>
      <c r="H61" s="10" t="inlineStr">
        <is>
          <t>ingombro della porta di piano</t>
        </is>
      </c>
      <c r="I61" s="11" t="n"/>
      <c r="J61" s="11" t="n"/>
      <c r="K61" s="11" t="n"/>
      <c r="L61" s="11" t="n"/>
      <c r="M61" s="11" t="n"/>
      <c r="N61" s="11" t="n"/>
    </row>
    <row r="62" ht="30" customHeight="1">
      <c r="A62" s="10" t="n">
        <v>60</v>
      </c>
      <c r="B62" s="10" t="inlineStr">
        <is>
          <t>Vano: porte</t>
        </is>
      </c>
      <c r="C62" s="10" t="inlineStr">
        <is>
          <t>Larghezza della cabina rispetto alla porta</t>
        </is>
      </c>
      <c r="D62" s="10" t="inlineStr">
        <is>
          <t>larghezza interna ≥ luce della porta + 50 mm; profondità interna ≥ 800 mm</t>
        </is>
      </c>
      <c r="E62" s="10" t="inlineStr">
        <is>
          <t>—</t>
        </is>
      </c>
      <c r="F62" s="10" t="inlineStr">
        <is>
          <t>scelta del software</t>
        </is>
      </c>
      <c r="G62" s="10" t="inlineStr">
        <is>
          <t>scelta del software</t>
        </is>
      </c>
      <c r="H62" s="10" t="inlineStr">
        <is>
          <t>la cabina entra nel vano</t>
        </is>
      </c>
      <c r="I62" s="11" t="n"/>
      <c r="J62" s="11" t="n"/>
      <c r="K62" s="11" t="n"/>
      <c r="L62" s="11" t="n"/>
      <c r="M62" s="11" t="n"/>
      <c r="N62" s="11" t="n"/>
    </row>
    <row r="63" ht="342" customHeight="1">
      <c r="A63" s="10" t="n">
        <v>61</v>
      </c>
      <c r="B63" s="10" t="inlineStr">
        <is>
          <t>Vano: porte</t>
        </is>
      </c>
      <c r="C63" s="10" t="inlineStr">
        <is>
          <t>Vano porta di piano e operatore della porta di cabina</t>
        </is>
      </c>
      <c r="D6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63" s="10" t="inlineStr">
        <is>
          <t>dato del fornitore delle porte</t>
        </is>
      </c>
      <c r="F6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63" s="10" t="inlineStr">
        <is>
          <t>stima</t>
        </is>
      </c>
      <c r="H63" s="10" t="inlineStr">
        <is>
          <t>ingombro della porta di piano; ingombro della seconda porta di piano; operatori delle porte adiacenti</t>
        </is>
      </c>
      <c r="I63" s="11" t="n"/>
      <c r="J63" s="11" t="n"/>
      <c r="K63" s="11" t="n"/>
      <c r="L63" s="11" t="n"/>
      <c r="M63" s="11" t="n"/>
      <c r="N63" s="11" t="n"/>
    </row>
    <row r="64" ht="134" customHeight="1">
      <c r="A64" s="10" t="n">
        <v>62</v>
      </c>
      <c r="B64" s="10" t="inlineStr">
        <is>
          <t>Vano: porte</t>
        </is>
      </c>
      <c r="C6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6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64" s="10" t="inlineStr">
        <is>
          <t>UNI EN 81-20:2020, 5.3.2.2</t>
        </is>
      </c>
      <c r="F64" s="10" t="inlineStr">
        <is>
          <t>UNI EN 81-20:2020, testo della norma, letto il 2026-10-06, p. 49</t>
        </is>
      </c>
      <c r="G64" s="10" t="inlineStr">
        <is>
          <t>confermato</t>
        </is>
      </c>
      <c r="H64" s="10" t="inlineStr">
        <is>
          <t>disassamento della porta di piano A; disassamento della porta di piano B</t>
        </is>
      </c>
      <c r="I64" s="11" t="n"/>
      <c r="J64" s="11" t="n"/>
      <c r="K64" s="11" t="n"/>
      <c r="L64" s="11" t="n"/>
      <c r="M64" s="11" t="n"/>
      <c r="N64" s="11" t="n"/>
    </row>
    <row r="65" ht="95" customHeight="1">
      <c r="A65" s="10" t="n">
        <v>63</v>
      </c>
      <c r="B65" s="10" t="inlineStr">
        <is>
          <t>Vano: porte</t>
        </is>
      </c>
      <c r="C65" s="10" t="inlineStr">
        <is>
          <t>Bottoniera di piano</t>
        </is>
      </c>
      <c r="D65"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5" s="10" t="inlineStr">
        <is>
          <t>altezze e distanze dagli angoli per l'accessibilità da verificare (DM 236/1989, UNI EN 81-70)</t>
        </is>
      </c>
      <c r="F65" s="10" t="inlineStr">
        <is>
          <t>scelta del software</t>
        </is>
      </c>
      <c r="G65" s="10" t="inlineStr">
        <is>
          <t>scelta del software</t>
        </is>
      </c>
      <c r="H65" s="10" t="inlineStr">
        <is>
          <t>—</t>
        </is>
      </c>
      <c r="I65" s="11" t="n"/>
      <c r="J65" s="11" t="n"/>
      <c r="K65" s="11" t="n"/>
      <c r="L65" s="11" t="n"/>
      <c r="M65" s="11" t="n"/>
      <c r="N65" s="11" t="n"/>
    </row>
    <row r="66" ht="186" customHeight="1">
      <c r="A66" s="10" t="n">
        <v>64</v>
      </c>
      <c r="B66" s="10" t="inlineStr">
        <is>
          <t>Vano: porte</t>
        </is>
      </c>
      <c r="C66" s="10" t="inlineStr">
        <is>
          <t>Imbotti della porta di piano (sostituzione con una luce più piccola) — Montanti e pannelli accanto alla porta più larghi di 150 mm che chiudono l'apertura vanno con la prova del pendolo della porta (UNI EN 81-20:2020, 5.3.5.3.4): la copre il fornitore.</t>
        </is>
      </c>
      <c r="D6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66" s="10" t="inlineStr">
        <is>
          <t>dato del fornitore delle porte (imbotti su misura)</t>
        </is>
      </c>
      <c r="F66" s="10" t="inlineStr">
        <is>
          <t>scelta del software</t>
        </is>
      </c>
      <c r="G66" s="10" t="inlineStr">
        <is>
          <t>scelta del software</t>
        </is>
      </c>
      <c r="H66" s="10" t="inlineStr">
        <is>
          <t>—</t>
        </is>
      </c>
      <c r="I66" s="11" t="n"/>
      <c r="J66" s="11" t="n"/>
      <c r="K66" s="11" t="n"/>
      <c r="L66" s="11" t="n"/>
      <c r="M66" s="11" t="n"/>
      <c r="N66" s="11" t="n"/>
    </row>
    <row r="67" ht="316" customHeight="1">
      <c r="A67" s="10" t="n">
        <v>65</v>
      </c>
      <c r="B67" s="10" t="inlineStr">
        <is>
          <t>Vano: porte</t>
        </is>
      </c>
      <c r="C67" s="10" t="inlineStr">
        <is>
          <t>Telaio proprio delle porte di piano</t>
        </is>
      </c>
      <c r="D6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67" s="10" t="inlineStr">
        <is>
          <t>dato del fornitore delle porte</t>
        </is>
      </c>
      <c r="F6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67" s="10" t="inlineStr">
        <is>
          <t>scelta del software</t>
        </is>
      </c>
      <c r="H67" s="10" t="inlineStr">
        <is>
          <t>le ante della porta di piano dietro il suo telaio</t>
        </is>
      </c>
      <c r="I67" s="11" t="n"/>
      <c r="J67" s="11" t="n"/>
      <c r="K67" s="11" t="n"/>
      <c r="L67" s="11" t="n"/>
      <c r="M67" s="11" t="n"/>
      <c r="N67" s="11" t="n"/>
    </row>
    <row r="68" ht="199" customHeight="1">
      <c r="A68" s="10" t="n">
        <v>66</v>
      </c>
      <c r="B68" s="10" t="inlineStr">
        <is>
          <t>Vano: ingombri tipici</t>
        </is>
      </c>
      <c r="C68"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8"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8" s="10" t="inlineStr">
        <is>
          <t>dati del costruttore di guide, porte e cabina</t>
        </is>
      </c>
      <c r="F68" s="10" t="inlineStr">
        <is>
          <t>valori tipici: scelta del software</t>
        </is>
      </c>
      <c r="G68" s="10" t="inlineStr">
        <is>
          <t>scelta del software</t>
        </is>
      </c>
      <c r="H68" s="10" t="inlineStr">
        <is>
          <t>la cabina entra nel vano</t>
        </is>
      </c>
      <c r="I68" s="11" t="n"/>
      <c r="J68" s="11" t="n"/>
      <c r="K68" s="11" t="n"/>
      <c r="L68" s="11" t="n"/>
      <c r="M68" s="11" t="n"/>
      <c r="N68" s="11" t="n"/>
    </row>
    <row r="69" ht="108" customHeight="1">
      <c r="A69" s="10" t="n">
        <v>67</v>
      </c>
      <c r="B69" s="10" t="inlineStr">
        <is>
          <t>Vano: ingombri tipici</t>
        </is>
      </c>
      <c r="C69" s="10" t="inlineStr">
        <is>
          <t>Contrappeso laterale</t>
        </is>
      </c>
      <c r="D69"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9" s="10" t="inlineStr">
        <is>
          <t>—</t>
        </is>
      </c>
      <c r="F69" s="10" t="inlineStr">
        <is>
          <t>scelta del software</t>
        </is>
      </c>
      <c r="G69" s="10" t="inlineStr">
        <is>
          <t>scelta del software</t>
        </is>
      </c>
      <c r="H69" s="10" t="inlineStr">
        <is>
          <t>lunghezza del contrappeso</t>
        </is>
      </c>
      <c r="I69" s="11" t="n"/>
      <c r="J69" s="11" t="n"/>
      <c r="K69" s="11" t="n"/>
      <c r="L69" s="11" t="n"/>
      <c r="M69" s="11" t="n"/>
      <c r="N69" s="11" t="n"/>
    </row>
    <row r="70" ht="147" customHeight="1">
      <c r="A70" s="10" t="n">
        <v>68</v>
      </c>
      <c r="B70" s="10" t="inlineStr">
        <is>
          <t>Vano: ingombri tipici</t>
        </is>
      </c>
      <c r="C70" s="10" t="inlineStr">
        <is>
          <t>Arcata a zaino (due accessi adiacenti a 90°)</t>
        </is>
      </c>
      <c r="D70"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0" s="10" t="inlineStr">
        <is>
          <t>—</t>
        </is>
      </c>
      <c r="F70" s="10" t="inlineStr">
        <is>
          <t>scelta del software (principio: cataloghi di arcate a zaino); disposizione da confermare con il fornitore dell'arcata</t>
        </is>
      </c>
      <c r="G70" s="10" t="inlineStr">
        <is>
          <t>scelta del software</t>
        </is>
      </c>
      <c r="H70" s="10" t="inlineStr">
        <is>
          <t>—</t>
        </is>
      </c>
      <c r="I70" s="11" t="n"/>
      <c r="J70" s="11" t="n"/>
      <c r="K70" s="11" t="n"/>
      <c r="L70" s="11" t="n"/>
      <c r="M70" s="11" t="n"/>
      <c r="N70" s="11" t="n"/>
    </row>
    <row r="71" ht="212" customHeight="1">
      <c r="A71" s="10" t="n">
        <v>69</v>
      </c>
      <c r="B71" s="10" t="inlineStr">
        <is>
          <t>Vano: ingombri tipici</t>
        </is>
      </c>
      <c r="C71" s="10" t="inlineStr">
        <is>
          <t>Nicchie nelle pareti del vano</t>
        </is>
      </c>
      <c r="D71"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71" s="10" t="inlineStr">
        <is>
          <t>—</t>
        </is>
      </c>
      <c r="F71" s="10" t="inlineStr">
        <is>
          <t>scelta del software; la resistenza della parete con la nicchia va verificata dal progettista</t>
        </is>
      </c>
      <c r="G71" s="10" t="inlineStr">
        <is>
          <t>scelta del software</t>
        </is>
      </c>
      <c r="H71" s="10" t="inlineStr">
        <is>
          <t>nicchie nelle pareti</t>
        </is>
      </c>
      <c r="I71" s="11" t="n"/>
      <c r="J71" s="11" t="n"/>
      <c r="K71" s="11" t="n"/>
      <c r="L71" s="11" t="n"/>
      <c r="M71" s="11" t="n"/>
      <c r="N71" s="11" t="n"/>
    </row>
    <row r="72" ht="329" customHeight="1">
      <c r="A72" s="10" t="n">
        <v>70</v>
      </c>
      <c r="B72" s="10" t="inlineStr">
        <is>
          <t>Vano: ingombri tipici</t>
        </is>
      </c>
      <c r="C72" s="10" t="inlineStr">
        <is>
          <t>Staffe delle guide del contrappeso (catalogo Panev)</t>
        </is>
      </c>
      <c r="D72"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72" s="10" t="inlineStr">
        <is>
          <t>catalogo staffe Panev 2026, pp. 20-62</t>
        </is>
      </c>
      <c r="F72" s="10" t="inlineStr">
        <is>
          <t>catalogo del costruttore (panev/docs/catalogo-staffe-panev-2026.pdf); le corse dell'SC lontano dalla parete lette sui disegni di montaggio (pp. 41-55)</t>
        </is>
      </c>
      <c r="G72" s="10" t="inlineStr">
        <is>
          <t>confermato</t>
        </is>
      </c>
      <c r="H72" s="10" t="inlineStr">
        <is>
          <t>staffe del catalogo per le guide del contrappeso</t>
        </is>
      </c>
      <c r="I72" s="11" t="n"/>
      <c r="J72" s="11" t="n"/>
      <c r="K72" s="11" t="n"/>
      <c r="L72" s="11" t="n"/>
      <c r="M72" s="11" t="n"/>
      <c r="N72" s="11" t="n"/>
    </row>
    <row r="73" ht="407" customHeight="1">
      <c r="A73" s="10" t="n">
        <v>71</v>
      </c>
      <c r="B73" s="10" t="inlineStr">
        <is>
          <t>Vano: ingombri tipici</t>
        </is>
      </c>
      <c r="C73" s="10" t="inlineStr">
        <is>
          <t>Staffe delle porte di piano (catalogo Panev)</t>
        </is>
      </c>
      <c r="D73"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73" s="10" t="inlineStr">
        <is>
          <t>catalogo staffe Panev 2026, pp. 14-18 (coppie), p. 05 (taglio della piastra) e p. 04 (soglia o elemento portante della porta di piano)</t>
        </is>
      </c>
      <c r="F73" s="10" t="inlineStr">
        <is>
          <t>catalogo del costruttore (panev/docs/catalogo-staffe-panev-2026.pdf); il passo, il numero minimo, il montaggio capovolto sopra la porta e lo spostamento sono scelta del software (il montaggio sopra la porta va confermato con il costruttore della porta)</t>
        </is>
      </c>
      <c r="G73" s="10" t="inlineStr">
        <is>
          <t>scelta del software</t>
        </is>
      </c>
      <c r="H73" s="10" t="inlineStr">
        <is>
          <t>staffe Panev sopra le porte di piano: muro tra il vano della porta e la soglia del piano sopra</t>
        </is>
      </c>
      <c r="I73" s="11" t="n"/>
      <c r="J73" s="11" t="n"/>
      <c r="K73" s="11" t="n"/>
      <c r="L73" s="11" t="n"/>
      <c r="M73" s="11" t="n"/>
      <c r="N73" s="11" t="n"/>
    </row>
    <row r="74" ht="355" customHeight="1">
      <c r="A74" s="10" t="n">
        <v>72</v>
      </c>
      <c r="B74" s="10" t="inlineStr">
        <is>
          <t>Vano: ingombri tipici</t>
        </is>
      </c>
      <c r="C74"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74"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74" s="10" t="inlineStr">
        <is>
          <t>dati del fornitore del limitatore; dalla norma solo lo scatto ≥ 115 % della velocità nominale (UNI EN 81-20:2020, 5.6.2.2.1.1 a))</t>
        </is>
      </c>
      <c r="F74"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74" s="10" t="inlineStr">
        <is>
          <t>stima</t>
        </is>
      </c>
      <c r="H74" s="10" t="inlineStr">
        <is>
          <t>—</t>
        </is>
      </c>
      <c r="I74" s="11" t="n"/>
      <c r="J74" s="11" t="n"/>
      <c r="K74" s="11" t="n"/>
      <c r="L74" s="11" t="n"/>
      <c r="M74" s="11" t="n"/>
      <c r="N74" s="11" t="n"/>
    </row>
    <row r="75" ht="82" customHeight="1">
      <c r="A75" s="10" t="n">
        <v>73</v>
      </c>
      <c r="B75" s="10" t="inlineStr">
        <is>
          <t>Vano: sezione, spazi di rifugio e ammortizzatori</t>
        </is>
      </c>
      <c r="C75" s="10" t="inlineStr">
        <is>
          <t>Spazi di rifugio sul tetto di cabina e in fossa</t>
        </is>
      </c>
      <c r="D75"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5" s="10" t="inlineStr">
        <is>
          <t>UNI EN 81-20:2020, 5.2.5.7.1 (Prospetto 3) e 5.2.5.8.1 (Prospetto 4)</t>
        </is>
      </c>
      <c r="F75" s="10" t="inlineStr">
        <is>
          <t>UNI EN 81-20:2020, testo della norma, letto il 2026-10-06, pp. 37–40</t>
        </is>
      </c>
      <c r="G75" s="10" t="inlineStr">
        <is>
          <t>confermato</t>
        </is>
      </c>
      <c r="H75" s="10" t="inlineStr">
        <is>
          <t>spazio di rifugio in testata; spazio di rifugio in fossa</t>
        </is>
      </c>
      <c r="I75" s="11" t="n"/>
      <c r="J75" s="11" t="n"/>
      <c r="K75" s="11" t="n"/>
      <c r="L75" s="11" t="n"/>
      <c r="M75" s="11" t="n"/>
      <c r="N75" s="11" t="n"/>
    </row>
    <row r="76" ht="95" customHeight="1">
      <c r="A76" s="10" t="n">
        <v>74</v>
      </c>
      <c r="B76" s="10" t="inlineStr">
        <is>
          <t>Vano: sezione, spazi di rifugio e ammortizzatori</t>
        </is>
      </c>
      <c r="C76" s="10" t="inlineStr">
        <is>
          <t>Posizione più alta della cabina — vale per gli ascensori a frizione; le riduzioni di 5.2.5.6.1.2 (rallentamento controllato) e 5.2.5.6.1.3 (puleggia tenditrice con antirimbalzo) non sono usate: la verifica è più severa</t>
        </is>
      </c>
      <c r="D76" s="10" t="inlineStr">
        <is>
          <t>contrappeso sugli ammortizzatori completamente compressi, più il salto 0,035·v² m (v velocità nominale)</t>
        </is>
      </c>
      <c r="E76" s="10" t="inlineStr">
        <is>
          <t>UNI EN 81-20:2020, 5.2.5.6.1.1 (Prospetto 2)</t>
        </is>
      </c>
      <c r="F76" s="10" t="inlineStr">
        <is>
          <t>UNI EN 81-20:2020, testo della norma, letto il 2026-10-06, p. 36</t>
        </is>
      </c>
      <c r="G76" s="10" t="inlineStr">
        <is>
          <t>confermato</t>
        </is>
      </c>
      <c r="H76" s="10" t="inlineStr">
        <is>
          <t>spazio di rifugio in testata; distanze libere dal soffitto</t>
        </is>
      </c>
      <c r="I76" s="11" t="n"/>
      <c r="J76" s="11" t="n"/>
      <c r="K76" s="11" t="n"/>
      <c r="L76" s="11" t="n"/>
      <c r="M76" s="11" t="n"/>
      <c r="N76" s="11" t="n"/>
    </row>
    <row r="77" ht="147" customHeight="1">
      <c r="A77" s="10" t="n">
        <v>75</v>
      </c>
      <c r="B77" s="10" t="inlineStr">
        <is>
          <t>Vano: sezione, spazi di rifugio e ammortizzatori</t>
        </is>
      </c>
      <c r="C77" s="10" t="inlineStr">
        <is>
          <t>Distanze libere dal soffitto con la cabina nella posizione più alta — I valori 500, 100 e 300 mm sono confermati. Da concordare con l'organismo: il software dà alla traversa dell'arcata i 100 mm di b) (il testo nomina traversa o architrave e parti di porte verticali; se non vale per l'arcata servono i 500 mm di a)); non verifica i 500 mm in obliquo oltre i 400 mm dal corrimano (c) 2)).</t>
        </is>
      </c>
      <c r="D77" s="10" t="inlineStr">
        <is>
          <t>≥ 500 mm sopra le apparecchiature sul tetto di cabina (operatore); ≥ 100 mm sopra pattini, attacchi delle funi e traversa dell'arcata; ≥ 300 mm sopra il corrimano della balaustra</t>
        </is>
      </c>
      <c r="E77" s="10" t="inlineStr">
        <is>
          <t>UNI EN 81-20:2020, 5.2.5.7.2 a)–c)</t>
        </is>
      </c>
      <c r="F77" s="10" t="inlineStr">
        <is>
          <t>UNI EN 81-20:2020, testo della norma, letto il 2026-10-06, p. 38</t>
        </is>
      </c>
      <c r="G77" s="10" t="inlineStr">
        <is>
          <t>da verificare</t>
        </is>
      </c>
      <c r="H77" s="10" t="inlineStr">
        <is>
          <t>distanze libere dal soffitto</t>
        </is>
      </c>
      <c r="I77" s="11" t="n"/>
      <c r="J77" s="11" t="n"/>
      <c r="K77" s="11" t="n"/>
      <c r="L77" s="11" t="n"/>
      <c r="M77" s="11" t="n"/>
      <c r="N77" s="11" t="n"/>
    </row>
    <row r="78" ht="108" customHeight="1">
      <c r="A78" s="10" t="n">
        <v>76</v>
      </c>
      <c r="B78" s="10" t="inlineStr">
        <is>
          <t>Vano: sezione, spazi di rifugio e ammortizzatori</t>
        </is>
      </c>
      <c r="C78" s="10" t="inlineStr">
        <is>
          <t>Parte più alta della cabina sotto ciò che pende sopra — fino alla versione 1.17.0 del motore del progetto la puleggia di cabina era verificata a 100 mm; i 100 mm della traversa sono la stessa lettura di spazi.testata.parti</t>
        </is>
      </c>
      <c r="D78" s="10" t="inlineStr">
        <is>
          <t>con la cabina nella posizione più alta: a 2:1 la puleggia di cabina (Dp + 30 mm sopra la traversa) è un'apparecchiatura sul tetto, distanza libera ≥ 500 mm dal soffitto o dalle pulegge appese; a 1:1 con la macchina in basso la traversa sotto le pulegge appese al solaio (asse a Dp/2 + 120 mm sotto il soffitto), distanza libera ≥ 100 mm, quella della traversa</t>
        </is>
      </c>
      <c r="E78" s="10" t="inlineStr">
        <is>
          <t>UNI EN 81-20:2020, 5.2.5.7.2 a) e b)</t>
        </is>
      </c>
      <c r="F78" s="10" t="inlineStr">
        <is>
          <t>UNI EN 81-20:2020, testo della norma, letto il 2026-10-06, p. 38</t>
        </is>
      </c>
      <c r="G78" s="10" t="inlineStr">
        <is>
          <t>confermato</t>
        </is>
      </c>
      <c r="H78" s="10" t="inlineStr">
        <is>
          <t>parte più alta della cabina sotto ciò che pende sopra</t>
        </is>
      </c>
      <c r="I78" s="11" t="n"/>
      <c r="J78" s="11" t="n"/>
      <c r="K78" s="11" t="n"/>
      <c r="L78" s="11" t="n"/>
      <c r="M78" s="11" t="n"/>
      <c r="N78" s="11" t="n"/>
    </row>
    <row r="79" ht="134" customHeight="1">
      <c r="A79" s="10" t="n">
        <v>77</v>
      </c>
      <c r="B79" s="10" t="inlineStr">
        <is>
          <t>Vano: sezione, spazi di rifugio e ammortizzatori</t>
        </is>
      </c>
      <c r="C79" s="10" t="inlineStr">
        <is>
          <t>Ammortizzatori e spazio di rifugio in fossa, in pianta</t>
        </is>
      </c>
      <c r="D7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79" s="10" t="inlineStr">
        <is>
          <t>UNI EN 81-20:2020, 5.2.5.8.1</t>
        </is>
      </c>
      <c r="F79" s="10" t="inlineStr">
        <is>
          <t>scelta del software sul modello della fossa (posizioni tipiche, da confermare con i dati del fornitore degli ammortizzatori)</t>
        </is>
      </c>
      <c r="G79" s="10" t="inlineStr">
        <is>
          <t>scelta del software</t>
        </is>
      </c>
      <c r="H79" s="10" t="inlineStr">
        <is>
          <t>ammortizzatori fissati a mano: sotto cabina e contrappeso, fuori dal rifugio</t>
        </is>
      </c>
      <c r="I79" s="11" t="n"/>
      <c r="J79" s="11" t="n"/>
      <c r="K79" s="11" t="n"/>
      <c r="L79" s="11" t="n"/>
      <c r="M79" s="11" t="n"/>
      <c r="N79" s="11" t="n"/>
    </row>
    <row r="80" ht="82" customHeight="1">
      <c r="A80" s="10" t="n">
        <v>78</v>
      </c>
      <c r="B80" s="10" t="inlineStr">
        <is>
          <t>Vano: sezione, spazi di rifugio e ammortizzatori</t>
        </is>
      </c>
      <c r="C80" s="10" t="inlineStr">
        <is>
          <t>Distanze in fossa con la cabina sugli ammortizzatori compressi</t>
        </is>
      </c>
      <c r="D8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80" s="10" t="inlineStr">
        <is>
          <t>UNI EN 81-20:2020, 5.2.5.8.2 a) e 5.4.5.1–5.4.5.2</t>
        </is>
      </c>
      <c r="F80" s="10" t="inlineStr">
        <is>
          <t>UNI EN 81-20:2020, testo della norma, letto il 2026-10-06, pp. 40–41, 69</t>
        </is>
      </c>
      <c r="G80" s="10" t="inlineStr">
        <is>
          <t>confermato</t>
        </is>
      </c>
      <c r="H80" s="10" t="inlineStr">
        <is>
          <t>spazio di rifugio in fossa; grembiule sugli ammortizzatori compressi</t>
        </is>
      </c>
      <c r="I80" s="11" t="n"/>
      <c r="J80" s="11" t="n"/>
      <c r="K80" s="11" t="n"/>
      <c r="L80" s="11" t="n"/>
      <c r="M80" s="11" t="n"/>
      <c r="N80" s="11" t="n"/>
    </row>
    <row r="81" ht="108" customHeight="1">
      <c r="A81" s="10" t="n">
        <v>79</v>
      </c>
      <c r="B81" s="10" t="inlineStr">
        <is>
          <t>Vano: sezione, spazi di rifugio e ammortizzatori</t>
        </is>
      </c>
      <c r="C81" s="10" t="inlineStr">
        <is>
          <t>Balaustra sul tetto di cabina — fino alla versione 2.12.0 del motore del vano il software misurava i 500 mm dal bordo del tetto; la norma vuole la balaustra entro 150 mm dal bordo: se è più interna, la distanza cresce e può servire l'altezza maggiore</t>
        </is>
      </c>
      <c r="D8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81" s="10" t="inlineStr">
        <is>
          <t>UNI EN 81-20:2020, 5.4.7.2 b) e 5.4.7.4 b)–c)</t>
        </is>
      </c>
      <c r="F81" s="10" t="inlineStr">
        <is>
          <t>UNI EN 81-20:2020, testo della norma, letto il 2026-10-06, pp. 70–72</t>
        </is>
      </c>
      <c r="G81" s="10" t="inlineStr">
        <is>
          <t>confermato</t>
        </is>
      </c>
      <c r="H81" s="10" t="inlineStr">
        <is>
          <t>balaustra sul tetto di cabina</t>
        </is>
      </c>
      <c r="I81" s="11" t="n"/>
      <c r="J81" s="11" t="n"/>
      <c r="K81" s="11" t="n"/>
      <c r="L81" s="11" t="n"/>
      <c r="M81" s="11" t="n"/>
      <c r="N81" s="11" t="n"/>
    </row>
    <row r="82" ht="121" customHeight="1">
      <c r="A82" s="10" t="n">
        <v>80</v>
      </c>
      <c r="B82" s="10" t="inlineStr">
        <is>
          <t>Vano: sezione, spazi di rifugio e ammortizzatori</t>
        </is>
      </c>
      <c r="C82" s="10" t="inlineStr">
        <is>
          <t>Superficie dove una persona può stare sul tetto di cabina — Nella 5.2.5.7.3 lo 0,12 m² è la soglia da cui un'area conta come posto in piedi, sopra la quale serve l'altezza del rifugio; che un'area simile debba esserci lo chiedeva la UNI EN 81-1:2008 (8.13.2). Il software verifica l'area disegnata.</t>
        </is>
      </c>
      <c r="D82" s="10" t="inlineStr">
        <is>
          <t>area continua ≥ 0,12 m² con il lato minore oltre 250 mm (disegnata 400 × 300 mm, modificabile sulla pianta in testata); sopra di essa deve esserci l'altezza dello spazio di rifugio</t>
        </is>
      </c>
      <c r="E82" s="10" t="inlineStr">
        <is>
          <t>UNI EN 81-20:2020, 5.2.5.7.3</t>
        </is>
      </c>
      <c r="F82" s="10" t="inlineStr">
        <is>
          <t>UNI EN 81-20:2020, testo della norma, letto il 2026-10-06, p. 39</t>
        </is>
      </c>
      <c r="G82" s="10" t="inlineStr">
        <is>
          <t>confermato</t>
        </is>
      </c>
      <c r="H82" s="10" t="inlineStr">
        <is>
          <t>superficie per stare sul tetto di cabina</t>
        </is>
      </c>
      <c r="I82" s="11" t="n"/>
      <c r="J82" s="11" t="n"/>
      <c r="K82" s="11" t="n"/>
      <c r="L82" s="11" t="n"/>
      <c r="M82" s="11" t="n"/>
      <c r="N82" s="11" t="n"/>
    </row>
    <row r="83" ht="212" customHeight="1">
      <c r="A83" s="10" t="n">
        <v>81</v>
      </c>
      <c r="B83" s="10" t="inlineStr">
        <is>
          <t>Vano: sezione, spazi di rifugio e ammortizzatori</t>
        </is>
      </c>
      <c r="C8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83" s="10" t="inlineStr">
        <is>
          <t>luce netta in altezza delle porte di piano e di cabina ≥ 2000 mm; altezza libera interna della cabina ≥ 2000 mm</t>
        </is>
      </c>
      <c r="E83" s="10" t="inlineStr">
        <is>
          <t>UNI EN 81-20:2020, 5.3.2.1 e 5.4.1</t>
        </is>
      </c>
      <c r="F83" s="10" t="inlineStr">
        <is>
          <t>UNI EN 81-20:2020, testo della norma, letto il 2026-10-06, pp. 49, 63; 2 m anche in DM 587/1987 (UNI EN 81-1), 7.3.1, 8.1.1 e 8.1.2</t>
        </is>
      </c>
      <c r="G83" s="10" t="inlineStr">
        <is>
          <t>confermato</t>
        </is>
      </c>
      <c r="H83" s="10" t="inlineStr">
        <is>
          <t>altezza libera degli accessi; altezza libera interna della cabina</t>
        </is>
      </c>
      <c r="I83" s="11" t="n"/>
      <c r="J83" s="11" t="n"/>
      <c r="K83" s="11" t="n"/>
      <c r="L83" s="11" t="n"/>
      <c r="M83" s="11" t="n"/>
      <c r="N83" s="11" t="n"/>
    </row>
    <row r="84" ht="160" customHeight="1">
      <c r="A84" s="10" t="n">
        <v>82</v>
      </c>
      <c r="B84" s="10" t="inlineStr">
        <is>
          <t>Vano: sezione, spazi di rifugio e ammortizzatori</t>
        </is>
      </c>
      <c r="C84" s="10" t="inlineStr">
        <is>
          <t>Corsa guidata in testata (contrappeso e cabina)</t>
        </is>
      </c>
      <c r="D8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84" s="10" t="inlineStr">
        <is>
          <t>UNI EN 81-20:2020, 5.2.5.6.2 e 5.2.5.6.1.1 (Prospetto 2: cabina sugli ammortizzatori compressi più 0,035·v²); stesso valore in UNI EN 81-1 (1999, 2008), 5.7.1.2</t>
        </is>
      </c>
      <c r="F84" s="10" t="inlineStr">
        <is>
          <t>UNI EN 81-20:2020, testo della norma, letto il 2026-10-06, p. 36; UNI EN 81-1:2008, testo della norma, letto il 2026-10-06, p. 27</t>
        </is>
      </c>
      <c r="G84" s="10" t="inlineStr">
        <is>
          <t>confermato</t>
        </is>
      </c>
      <c r="H84" s="10" t="inlineStr">
        <is>
          <t>corsa guidata del contrappeso in testata; corsa guidata della cabina in testata</t>
        </is>
      </c>
      <c r="I84" s="11" t="n"/>
      <c r="J84" s="11" t="n"/>
      <c r="K84" s="11" t="n"/>
      <c r="L84" s="11" t="n"/>
      <c r="M84" s="11" t="n"/>
      <c r="N84" s="11" t="n"/>
    </row>
    <row r="85" ht="95" customHeight="1">
      <c r="A85" s="10" t="n">
        <v>83</v>
      </c>
      <c r="B85" s="10" t="inlineStr">
        <is>
          <t>Vano: sezione, spazi di rifugio e ammortizzatori</t>
        </is>
      </c>
      <c r="C85" s="10" t="inlineStr">
        <is>
          <t>Schermo del contrappeso in fossa — non verificati: il bordo inferiore dello schermo a non più di 300 mm dal fondo della fossa (5.2.5.5.1 c)) e la protezione dello spazio oltre 300 mm tra guide del contrappeso e parete (e))</t>
        </is>
      </c>
      <c r="D85" s="10" t="inlineStr">
        <is>
          <t>dal punto più basso del contrappeso sugli ammortizzatori compressi fino ad almeno 2000 mm sopra il pavimento della fossa (altezza dello schermo modificabile sul progetto, mai sotto questo valore)</t>
        </is>
      </c>
      <c r="E85" s="10" t="inlineStr">
        <is>
          <t>UNI EN 81-20:2020, 5.2.5.5.1 b)</t>
        </is>
      </c>
      <c r="F85" s="10" t="inlineStr">
        <is>
          <t>UNI EN 81-20:2020, testo della norma, letto il 2026-10-06, p. 35</t>
        </is>
      </c>
      <c r="G85" s="10" t="inlineStr">
        <is>
          <t>confermato</t>
        </is>
      </c>
      <c r="H85" s="10" t="inlineStr">
        <is>
          <t>protezione del contrappeso in fossa</t>
        </is>
      </c>
      <c r="I85" s="11" t="n"/>
      <c r="J85" s="11" t="n"/>
      <c r="K85" s="11" t="n"/>
      <c r="L85" s="11" t="n"/>
      <c r="M85" s="11" t="n"/>
      <c r="N85" s="11" t="n"/>
    </row>
    <row r="86" ht="95" customHeight="1">
      <c r="A86" s="10" t="n">
        <v>84</v>
      </c>
      <c r="B86" s="10" t="inlineStr">
        <is>
          <t>Vano: sezione, spazi di rifugio e ammortizzatori</t>
        </is>
      </c>
      <c r="C86" s="10" t="inlineStr">
        <is>
          <t>Ammortizzatori ad accumulo di energia lineari (molle)</t>
        </is>
      </c>
      <c r="D86" s="10" t="inlineStr">
        <is>
          <t>ammessi fino a 1 m/s; corsa ≥ 0,135·v² m e comunque ≥ 65 mm; extracorsa della cabina e del contrappeso ≥ 0 (nessun minimo nella norma)</t>
        </is>
      </c>
      <c r="E86" s="10" t="inlineStr">
        <is>
          <t>UNI EN 81-20:2020, 5.8.1.5 (fino a 1 m/s) e 5.8.2.1.1.1 (corsa); nessuna extracorsa minima in metri: l'interruttore di extracorsa interviene prima che la cabina o il contrappeso tocchino gli ammortizzatori (5.12.2.1)</t>
        </is>
      </c>
      <c r="F86" s="10" t="inlineStr">
        <is>
          <t>UNI EN 81-20:2020, testo della norma, letto il 2026-10-06, pp. 98, 131</t>
        </is>
      </c>
      <c r="G86" s="10" t="inlineStr">
        <is>
          <t>confermato</t>
        </is>
      </c>
      <c r="H86" s="10" t="inlineStr">
        <is>
          <t>tipo di ammortizzatori per la velocità; corsa degli ammortizzatori di cabina; corsa dell'ammortizzatore del contrappeso; extracorsa di cabina e contrappeso</t>
        </is>
      </c>
      <c r="I86" s="11" t="n"/>
      <c r="J86" s="11" t="n"/>
      <c r="K86" s="11" t="n"/>
      <c r="L86" s="11" t="n"/>
      <c r="M86" s="11" t="n"/>
      <c r="N86" s="11" t="n"/>
    </row>
    <row r="87" ht="121" customHeight="1">
      <c r="A87" s="10" t="n">
        <v>85</v>
      </c>
      <c r="B87" s="10" t="inlineStr">
        <is>
          <t>Vano: sezione, spazi di rifugio e ammortizzatori</t>
        </is>
      </c>
      <c r="C87" s="10" t="inlineStr">
        <is>
          <t>Ammortizzatori ad accumulo di energia non lineari (tamponi in poliuretano) — il tampone tipico alto 80 mm è un dato di catalogo, non della norma: va sostituito con quello montato</t>
        </is>
      </c>
      <c r="D8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87" s="10" t="inlineStr">
        <is>
          <t>UNI EN 81-20:2020, 5.8.1.5, 5.8.1.7, 5.8.2.1.2.1 e 5.8.2.1.2.2 (compresso al 90 %); UNI EN 81-50:2020, 5.5.4 (esame di tipo)</t>
        </is>
      </c>
      <c r="F87" s="10" t="inlineStr">
        <is>
          <t>UNI EN 81-20:2020, testo della norma, letto il 2026-10-06, pp. 98–99; UNI EN 81-50:2020, testo della norma, letto il 2026-10-06, p. 24; il tampone tipico dai cataloghi P+S Diepocell (wwlift.de) e ACLA AUTAN XL (acla.de), estratti di ricerca del 1° ottobre 2026</t>
        </is>
      </c>
      <c r="G87" s="10" t="inlineStr">
        <is>
          <t>confermato</t>
        </is>
      </c>
      <c r="H87" s="10" t="inlineStr">
        <is>
          <t>tipo di ammortizzatori per la velocità; corsa degli ammortizzatori di cabina; corsa dell'ammortizzatore del contrappeso</t>
        </is>
      </c>
      <c r="I87" s="11" t="n"/>
      <c r="J87" s="11" t="n"/>
      <c r="K87" s="11" t="n"/>
      <c r="L87" s="11" t="n"/>
      <c r="M87" s="11" t="n"/>
      <c r="N87" s="11" t="n"/>
    </row>
    <row r="88" ht="95" customHeight="1">
      <c r="A88" s="10" t="n">
        <v>86</v>
      </c>
      <c r="B88" s="10" t="inlineStr">
        <is>
          <t>Vano: sezione, spazi di rifugio e ammortizzatori</t>
        </is>
      </c>
      <c r="C88" s="10" t="inlineStr">
        <is>
          <t>Ammortizzatori a dissipazione di energia (idraulici) — gli ammortizzatori Oleo sono dati di catalogo, non della norma: vanno sostituiti con quelli montati</t>
        </is>
      </c>
      <c r="D8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88" s="10" t="inlineStr">
        <is>
          <t>UNI EN 81-20:2020, 5.8.1.6 e 5.8.2.2.1 (corsa); la corsa ridotta di 5.8.2.2.2 non è usata</t>
        </is>
      </c>
      <c r="F88" s="10" t="inlineStr">
        <is>
          <t>UNI EN 81-20:2020, testo della norma, letto il 2026-10-06, p. 99; gli ammortizzatori tipici dal catalogo Oleo LSB e SEB (oleo.co.uk), estratti di ricerca del 1° ottobre 2026</t>
        </is>
      </c>
      <c r="G88" s="10" t="inlineStr">
        <is>
          <t>confermato</t>
        </is>
      </c>
      <c r="H88" s="10" t="inlineStr">
        <is>
          <t>tipo di ammortizzatori per la velocità; corsa degli ammortizzatori di cabina; corsa dell'ammortizzatore del contrappeso</t>
        </is>
      </c>
      <c r="I88" s="11" t="n"/>
      <c r="J88" s="11" t="n"/>
      <c r="K88" s="11" t="n"/>
      <c r="L88" s="11" t="n"/>
      <c r="M88" s="11" t="n"/>
      <c r="N88" s="11" t="n"/>
    </row>
    <row r="89" ht="134" customHeight="1">
      <c r="A89" s="10" t="n">
        <v>87</v>
      </c>
      <c r="B89" s="10" t="inlineStr">
        <is>
          <t>Locale del macchinario</t>
        </is>
      </c>
      <c r="C89" s="10" t="inlineStr">
        <is>
          <t>Locale del macchinario — davanti al quadro il software verifica la profondità libera e che la parete sia lunga almeno quanto il maggiore tra 500 mm e il quadro; non verificati: la macchina o altro dentro quella superficie, i percorsi larghi almeno 0,50 m (5.2.6.3.2.2) e lo spazio di 0,30 m sopra le parti rotanti (5.2.6.3.2.3)</t>
        </is>
      </c>
      <c r="D8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89" s="10" t="inlineStr">
        <is>
          <t>UNI EN 81-20:2020, 5.2.6.3.2.1 (2,10 m e superfici libere), 5.2.6.3.2.2 (1,80 m sui percorsi) e 5.2.3.2 a) (porta)</t>
        </is>
      </c>
      <c r="F89" s="10" t="inlineStr">
        <is>
          <t>UNI EN 81-20:2020, testo della norma, letto il 2026-10-06, pp. 29, 43; le superfici libere anche in UNI EN 81-1:1999, 6.3.2.1 (edizione 2008: 6.3.3.1)</t>
        </is>
      </c>
      <c r="G89" s="10" t="inlineStr">
        <is>
          <t>confermato</t>
        </is>
      </c>
      <c r="H89" s="10" t="inlineStr">
        <is>
          <t>altezza del locale macchina; superficie libera davanti al quadro; superficie libera accanto all'argano; porta del locale macchina</t>
        </is>
      </c>
      <c r="I89" s="11" t="n"/>
      <c r="J89" s="11" t="n"/>
      <c r="K89" s="11" t="n"/>
      <c r="L89" s="11" t="n"/>
      <c r="M89" s="11" t="n"/>
      <c r="N89" s="11" t="n"/>
    </row>
    <row r="90" ht="69" customHeight="1">
      <c r="A90" s="10" t="n">
        <v>88</v>
      </c>
      <c r="B90" s="10" t="inlineStr">
        <is>
          <t>Locale del macchinario</t>
        </is>
      </c>
      <c r="C90" s="10" t="inlineStr">
        <is>
          <t>Illuminazione del vano e del locale del macchinario</t>
        </is>
      </c>
      <c r="D90" s="10" t="inlineStr">
        <is>
          <t>vano: luce fissa, almeno 50 lux a un metro dal tetto di cabina e dal fondo della fossa, 20 lux nel resto; locale del macchinario: almeno 200 lux al pavimento dove si lavora e 50 lux sui percorsi; 50 lux anche sull'accesso al macchinario</t>
        </is>
      </c>
      <c r="E90" s="10" t="inlineStr">
        <is>
          <t>UNI EN 81-20:2020, 5.2.1.4.1 a)–c), 5.2.1.4.2 e 5.2.2.2</t>
        </is>
      </c>
      <c r="F90" s="10" t="inlineStr">
        <is>
          <t>UNI EN 81-20:2020, testo della norma, letto il 2026-10-06, p. 25</t>
        </is>
      </c>
      <c r="G90" s="10" t="inlineStr">
        <is>
          <t>confermato</t>
        </is>
      </c>
      <c r="H90" s="10" t="inlineStr">
        <is>
          <t>—</t>
        </is>
      </c>
      <c r="I90" s="11" t="n"/>
      <c r="J90" s="11" t="n"/>
      <c r="K90" s="11" t="n"/>
      <c r="L90" s="11" t="n"/>
      <c r="M90" s="11" t="n"/>
      <c r="N90" s="11" t="n"/>
    </row>
    <row r="91" ht="43" customHeight="1">
      <c r="A91" s="10" t="n">
        <v>89</v>
      </c>
      <c r="B91" s="10" t="inlineStr">
        <is>
          <t>Locale del macchinario</t>
        </is>
      </c>
      <c r="C91" s="10" t="inlineStr">
        <is>
          <t>Temperatura dei locali del macchinario e degli armadi</t>
        </is>
      </c>
      <c r="D91" s="10" t="inlineStr">
        <is>
          <t>temperatura ambiente mantenuta tra +5 °C e +40 °C: ipotesi della norma, da garantire nell'edificio</t>
        </is>
      </c>
      <c r="E91" s="10" t="inlineStr">
        <is>
          <t>UNI EN 81-20:2020, 0.4.16 (ipotesi della norma, vale anche per il vano)</t>
        </is>
      </c>
      <c r="F91" s="10" t="inlineStr">
        <is>
          <t>UNI EN 81-20:2020, testo della norma, letto il 2026-10-06, p. 14</t>
        </is>
      </c>
      <c r="G91" s="10" t="inlineStr">
        <is>
          <t>confermato</t>
        </is>
      </c>
      <c r="H91" s="10" t="inlineStr">
        <is>
          <t>—</t>
        </is>
      </c>
      <c r="I91" s="11" t="n"/>
      <c r="J91" s="11" t="n"/>
      <c r="K91" s="11" t="n"/>
      <c r="L91" s="11" t="n"/>
      <c r="M91" s="11" t="n"/>
      <c r="N91" s="11" t="n"/>
    </row>
    <row r="92" ht="225" customHeight="1">
      <c r="A92" s="10" t="n">
        <v>90</v>
      </c>
      <c r="B92" s="10" t="inlineStr">
        <is>
          <t>Locale del macchinario</t>
        </is>
      </c>
      <c r="C92" s="10" t="inlineStr">
        <is>
          <t>Basamento dell'argano</t>
        </is>
      </c>
      <c r="D92"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92" s="10" t="inlineStr">
        <is>
          <t>UNI EN 81-20:2020, 5.2.1.8 (carichi sull'edificio); scelta del costruttore</t>
        </is>
      </c>
      <c r="F92" s="10" t="inlineStr">
        <is>
          <t>telaio basso universale per argano alto 200 mm (lift-store.it); tamponi antivibranti 25–30 mm (catalogo Donati); piastre di 20 mm e plinto di 250–300 mm nella pratica di installazione (fonti estere, da confermare); estratti di ricerca del 1° ottobre 2026</t>
        </is>
      </c>
      <c r="G92" s="10" t="inlineStr">
        <is>
          <t>scelta del software</t>
        </is>
      </c>
      <c r="H92" s="10" t="inlineStr">
        <is>
          <t>—</t>
        </is>
      </c>
      <c r="I92" s="11" t="n"/>
      <c r="J92" s="11" t="n"/>
      <c r="K92" s="11" t="n"/>
      <c r="L92" s="11" t="n"/>
      <c r="M92" s="11" t="n"/>
      <c r="N92" s="11" t="n"/>
    </row>
    <row r="93" ht="147" customHeight="1">
      <c r="A93" s="10" t="n">
        <v>91</v>
      </c>
      <c r="B93" s="10" t="inlineStr">
        <is>
          <t>Locale del macchinario</t>
        </is>
      </c>
      <c r="C93" s="10" t="inlineStr">
        <is>
          <t>Telaio sotto l'argano di un costruttore</t>
        </is>
      </c>
      <c r="D93"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93" s="10" t="inlineStr">
        <is>
          <t>—</t>
        </is>
      </c>
      <c r="F93" s="10" t="inlineStr">
        <is>
          <t>quote dei piedi, dei fori e dell'asse della puleggia dalle schede tecniche del costruttore; altezza del telaio scelta dal software, da adattare al telaio fornito</t>
        </is>
      </c>
      <c r="G93" s="10" t="inlineStr">
        <is>
          <t>scelta del software</t>
        </is>
      </c>
      <c r="H93" s="10" t="inlineStr">
        <is>
          <t>—</t>
        </is>
      </c>
      <c r="I93" s="11" t="n"/>
      <c r="J93" s="11" t="n"/>
      <c r="K93" s="11" t="n"/>
      <c r="L93" s="11" t="n"/>
      <c r="M93" s="11" t="n"/>
      <c r="N93" s="11" t="n"/>
    </row>
    <row r="94" ht="303" customHeight="1">
      <c r="A94" s="10" t="n">
        <v>92</v>
      </c>
      <c r="B94" s="10" t="inlineStr">
        <is>
          <t>Locale del macchinario</t>
        </is>
      </c>
      <c r="C94" s="10" t="inlineStr">
        <is>
          <t>Puleggia di rinvio nel locale del macchinario</t>
        </is>
      </c>
      <c r="D94"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94" s="10" t="inlineStr">
        <is>
          <t>regola del committente (Panev): il rinvio sta nel telaio del locale macchine, mai nel vano; UNI EN 81-20:2020, 5.2.1.8 (carichi sull'edificio)</t>
        </is>
      </c>
      <c r="F94"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94" s="10" t="inlineStr">
        <is>
          <t>scelta del software</t>
        </is>
      </c>
      <c r="H94" s="10" t="inlineStr">
        <is>
          <t>calata del contrappeso nel telaio con rinvio del costruttore</t>
        </is>
      </c>
      <c r="I94" s="11" t="n"/>
      <c r="J94" s="11" t="n"/>
      <c r="K94" s="11" t="n"/>
      <c r="L94" s="11" t="n"/>
      <c r="M94" s="11" t="n"/>
      <c r="N94" s="11" t="n"/>
    </row>
    <row r="95" ht="134" customHeight="1">
      <c r="A95" s="10" t="n">
        <v>93</v>
      </c>
      <c r="B95" s="10" t="inlineStr">
        <is>
          <t>Locale del macchinario</t>
        </is>
      </c>
      <c r="C95" s="10" t="inlineStr">
        <is>
          <t>L'argano dentro il locale del macchinario</t>
        </is>
      </c>
      <c r="D95"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95" s="10" t="inlineStr">
        <is>
          <t>—</t>
        </is>
      </c>
      <c r="F95" s="10" t="inlineStr">
        <is>
          <t>geometria del progetto: la pianta e l'altezza del locale inserite, gli ingombri dell'argano e del basamento</t>
        </is>
      </c>
      <c r="G95" s="10" t="inlineStr">
        <is>
          <t>derivazione</t>
        </is>
      </c>
      <c r="H95" s="10" t="inlineStr">
        <is>
          <t>argano dentro il locale (muri e soffitto); puleggia di rinvio sul suo supporto sotto l'argano</t>
        </is>
      </c>
      <c r="I95" s="11" t="n"/>
      <c r="J95" s="11" t="n"/>
      <c r="K95" s="11" t="n"/>
      <c r="L95" s="11" t="n"/>
      <c r="M95" s="11" t="n"/>
      <c r="N95" s="11" t="n"/>
    </row>
    <row r="96" ht="134" customHeight="1">
      <c r="A96" s="10" t="n">
        <v>94</v>
      </c>
      <c r="B96" s="10" t="inlineStr">
        <is>
          <t>Locale del macchinario</t>
        </is>
      </c>
      <c r="C96" s="10" t="inlineStr">
        <is>
          <t>Verifica delle putrelle sotto l'argano — verifica semplice a carico concentrato in mezzeria su trave appoggiata; gli appoggi nei muri e la muratura vanno verificati dal progettista</t>
        </is>
      </c>
      <c r="D9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96"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96" s="10" t="inlineStr">
        <is>
          <t>NTC 2018 (DM 17/01/2018); catalogo dei profilati ArcelorMittal (EN 10365) confrontato con due tabelle indipendenti; DPR 1497/1963 letto per intero (research/argano-geared, cap. 15, §1.1)</t>
        </is>
      </c>
      <c r="G96" s="10" t="inlineStr">
        <is>
          <t>da verificare</t>
        </is>
      </c>
      <c r="H96" s="10" t="inlineStr">
        <is>
          <t>tensione nelle putrelle sotto l'argano; freccia delle putrelle sotto l'argano</t>
        </is>
      </c>
      <c r="I96" s="11" t="n"/>
      <c r="J96" s="11" t="n"/>
      <c r="K96" s="11" t="n"/>
      <c r="L96" s="11" t="n"/>
      <c r="M96" s="11" t="n"/>
      <c r="N96" s="11" t="n"/>
    </row>
    <row r="97" ht="147" customHeight="1">
      <c r="A97" s="10" t="n">
        <v>95</v>
      </c>
      <c r="B97" s="10" t="inlineStr">
        <is>
          <t>Locale del macchinario</t>
        </is>
      </c>
      <c r="C97" s="10" t="inlineStr">
        <is>
          <t>Sostituzione dell'argano: calate esistenti e calate della nuova macchina</t>
        </is>
      </c>
      <c r="D97"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97" s="10" t="inlineStr">
        <is>
          <t>—</t>
        </is>
      </c>
      <c r="F97" s="10" t="inlineStr">
        <is>
          <t>tolleranza scelta dal software per il rilievo in sito (le funi a qualche metro dal basamento): da confermare con l'installatore</t>
        </is>
      </c>
      <c r="G97" s="10" t="inlineStr">
        <is>
          <t>scelta del software</t>
        </is>
      </c>
      <c r="H97" s="10" t="inlineStr">
        <is>
          <t>sostituzione: calate della nuova macchina sulle calate esistenti</t>
        </is>
      </c>
      <c r="I97" s="11" t="n"/>
      <c r="J97" s="11" t="n"/>
      <c r="K97" s="11" t="n"/>
      <c r="L97" s="11" t="n"/>
      <c r="M97" s="11" t="n"/>
      <c r="N97" s="11" t="n"/>
    </row>
    <row r="98" ht="134" customHeight="1">
      <c r="A98" s="10" t="n">
        <v>96</v>
      </c>
      <c r="B98" s="10" t="inlineStr">
        <is>
          <t>Carichi sull'edificio e spinte sulle guide</t>
        </is>
      </c>
      <c r="C98" s="10" t="inlineStr">
        <is>
          <t>Carichi sul pavimento della fossa — non calcolato: con spazi accessibili sotto il vano (5.2.5.4) il contrappeso ha il paracadute, sotto le sue guide va anche k1·g·M_cw/n e il fondo della fossa regge almeno 5000 N/m². P è la cabina vuota: la quota del cavo flessibile e della compensazione, che la 5.2.1.8.5 conta in P, va aggiunta dall'ingegnere</t>
        </is>
      </c>
      <c r="D9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98" s="10" t="inlineStr">
        <is>
          <t>UNI EN 81-20:2020, 5.2.1.8.4–5.2.1.8.6, 5.7.2.3.5 e Prospetto 14 (k1)</t>
        </is>
      </c>
      <c r="F98" s="10" t="inlineStr">
        <is>
          <t>UNI EN 81-20:2020, testo della norma, letto il 2026-10-06, pp. 27, 94–96</t>
        </is>
      </c>
      <c r="G98" s="10" t="inlineStr">
        <is>
          <t>confermato</t>
        </is>
      </c>
      <c r="H98" s="10" t="inlineStr">
        <is>
          <t>—</t>
        </is>
      </c>
      <c r="I98" s="11" t="n"/>
      <c r="J98" s="11" t="n"/>
      <c r="K98" s="11" t="n"/>
      <c r="L98" s="11" t="n"/>
      <c r="M98" s="11" t="n"/>
      <c r="N98" s="11" t="n"/>
    </row>
    <row r="99" ht="108" customHeight="1">
      <c r="A99" s="10" t="n">
        <v>97</v>
      </c>
      <c r="B99" s="10" t="inlineStr">
        <is>
          <t>Carichi sull'edificio e spinte sulle guide</t>
        </is>
      </c>
      <c r="C99" s="10" t="inlineStr">
        <is>
          <t>Spinte sulle guide di cabina — h, la distanza tra i pattini, è una stima del software (l'ingombro verticale dell'arcata)</t>
        </is>
      </c>
      <c r="D9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99" s="10" t="inlineStr">
        <is>
          <t>UNI EN 81-50:2020, appendice C (informativa), C.2.1.1 e C.2.2.1; UNI EN 81-20:2020, 5.7.2.3.4 (portata su 3/4 della superficie: 1/8) e Prospetto 14 (k1; k2 = 1,2)</t>
        </is>
      </c>
      <c r="F99" s="10" t="inlineStr">
        <is>
          <t>UNI EN 81-50:2020, testo della norma, letto il 2026-10-06, pp. 77–79; UNI EN 81-20:2020, testo della norma, letto il 2026-10-06, pp. 94–96</t>
        </is>
      </c>
      <c r="G99" s="10" t="inlineStr">
        <is>
          <t>confermato</t>
        </is>
      </c>
      <c r="H99" s="10" t="inlineStr">
        <is>
          <t>—</t>
        </is>
      </c>
      <c r="I99" s="11" t="n"/>
      <c r="J99" s="11" t="n"/>
      <c r="K99" s="11" t="n"/>
      <c r="L99" s="11" t="n"/>
      <c r="M99" s="11" t="n"/>
      <c r="N99" s="11" t="n"/>
    </row>
    <row r="100" ht="82" customHeight="1">
      <c r="A100" s="10" t="n">
        <v>98</v>
      </c>
      <c r="B100" s="10" t="inlineStr">
        <is>
          <t>Carichi sull'edificio e spinte sulle guide</t>
        </is>
      </c>
      <c r="C100" s="10" t="inlineStr">
        <is>
          <t>Carico della macchina sulla soletta</t>
        </is>
      </c>
      <c r="D100" s="10" t="inlineStr">
        <is>
          <t>carico statico sull'asse (cabina, portata, contrappeso, funi, cavi; in taglia 2:1 la metà di cabina, portata e contrappeso) × 1,5 come coefficiente dinamico, modificabile nei dati dell'impianto; sulla soletta anche la massa di macchina e telaio</t>
        </is>
      </c>
      <c r="E100" s="10" t="inlineStr">
        <is>
          <t>—</t>
        </is>
      </c>
      <c r="F100" s="10" t="inlineStr">
        <is>
          <t>prassi di progetto: la EN 81 non fissa un coefficiente dinamico per gli appoggi della macchina (in altre prassi 2,0)</t>
        </is>
      </c>
      <c r="G100" s="10" t="inlineStr">
        <is>
          <t>prassi di cantiere</t>
        </is>
      </c>
      <c r="H100" s="10" t="inlineStr">
        <is>
          <t>—</t>
        </is>
      </c>
      <c r="I100" s="11" t="n"/>
      <c r="J100" s="11" t="n"/>
      <c r="K100" s="11" t="n"/>
      <c r="L100" s="11" t="n"/>
      <c r="M100" s="11" t="n"/>
      <c r="N100" s="11" t="n"/>
    </row>
    <row r="101" ht="43" customHeight="1">
      <c r="A101" s="10" t="n">
        <v>99</v>
      </c>
      <c r="B101" s="10" t="inlineStr">
        <is>
          <t>Carichi sull'edificio e spinte sulle guide</t>
        </is>
      </c>
      <c r="C101" s="10" t="inlineStr">
        <is>
          <t>Massa dei cavi flessibili</t>
        </is>
      </c>
      <c r="D101" s="10" t="inlineStr">
        <is>
          <t>0,5 kg/m per metà della corsa più 3 m, se non data nei dati dell'impianto (cavo piatto 24G0,75)</t>
        </is>
      </c>
      <c r="E101" s="10" t="inlineStr">
        <is>
          <t>—</t>
        </is>
      </c>
      <c r="F101" s="10" t="inlineStr">
        <is>
          <t>schede dei costruttori di cavi piatti (0,48–0,57 kg/m)</t>
        </is>
      </c>
      <c r="G101" s="10" t="inlineStr">
        <is>
          <t>stima</t>
        </is>
      </c>
      <c r="H101" s="10" t="inlineStr">
        <is>
          <t>—</t>
        </is>
      </c>
      <c r="I101" s="11" t="n"/>
      <c r="J101" s="11" t="n"/>
      <c r="K101" s="11" t="n"/>
      <c r="L101" s="11" t="n"/>
      <c r="M101" s="11" t="n"/>
      <c r="N101" s="11" t="n"/>
    </row>
    <row r="102" ht="121" customHeight="1">
      <c r="A102" s="10" t="n">
        <v>100</v>
      </c>
      <c r="B102" s="10" t="inlineStr">
        <is>
          <t>Carichi sull'edificio e spinte sulle guide</t>
        </is>
      </c>
      <c r="C102" s="10" t="inlineStr">
        <is>
          <t>Numero e posizione delle staffe delle guide — il passo delle staffe va confermato con la verifica delle guide (UNI EN 81-50:2020, 5.10), che usa la distanza tra le staffe</t>
        </is>
      </c>
      <c r="D10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02" s="10" t="inlineStr">
        <is>
          <t>regola di montaggio indicata dal committente</t>
        </is>
      </c>
      <c r="F102" s="10" t="inlineStr">
        <is>
          <t>scelta del committente</t>
        </is>
      </c>
      <c r="G102" s="10" t="inlineStr">
        <is>
          <t>scelta del software</t>
        </is>
      </c>
      <c r="H102" s="10" t="inlineStr">
        <is>
          <t>—</t>
        </is>
      </c>
      <c r="I102" s="11" t="n"/>
      <c r="J102" s="11" t="n"/>
      <c r="K102" s="11" t="n"/>
      <c r="L102" s="11" t="n"/>
      <c r="M102" s="11" t="n"/>
      <c r="N102" s="11" t="n"/>
    </row>
    <row r="103" ht="82" customHeight="1">
      <c r="A103" s="10" t="n">
        <v>101</v>
      </c>
      <c r="B103" s="10" t="inlineStr">
        <is>
          <t>Carichi sull'edificio e spinte sulle guide</t>
        </is>
      </c>
      <c r="C103" s="10" t="inlineStr">
        <is>
          <t>Lunghezze stimate nel foglio dei dati</t>
        </is>
      </c>
      <c r="D103"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103" s="10" t="inlineStr">
        <is>
          <t>—</t>
        </is>
      </c>
      <c r="F103" s="10" t="inlineStr">
        <is>
          <t>stima del software, da sostituire con le misure di cantiere</t>
        </is>
      </c>
      <c r="G103" s="10" t="inlineStr">
        <is>
          <t>stima</t>
        </is>
      </c>
      <c r="H103" s="10" t="inlineStr">
        <is>
          <t>—</t>
        </is>
      </c>
      <c r="I103" s="11" t="n"/>
      <c r="J103" s="11" t="n"/>
      <c r="K103" s="11" t="n"/>
      <c r="L103" s="11" t="n"/>
      <c r="M103" s="11" t="n"/>
      <c r="N103" s="11" t="n"/>
    </row>
    <row r="104" ht="342" customHeight="1">
      <c r="A104" s="10" t="n">
        <v>102</v>
      </c>
      <c r="B104" s="10" t="inlineStr">
        <is>
          <t>Carichi sull'edificio e spinte sulle guide</t>
        </is>
      </c>
      <c r="C104" s="10" t="inlineStr">
        <is>
          <t>Verifica delle guide di cabina — Confermati sul testo i coefficienti, le formule e i limiti. Da verificare il carico al piano: la UNI EN 81-20:2020 (5.7.2.3.6) lo lega al tipo di ascensore, 0,4·g·Q per persone, 0,6·g·Q per merci, 0,85·g·Q con dispositivi di movimentazione pesanti; il software usa la regola della UNI EN 81-1:2008 (0,6·g·Q da 2500 kg, appendice G.2.5) perché il tipo di ascensore non è tra i dati.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0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 0,4·g·Q (0,6·g·Q da 2500 kg) al centro della soglia di cabina, a ogni accesso; flessione della suola σF = 1,85·Fx/c² (pattini a rotelle); frecce δx = 0,7·Fx·l³/(48·E·Iy) e δy = 0,7·Fy·l³/(48·E·Ix) ≤ 5 mm. Tensione ammissibile Rm/St con St = 2,25 in marcia e al carico, 1,8 all'intervento del paracadute (allungamento A5 &gt; 12 %): con Rm 370 N/mm², 164,4 e 205,6 N/mm²</t>
        </is>
      </c>
      <c r="E104" s="10" t="inlineStr">
        <is>
          <t>UNI EN 81-50:2020, 5.10.2–5.10.6; UNI EN 81-20:2020, 5.7.2.3.5, 5.7.2.3.6, 5.7.4.5 (Prospetto 15), 5.7.4.6 e Prospetto 14</t>
        </is>
      </c>
      <c r="F104" s="10" t="inlineStr">
        <is>
          <t>UNI EN 81-50:2020, testo della norma, letto il 2026-10-06, pp. 35–39; UNI EN 81-20:2020, testo della norma, letto il 2026-10-06, pp. 94–97; Rm 370 è scelta del software (il valore più basso)</t>
        </is>
      </c>
      <c r="G104" s="10" t="inlineStr">
        <is>
          <t>da verificare</t>
        </is>
      </c>
      <c r="H104" s="10" t="inlineStr">
        <is>
          <t>tensioni nelle guide di cabina; flessione della suola delle guide di cabina; frecce delle guide di cabina</t>
        </is>
      </c>
      <c r="I104" s="11" t="n"/>
      <c r="J104" s="11" t="n"/>
      <c r="K104" s="11" t="n"/>
      <c r="L104" s="11" t="n"/>
      <c r="M104" s="11" t="n"/>
      <c r="N104" s="11" t="n"/>
    </row>
    <row r="105" ht="147" customHeight="1">
      <c r="A105" s="10" t="n">
        <v>103</v>
      </c>
      <c r="B105" s="10" t="inlineStr">
        <is>
          <t>Carichi sull'edificio e spinte sulle guide</t>
        </is>
      </c>
      <c r="C105" s="10" t="inlineStr">
        <is>
          <t>Sezioni delle guide di cabina</t>
        </is>
      </c>
      <c r="D105" s="10" t="inlineStr">
        <is>
          <t>area, momenti d'inerzia e moduli di resistenza minimi attorno all'asse parallelo alla suola (x) e all'asse di simmetria (y), spessore c del collo tra lama e suola, per ogni profilo del software; raggi d'inerzia calcolati come √(I/A)</t>
        </is>
      </c>
      <c r="E105" s="10" t="inlineStr">
        <is>
          <t>ISO 7465:2007 (ora ISO 8100-33:2022); EN 10055:1995 per il T 70×70×8 laminato</t>
        </is>
      </c>
      <c r="F10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05" s="10" t="inlineStr">
        <is>
          <t>da verificare</t>
        </is>
      </c>
      <c r="H105" s="10" t="inlineStr">
        <is>
          <t>—</t>
        </is>
      </c>
      <c r="I105" s="11" t="n"/>
      <c r="J105" s="11" t="n"/>
      <c r="K105" s="11" t="n"/>
      <c r="L105" s="11" t="n"/>
      <c r="M105" s="11" t="n"/>
      <c r="N105" s="11" t="n"/>
    </row>
    <row r="106" ht="69" customHeight="1">
      <c r="A106" s="10" t="n">
        <v>104</v>
      </c>
      <c r="B106" s="10" t="inlineStr">
        <is>
          <t>Carichi sull'edificio e spinte sulle guide</t>
        </is>
      </c>
      <c r="C106" s="10" t="inlineStr">
        <is>
          <t>Tipo di paracadute per la velocità nominale</t>
        </is>
      </c>
      <c r="D106" s="10" t="inlineStr">
        <is>
          <t>istantaneo (anche a rulli imprigionati) fino a 0,63 m/s; oltre, progressivo (la UNI EN 81-20 non ha più l'istantaneo con effetto ammortizzato fino a 1 m/s); il tipo viene dai dati dell'impianto (se manca: progressivo, con la nota sul foglio)</t>
        </is>
      </c>
      <c r="E106" s="10" t="inlineStr">
        <is>
          <t>UNI EN 81-20:2020, 5.6.2.1.2.1; la regola precedente in UNI EN 81-1 (1999, 2008), 9.8.2.1</t>
        </is>
      </c>
      <c r="F106" s="10" t="inlineStr">
        <is>
          <t>UNI EN 81-20:2020, testo della norma, letto il 2026-10-06, p. 81; UNI EN 81-1:2008, testo della norma, letto il 2026-10-06, p. 58</t>
        </is>
      </c>
      <c r="G106" s="10" t="inlineStr">
        <is>
          <t>confermato</t>
        </is>
      </c>
      <c r="H106" s="10" t="inlineStr">
        <is>
          <t>tipo di paracadute per la velocità</t>
        </is>
      </c>
      <c r="I106" s="11" t="n"/>
      <c r="J106" s="11" t="n"/>
      <c r="K106" s="11" t="n"/>
      <c r="L106" s="11" t="n"/>
      <c r="M106" s="11" t="n"/>
      <c r="N106" s="11" t="n"/>
    </row>
    <row r="107" ht="43" customHeight="1">
      <c r="A107" s="10" t="n">
        <v>105</v>
      </c>
      <c r="B107" s="10" t="inlineStr">
        <is>
          <t>Vano: limiti del progetto</t>
        </is>
      </c>
      <c r="C107" s="10" t="inlineStr">
        <is>
          <t>Dimensioni proposte della cabina</t>
        </is>
      </c>
      <c r="D107" s="10" t="inlineStr">
        <is>
          <t>la cabina più grande che entra nel vano, a passi di 10 mm, con superficie entro il limite della portata; a parità di superficie, la più profonda</t>
        </is>
      </c>
      <c r="E107" s="10" t="inlineStr">
        <is>
          <t>—</t>
        </is>
      </c>
      <c r="F107" s="10" t="inlineStr">
        <is>
          <t>scelta del software</t>
        </is>
      </c>
      <c r="G107" s="10" t="inlineStr">
        <is>
          <t>scelta del software</t>
        </is>
      </c>
      <c r="H107" s="10" t="inlineStr">
        <is>
          <t>—</t>
        </is>
      </c>
      <c r="I107" s="11" t="n"/>
      <c r="J107" s="11" t="n"/>
      <c r="K107" s="11" t="n"/>
      <c r="L107" s="11" t="n"/>
      <c r="M107" s="11" t="n"/>
      <c r="N107" s="11" t="n"/>
    </row>
    <row r="108" ht="225" customHeight="1">
      <c r="A108" s="10" t="n">
        <v>106</v>
      </c>
      <c r="B108" s="10" t="inlineStr">
        <is>
          <t>Vano: limiti del progetto</t>
        </is>
      </c>
      <c r="C108" s="10" t="inlineStr">
        <is>
          <t>Quote della pianta fissate a mano</t>
        </is>
      </c>
      <c r="D108"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08" s="10" t="inlineStr">
        <is>
          <t>—</t>
        </is>
      </c>
      <c r="F108" s="10" t="inlineStr">
        <is>
          <t>scelta del software</t>
        </is>
      </c>
      <c r="G108" s="10" t="inlineStr">
        <is>
          <t>scelta del software</t>
        </is>
      </c>
      <c r="H108" s="10" t="inlineStr">
        <is>
          <t>quote fissate a mano: ingombri al loro posto; quote fissate a mano: porte dentro la cabina; ammortizzatori fissati a mano: sotto cabina e contrappeso, fuori dal rifugio</t>
        </is>
      </c>
      <c r="I108" s="11" t="n"/>
      <c r="J108" s="11" t="n"/>
      <c r="K108" s="11" t="n"/>
      <c r="L108" s="11" t="n"/>
      <c r="M108" s="11" t="n"/>
      <c r="N108" s="11" t="n"/>
    </row>
    <row r="109" ht="82" customHeight="1">
      <c r="A109" s="10" t="n">
        <v>107</v>
      </c>
      <c r="B109" s="10" t="inlineStr">
        <is>
          <t>Vano: limiti del progetto</t>
        </is>
      </c>
      <c r="C109" s="10" t="inlineStr">
        <is>
          <t>Limiti del modello del vano</t>
        </is>
      </c>
      <c r="D109" s="10" t="inlineStr">
        <is>
          <t>pianta, sezione A-A e locale macchina da un modello semplificato: arcata, operatori delle porte, ammortizzatori e macchina hanno posizioni e ingombri tipici, da sostituire con i dati dei fornitori; il rilievo dal disegno CAD va controllato in cantiere</t>
        </is>
      </c>
      <c r="E109" s="10" t="inlineStr">
        <is>
          <t>—</t>
        </is>
      </c>
      <c r="F109" s="10" t="inlineStr">
        <is>
          <t>limite del modello attuale</t>
        </is>
      </c>
      <c r="G109" s="10" t="inlineStr">
        <is>
          <t>scelta del software</t>
        </is>
      </c>
      <c r="H109" s="10" t="inlineStr">
        <is>
          <t>—</t>
        </is>
      </c>
      <c r="I109" s="11" t="n"/>
      <c r="J109" s="11" t="n"/>
      <c r="K109" s="11" t="n"/>
      <c r="L109" s="11" t="n"/>
      <c r="M109" s="11" t="n"/>
      <c r="N109" s="11" t="n"/>
    </row>
    <row r="110" ht="238" customHeight="1">
      <c r="A110" s="10" t="n">
        <v>108</v>
      </c>
      <c r="B110" s="10" t="inlineStr">
        <is>
          <t>Vano: limiti del progetto</t>
        </is>
      </c>
      <c r="C110" s="10" t="inlineStr">
        <is>
          <t>Verifiche che il software non calcola</t>
        </is>
      </c>
      <c r="D110"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10"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10" s="10" t="inlineStr">
        <is>
          <t>UNI EN 81-20:2020, testo della norma, letto il 2026-10-06, pp. 31–43, 89–97; analisi delle lacune del 2026-10-03</t>
        </is>
      </c>
      <c r="G110" s="10" t="inlineStr">
        <is>
          <t>scelta del software</t>
        </is>
      </c>
      <c r="H110" s="10" t="inlineStr">
        <is>
          <t>—</t>
        </is>
      </c>
      <c r="I110" s="11" t="n"/>
      <c r="J110" s="11" t="n"/>
      <c r="K110" s="11" t="n"/>
      <c r="L110" s="11" t="n"/>
      <c r="M110" s="11" t="n"/>
      <c r="N110" s="11" t="n"/>
    </row>
    <row r="111" ht="56" customHeight="1">
      <c r="A111" s="10" t="n">
        <v>109</v>
      </c>
      <c r="B111" s="10" t="inlineStr">
        <is>
          <t>Impianto: valori calcolati dai dati inseriti una volta</t>
        </is>
      </c>
      <c r="C111" s="10" t="inlineStr">
        <is>
          <t>Corsa</t>
        </is>
      </c>
      <c r="D111" s="10" t="inlineStr">
        <is>
          <t>somma delle altezze tra i piani, dal più basso al più alto</t>
        </is>
      </c>
      <c r="E111" s="10" t="inlineStr">
        <is>
          <t>—</t>
        </is>
      </c>
      <c r="F111" s="10" t="inlineStr">
        <is>
          <t>dati dei piani inseriti</t>
        </is>
      </c>
      <c r="G111" s="10" t="inlineStr">
        <is>
          <t>derivazione</t>
        </is>
      </c>
      <c r="H111" s="10" t="inlineStr">
        <is>
          <t>—</t>
        </is>
      </c>
      <c r="I111" s="11" t="n"/>
      <c r="J111" s="11" t="n"/>
      <c r="K111" s="11" t="n"/>
      <c r="L111" s="11" t="n"/>
      <c r="M111" s="11" t="n"/>
      <c r="N111" s="11" t="n"/>
    </row>
    <row r="112" ht="121" customHeight="1">
      <c r="A112" s="10" t="n">
        <v>110</v>
      </c>
      <c r="B112" s="10" t="inlineStr">
        <is>
          <t>Impianto: valori calcolati dai dati inseriti una volta</t>
        </is>
      </c>
      <c r="C112" s="10" t="inlineStr">
        <is>
          <t>Portata e velocità — In una modifica la UNI 10411-1:2024 (6.1, prospetto 1) tratta come aumento della portata oltre il 10 % (Q fino a 500 kg) o il 5 % (oltre) e del carico totale oltre il 15 % o il 10 %; la UNI 10411-11:2024 (6.1) ogni aumento del carico totale: il confronto con la portata originale lo fa l'ingegnere.</t>
        </is>
      </c>
      <c r="D112" s="10" t="inlineStr">
        <is>
          <t>la portata inserita, oppure quella della cabina più grande che entra nel vano (Tabella 6); la velocità è una sola per il vano e per la macchina</t>
        </is>
      </c>
      <c r="E112" s="10" t="inlineStr">
        <is>
          <t>UNI EN 81-20:2020, 5.4.2.1</t>
        </is>
      </c>
      <c r="F112" s="10" t="inlineStr">
        <is>
          <t>progetto del vano</t>
        </is>
      </c>
      <c r="G112" s="10" t="inlineStr">
        <is>
          <t>derivazione</t>
        </is>
      </c>
      <c r="H112" s="10" t="inlineStr">
        <is>
          <t>—</t>
        </is>
      </c>
      <c r="I112" s="11" t="n"/>
      <c r="J112" s="11" t="n"/>
      <c r="K112" s="11" t="n"/>
      <c r="L112" s="11" t="n"/>
      <c r="M112" s="11" t="n"/>
      <c r="N112" s="11" t="n"/>
    </row>
    <row r="113" ht="316" customHeight="1">
      <c r="A113" s="10" t="n">
        <v>111</v>
      </c>
      <c r="B113" s="10" t="inlineStr">
        <is>
          <t>Impianto: valori calcolati dai dati inseriti una volta</t>
        </is>
      </c>
      <c r="C11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1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13" s="10" t="inlineStr">
        <is>
          <t>DPR 162/1999 e s.m.i.; UNI 10411-1:2024; UNI 10411-11:2024; UNI EN 81-20:2020; UNI EN 81-50:2020</t>
        </is>
      </c>
      <c r="F113" s="10" t="inlineStr">
        <is>
          <t>UNI 10411-1:2024, testo della norma, letto il 2026-10-06, pp. 5, 13–14; UNI 10411-11:2024, testo della norma, letto il 2026-10-06, pp. 5, 12; schema ICIM delle verifiche (la verifica straordinaria si limita di norma alle modifiche); ricerca, capitoli 2.4 e 6.6</t>
        </is>
      </c>
      <c r="G113" s="10" t="inlineStr">
        <is>
          <t>scelta del software</t>
        </is>
      </c>
      <c r="H113" s="10" t="inlineStr">
        <is>
          <t>—</t>
        </is>
      </c>
      <c r="I113" s="11" t="n"/>
      <c r="J113" s="11" t="n"/>
      <c r="K113" s="11" t="n"/>
      <c r="L113" s="11" t="n"/>
      <c r="M113" s="11" t="n"/>
      <c r="N113" s="11" t="n"/>
    </row>
    <row r="114" ht="264" customHeight="1">
      <c r="A114" s="10" t="n">
        <v>112</v>
      </c>
      <c r="B114" s="10" t="inlineStr">
        <is>
          <t>Impianto: valori calcolati dai dati inseriti una volta</t>
        </is>
      </c>
      <c r="C11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1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14" s="10" t="inlineStr">
        <is>
          <t>DPR 162/1999 e s.m.i., art. 2 c.1 lett. cc), art. 12 c.4, art. 14 c.3; UNI 10411-1:2024; UNI 10411-11:2024; UNI EN 81-21:2022 (scopo)</t>
        </is>
      </c>
      <c r="F114" s="10" t="inlineStr">
        <is>
          <t>indicazione del cliente (5 ottobre 2026): prassi di lasciare l'arcata; ricerca, capitolo 16 §3.2 e §5.3</t>
        </is>
      </c>
      <c r="G114" s="10" t="inlineStr">
        <is>
          <t>prassi di cantiere</t>
        </is>
      </c>
      <c r="H114" s="10" t="inlineStr">
        <is>
          <t>—</t>
        </is>
      </c>
      <c r="I114" s="11" t="n"/>
      <c r="J114" s="11" t="n"/>
      <c r="K114" s="11" t="n"/>
      <c r="L114" s="11" t="n"/>
      <c r="M114" s="11" t="n"/>
      <c r="N114" s="11" t="n"/>
    </row>
    <row r="115" ht="69" customHeight="1">
      <c r="A115" s="10" t="n">
        <v>113</v>
      </c>
      <c r="B115" s="10" t="inlineStr">
        <is>
          <t>Impianto: valori calcolati dai dati inseriti una volta</t>
        </is>
      </c>
      <c r="C115" s="10" t="inlineStr">
        <is>
          <t>Massa della cabina non inserita — va sostituita con la massa del libretto o con quella ricavata dalla prova di bilanciamento; la sensibilità ±10% ne mostra l'effetto</t>
        </is>
      </c>
      <c r="D115" s="10" t="inlineStr">
        <is>
          <t>P = 1,1·Q arrotondata per eccesso a 10 kg: valore di partenza per far girare il calcolo</t>
        </is>
      </c>
      <c r="E115" s="10" t="inlineStr">
        <is>
          <t>ricerca, capitoli 3 e 6 (origine della massa della cabina)</t>
        </is>
      </c>
      <c r="F115" s="10" t="inlineStr">
        <is>
          <t>scelta del software, senza fonte</t>
        </is>
      </c>
      <c r="G115" s="10" t="inlineStr">
        <is>
          <t>stima</t>
        </is>
      </c>
      <c r="H115" s="10" t="inlineStr">
        <is>
          <t>—</t>
        </is>
      </c>
      <c r="I115" s="11" t="n"/>
      <c r="J115" s="11" t="n"/>
      <c r="K115" s="11" t="n"/>
      <c r="L115" s="11" t="n"/>
      <c r="M115" s="11" t="n"/>
      <c r="N115" s="11" t="n"/>
    </row>
    <row r="116" ht="108" customHeight="1">
      <c r="A116" s="10" t="n">
        <v>114</v>
      </c>
      <c r="B116" s="10" t="inlineStr">
        <is>
          <t>Impianto: valori calcolati dai dati inseriti una volta</t>
        </is>
      </c>
      <c r="C116" s="10" t="inlineStr">
        <is>
          <t>Fune oltre la corsa (L0)</t>
        </is>
      </c>
      <c r="D116" s="10" t="inlineStr">
        <is>
          <t>dalla sommità dell'arcata con la cabina all'ultimo piano fino all'asse della puleggia: testata − sommità dell'arcata + solaio del locale + asse della puleggia a 0,9·D sul pavimento del locale; con la puleggia di rinvio, l'asse sul basamento o sul telaio che la porta (voce locale.rinvio); macchina in basso o senza locale: fino al soffitto del vano</t>
        </is>
      </c>
      <c r="E116" s="10" t="inlineStr">
        <is>
          <t>—</t>
        </is>
      </c>
      <c r="F116" s="10" t="inlineStr">
        <is>
          <t>dati verticali del vano; altezza dell'asse scelta dal software</t>
        </is>
      </c>
      <c r="G116" s="10" t="inlineStr">
        <is>
          <t>scelta del software</t>
        </is>
      </c>
      <c r="H116" s="10" t="inlineStr">
        <is>
          <t>—</t>
        </is>
      </c>
      <c r="I116" s="11" t="n"/>
      <c r="J116" s="11" t="n"/>
      <c r="K116" s="11" t="n"/>
      <c r="L116" s="11" t="n"/>
      <c r="M116" s="11" t="n"/>
      <c r="N116" s="11" t="n"/>
    </row>
    <row r="117" ht="147" customHeight="1">
      <c r="A117" s="10" t="n">
        <v>115</v>
      </c>
      <c r="B117" s="10" t="inlineStr">
        <is>
          <t>Impianto: valori calcolati dai dati inseriti una volta</t>
        </is>
      </c>
      <c r="C117" s="10" t="inlineStr">
        <is>
          <t>Distanza orizzontale della puleggia di rinvio (dx)</t>
        </is>
      </c>
      <c r="D11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17" s="10" t="inlineStr">
        <is>
          <t>ricerca, capitolo 5.3</t>
        </is>
      </c>
      <c r="F117" s="10" t="inlineStr">
        <is>
          <t>pianta del vano</t>
        </is>
      </c>
      <c r="G117" s="10" t="inlineStr">
        <is>
          <t>derivazione</t>
        </is>
      </c>
      <c r="H117" s="10" t="inlineStr">
        <is>
          <t>—</t>
        </is>
      </c>
      <c r="I117" s="11" t="n"/>
      <c r="J117" s="11" t="n"/>
      <c r="K117" s="11" t="n"/>
      <c r="L117" s="11" t="n"/>
      <c r="M117" s="11" t="n"/>
      <c r="N117" s="11" t="n"/>
    </row>
    <row r="118" ht="160" customHeight="1">
      <c r="A118" s="10" t="n">
        <v>116</v>
      </c>
      <c r="B118" s="10" t="inlineStr">
        <is>
          <t>Impianto: valori calcolati dai dati inseriti una volta</t>
        </is>
      </c>
      <c r="C11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18"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18" s="10" t="inlineStr">
        <is>
          <t>ricerca, capitolo 5.3 (angolo di avvolgimento del tiro diretto)</t>
        </is>
      </c>
      <c r="F118" s="10" t="inlineStr">
        <is>
          <t>geometria delle funi</t>
        </is>
      </c>
      <c r="G118" s="10" t="inlineStr">
        <is>
          <t>derivazione</t>
        </is>
      </c>
      <c r="H118" s="10" t="inlineStr">
        <is>
          <t>—</t>
        </is>
      </c>
      <c r="I118" s="11" t="n"/>
      <c r="J118" s="11" t="n"/>
      <c r="K118" s="11" t="n"/>
      <c r="L118" s="11" t="n"/>
      <c r="M118" s="11" t="n"/>
      <c r="N118" s="11" t="n"/>
    </row>
    <row r="119" ht="56" customHeight="1">
      <c r="A119" s="10" t="n">
        <v>117</v>
      </c>
      <c r="B119" s="10" t="inlineStr">
        <is>
          <t>Impianto: valori calcolati dai dati inseriti una volta</t>
        </is>
      </c>
      <c r="C119" s="10" t="inlineStr">
        <is>
          <t>Macchina in basso: altezza fino alle pulegge in alto (Hv)</t>
        </is>
      </c>
      <c r="D119" s="10" t="inlineStr">
        <is>
          <t>dall'asse dei rinvii in testata all'asse della puleggia di trazione, secondo lo schema delle funi (impianto.basso.schema); la puleggia ha l'asse a 0,9·D sul pavimento del suo locale</t>
        </is>
      </c>
      <c r="E119" s="10" t="inlineStr">
        <is>
          <t>ricerca, capitolo 5; funi con la macchina in basso, capitolo 2.6</t>
        </is>
      </c>
      <c r="F119" s="10" t="inlineStr">
        <is>
          <t>dati verticali del vano</t>
        </is>
      </c>
      <c r="G119" s="10" t="inlineStr">
        <is>
          <t>derivazione</t>
        </is>
      </c>
      <c r="H119" s="10" t="inlineStr">
        <is>
          <t>—</t>
        </is>
      </c>
      <c r="I119" s="11" t="n"/>
      <c r="J119" s="11" t="n"/>
      <c r="K119" s="11" t="n"/>
      <c r="L119" s="11" t="n"/>
      <c r="M119" s="11" t="n"/>
      <c r="N119" s="11" t="n"/>
    </row>
    <row r="120" ht="238" customHeight="1">
      <c r="A120" s="10" t="n">
        <v>118</v>
      </c>
      <c r="B120" s="10" t="inlineStr">
        <is>
          <t>Impianto: valori calcolati dai dati inseriti una volta</t>
        </is>
      </c>
      <c r="C12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20"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20" s="10" t="inlineStr">
        <is>
          <t>ricerca, funi con la macchina in basso, capitoli 2–5; DPR 1497/1963 artt. 5–9, 33</t>
        </is>
      </c>
      <c r="F120" s="10" t="inlineStr">
        <is>
          <t>geometria ricostruita dal software</t>
        </is>
      </c>
      <c r="G120" s="10" t="inlineStr">
        <is>
          <t>scelta del software</t>
        </is>
      </c>
      <c r="H120" s="10" t="inlineStr">
        <is>
          <t>—</t>
        </is>
      </c>
      <c r="I120" s="11" t="n"/>
      <c r="J120" s="11" t="n"/>
      <c r="K120" s="11" t="n"/>
      <c r="L120" s="11" t="n"/>
      <c r="M120" s="11" t="n"/>
      <c r="N120" s="11" t="n"/>
    </row>
    <row r="121" ht="251" customHeight="1">
      <c r="A121" s="10" t="n">
        <v>119</v>
      </c>
      <c r="B121" s="10" t="inlineStr">
        <is>
          <t>Impianto: valori calcolati dai dati inseriti una volta</t>
        </is>
      </c>
      <c r="C12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2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21" s="10" t="inlineStr">
        <is>
          <t>ricerca, capitolo 12 (catalogo degli argani)</t>
        </is>
      </c>
      <c r="F121" s="10" t="inlineStr">
        <is>
          <t>SICOR: schede tecniche 2025 e modelli CAD scaricati da sicoritaly.com il 2 ottobre 2026 (solo le quote); Sassi, Montanari, GEM, FAER: estratti delle pagine dei costruttori e dei rivenditori, 1° ottobre 2026</t>
        </is>
      </c>
      <c r="G121" s="10" t="inlineStr">
        <is>
          <t>scelta del software</t>
        </is>
      </c>
      <c r="H121" s="10" t="inlineStr">
        <is>
          <t>—</t>
        </is>
      </c>
      <c r="I121" s="11" t="n"/>
      <c r="J121" s="11" t="n"/>
      <c r="K121" s="11" t="n"/>
      <c r="L121" s="11" t="n"/>
      <c r="M121" s="11" t="n"/>
      <c r="N121" s="11" t="n"/>
    </row>
    <row r="122" ht="134" customHeight="1">
      <c r="A122" s="10" t="n">
        <v>120</v>
      </c>
      <c r="B122" s="10" t="inlineStr">
        <is>
          <t>Impianto: valori calcolati dai dati inseriti una volta</t>
        </is>
      </c>
      <c r="C12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22" s="10" t="inlineStr">
        <is>
          <t>la prima opzione del dimensionamento (capitolo 8): puleggia, funi, rapporto, gola, motore e freno che passano ogni verifica; con le ipotesi del gruppo (poli, giri, rendimenti, inerzie) inserite</t>
        </is>
      </c>
      <c r="E122" s="10" t="inlineStr">
        <is>
          <t>ricerca, capitolo 8</t>
        </is>
      </c>
      <c r="F122" s="10" t="inlineStr">
        <is>
          <t>motore di calcolo</t>
        </is>
      </c>
      <c r="G122" s="10" t="inlineStr">
        <is>
          <t>scelta del software</t>
        </is>
      </c>
      <c r="H122" s="10" t="inlineStr">
        <is>
          <t>—</t>
        </is>
      </c>
      <c r="I122" s="11" t="n"/>
      <c r="J122" s="11" t="n"/>
      <c r="K122" s="11" t="n"/>
      <c r="L122" s="11" t="n"/>
      <c r="M122" s="11" t="n"/>
      <c r="N122" s="11" t="n"/>
    </row>
    <row r="123" ht="69" customHeight="1">
      <c r="A123" s="10" t="n">
        <v>121</v>
      </c>
      <c r="B123" s="10" t="inlineStr">
        <is>
          <t>Simulazione nel tempo (3D e grafici)</t>
        </is>
      </c>
      <c r="C123" s="10" t="inlineStr">
        <is>
          <t>Forze nella simulazione — agli estremi della corsa e alle accelerazioni della verifica i valori coincidono con quelli della verifica (test automatico)</t>
        </is>
      </c>
      <c r="D123" s="10" t="inlineStr">
        <is>
          <t>tiri delle funi, T1/T2, e^(f·α), coppie e decelerazione del freno con le stesse funzioni della verifica (modello delle funi del motore di calcolo), valutate istante per istante con la posizione e l'accelerazione della cabina</t>
        </is>
      </c>
      <c r="E123" s="10" t="inlineStr">
        <is>
          <t>UNI EN 81-50:2020, 5.11 (aderenza); ricerca, capitolo 4</t>
        </is>
      </c>
      <c r="F123" s="10" t="inlineStr">
        <is>
          <t>motore di calcolo (src/calc/model.ts)</t>
        </is>
      </c>
      <c r="G123" s="10" t="inlineStr">
        <is>
          <t>derivazione</t>
        </is>
      </c>
      <c r="H123" s="10" t="inlineStr">
        <is>
          <t>—</t>
        </is>
      </c>
      <c r="I123" s="11" t="n"/>
      <c r="J123" s="11" t="n"/>
      <c r="K123" s="11" t="n"/>
      <c r="L123" s="11" t="n"/>
      <c r="M123" s="11" t="n"/>
      <c r="N123" s="11" t="n"/>
    </row>
    <row r="124" ht="56" customHeight="1">
      <c r="A124" s="10" t="n">
        <v>122</v>
      </c>
      <c r="B124" s="10" t="inlineStr">
        <is>
          <t>Simulazione nel tempo (3D e grafici)</t>
        </is>
      </c>
      <c r="C124" s="10" t="inlineStr">
        <is>
          <t>Profilo del moto tra i piani — accelerazione e strappo sono dati di progetto dell'azionamento, non limiti normativi</t>
        </is>
      </c>
      <c r="D124" s="10" t="inlineStr">
        <is>
          <t>profilo a strappo limitato: velocità nominale, accelerazione di progetto e strappo 1 m/s³; se il tragitto è corto, la velocità più alta che ci sta</t>
        </is>
      </c>
      <c r="E124" s="10" t="inlineStr">
        <is>
          <t>ISO 18738-1:2012 (misura della qualità di marcia, nessun limite)</t>
        </is>
      </c>
      <c r="F124" s="10" t="inlineStr">
        <is>
          <t>scelta del software</t>
        </is>
      </c>
      <c r="G124" s="10" t="inlineStr">
        <is>
          <t>scelta del software</t>
        </is>
      </c>
      <c r="H124" s="10" t="inlineStr">
        <is>
          <t>—</t>
        </is>
      </c>
      <c r="I124" s="11" t="n"/>
      <c r="J124" s="11" t="n"/>
      <c r="K124" s="11" t="n"/>
      <c r="L124" s="11" t="n"/>
      <c r="M124" s="11" t="n"/>
      <c r="N124" s="11" t="n"/>
    </row>
    <row r="125" ht="69" customHeight="1">
      <c r="A125" s="10" t="n">
        <v>123</v>
      </c>
      <c r="B125" s="10" t="inlineStr">
        <is>
          <t>Simulazione nel tempo (3D e grafici)</t>
        </is>
      </c>
      <c r="C125" s="10" t="inlineStr">
        <is>
          <t>Limite di aderenza mostrato durante la marcia</t>
        </is>
      </c>
      <c r="D125" s="10" t="inlineStr">
        <is>
          <t>e^(f·α) con il coefficiente d'attrito della frenatura (μ ridotto con la velocità delle funi): il confronto è indicativo (oltre il limite: avviso, non verifica fallita), la verifica resta quella dei casi della norma</t>
        </is>
      </c>
      <c r="E125" s="10" t="inlineStr">
        <is>
          <t>UNI EN 81-50:2020, 5.11.1 e 5.11.2.3.2 (μ della frenatura)</t>
        </is>
      </c>
      <c r="F125" s="10" t="inlineStr">
        <is>
          <t>scelta del software</t>
        </is>
      </c>
      <c r="G125" s="10" t="inlineStr">
        <is>
          <t>scelta del software</t>
        </is>
      </c>
      <c r="H125" s="10" t="inlineStr">
        <is>
          <t>—</t>
        </is>
      </c>
      <c r="I125" s="11" t="n"/>
      <c r="J125" s="11" t="n"/>
      <c r="K125" s="11" t="n"/>
      <c r="L125" s="11" t="n"/>
      <c r="M125" s="11" t="n"/>
      <c r="N125" s="11" t="n"/>
    </row>
    <row r="126" ht="108" customHeight="1">
      <c r="A126" s="10" t="n">
        <v>124</v>
      </c>
      <c r="B126" s="10" t="inlineStr">
        <is>
          <t>Simulazione nel tempo (3D e grafici)</t>
        </is>
      </c>
      <c r="C126" s="10" t="inlineStr">
        <is>
          <t>Tempi delle porte — La norma non dà tempi: per le porte automatiche orizzontali dà l'energia cinetica (≤ 10 J, ≤ 4 J con il dispositivo di protezione escluso) e la forza contro la chiusura (≤ 150 N) (UNI EN 81-20:2020, 5.3.6.2.2.1), dati del fornitore delle porte.</t>
        </is>
      </c>
      <c r="D126" s="10" t="inlineStr">
        <is>
          <t>apertura 2,5 s, chiusura 3 s, sosta a porte aperte 3 s, partenza 0,5 s dopo la chiusura</t>
        </is>
      </c>
      <c r="E126" s="10" t="inlineStr">
        <is>
          <t>—</t>
        </is>
      </c>
      <c r="F126" s="10" t="inlineStr">
        <is>
          <t>scelta del software (solo animazione)</t>
        </is>
      </c>
      <c r="G126" s="10" t="inlineStr">
        <is>
          <t>scelta del software</t>
        </is>
      </c>
      <c r="H126" s="10" t="inlineStr">
        <is>
          <t>—</t>
        </is>
      </c>
      <c r="I126" s="11" t="n"/>
      <c r="J126" s="11" t="n"/>
      <c r="K126" s="11" t="n"/>
      <c r="L126" s="11" t="n"/>
      <c r="M126" s="11" t="n"/>
      <c r="N126" s="11" t="n"/>
    </row>
    <row r="127" ht="212" customHeight="1">
      <c r="A127" s="10" t="n">
        <v>125</v>
      </c>
      <c r="B127" s="10" t="inlineStr">
        <is>
          <t>Simulazione nel tempo (3D e grafici)</t>
        </is>
      </c>
      <c r="C12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2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27" s="10" t="inlineStr">
        <is>
          <t>UNI EN 81-20:2020, 5.8.2.1.1.1–5.8.2.1.1.2 (urto al 115 %; corsa piena con un carico statico tra 2,5 e 4 volte: il software prende 4), 5.8.2.1.2.2 (90 %), 5.8.2.2.1 e 5.8.2.2.3 a)</t>
        </is>
      </c>
      <c r="F127" s="10" t="inlineStr">
        <is>
          <t>UNI EN 81-20:2020, testo della norma, letto il 2026-10-06, pp. 98–99</t>
        </is>
      </c>
      <c r="G127" s="10" t="inlineStr">
        <is>
          <t>scelta del software</t>
        </is>
      </c>
      <c r="H127" s="10" t="inlineStr">
        <is>
          <t>—</t>
        </is>
      </c>
      <c r="I127" s="11" t="n"/>
      <c r="J127" s="11" t="n"/>
      <c r="K127" s="11" t="n"/>
      <c r="L127" s="11" t="n"/>
      <c r="M127" s="11" t="n"/>
      <c r="N127" s="11" t="n"/>
    </row>
    <row r="128" ht="82" customHeight="1">
      <c r="A128" s="10" t="n">
        <v>126</v>
      </c>
      <c r="B128" s="10" t="inlineStr">
        <is>
          <t>Simulazione nel tempo (3D e grafici)</t>
        </is>
      </c>
      <c r="C128" s="10" t="inlineStr">
        <is>
          <t>Cabina bloccata: rotazione in salita — La simulazione mostra il contrappeso sugli ammortizzatori con la cabina in alto; la norma chiede anche la cabina vuota in basso, che il calcolo verifica (tr_stall).</t>
        </is>
      </c>
      <c r="D128" s="10" t="inlineStr">
        <is>
          <t>la macchina gira in salita a 0,3 m/s finché il contrappeso poggia sui suoi ammortizzatori; poi le funi devono slittare (T1/T2 ≥ e^(f·α), μ della cabina bloccata)</t>
        </is>
      </c>
      <c r="E128" s="10" t="inlineStr">
        <is>
          <t>UNI EN 81-50:2020, 5.11.2.2.3</t>
        </is>
      </c>
      <c r="F128" s="10" t="inlineStr">
        <is>
          <t>motore di calcolo; velocità scelta dal software</t>
        </is>
      </c>
      <c r="G128" s="10" t="inlineStr">
        <is>
          <t>scelta del software</t>
        </is>
      </c>
      <c r="H128" s="10" t="inlineStr">
        <is>
          <t>—</t>
        </is>
      </c>
      <c r="I128" s="11" t="n"/>
      <c r="J128" s="11" t="n"/>
      <c r="K128" s="11" t="n"/>
      <c r="L128" s="11" t="n"/>
      <c r="M128" s="11" t="n"/>
      <c r="N128" s="11" t="n"/>
    </row>
    <row r="129" ht="43" customHeight="1">
      <c r="A129" s="10" t="n">
        <v>127</v>
      </c>
      <c r="B129" s="10" t="inlineStr">
        <is>
          <t>Simulazione nel tempo (3D e grafici)</t>
        </is>
      </c>
      <c r="C129" s="10" t="inlineStr">
        <is>
          <t>Passo di campionamento</t>
        </is>
      </c>
      <c r="D129" s="10" t="inlineStr">
        <is>
          <t>0,02 s; tra due campioni i valori sono interpolati linearmente</t>
        </is>
      </c>
      <c r="E129" s="10" t="inlineStr">
        <is>
          <t>—</t>
        </is>
      </c>
      <c r="F129" s="10" t="inlineStr">
        <is>
          <t>scelta del software</t>
        </is>
      </c>
      <c r="G129" s="10" t="inlineStr">
        <is>
          <t>scelta del software</t>
        </is>
      </c>
      <c r="H129" s="10" t="inlineStr">
        <is>
          <t>—</t>
        </is>
      </c>
      <c r="I129" s="11" t="n"/>
      <c r="J129" s="11" t="n"/>
      <c r="K129" s="11" t="n"/>
      <c r="L129" s="11" t="n"/>
      <c r="M129" s="11" t="n"/>
      <c r="N129" s="11" t="n"/>
    </row>
    <row r="130" ht="56" customHeight="1">
      <c r="A130" s="10" t="n">
        <v>128</v>
      </c>
      <c r="B130" s="10" t="inlineStr">
        <is>
          <t>Collaudo: adempimenti del DPR 162/1999 (impianto nuovo)</t>
        </is>
      </c>
      <c r="C130" s="10" t="inlineStr">
        <is>
          <t>DPR 162/1999, art. 4-bis</t>
        </is>
      </c>
      <c r="D130" s="10" t="inlineStr">
        <is>
          <t>progetto, fabbricazione, installazione e prove conformi all'All. I; documentazione tecnica e dichiarazione di conformità conservate per 10 anni</t>
        </is>
      </c>
      <c r="E130" s="10" t="inlineStr">
        <is>
          <t>DPR 162/1999, art. 4-bis</t>
        </is>
      </c>
      <c r="F130" s="10" t="inlineStr">
        <is>
          <t>ricerca, cap. 16 (testi ufficiali e schede UNI, 2026-10-02)</t>
        </is>
      </c>
      <c r="G130" s="10" t="inlineStr">
        <is>
          <t>confermato</t>
        </is>
      </c>
      <c r="H130" s="10" t="inlineStr">
        <is>
          <t>—</t>
        </is>
      </c>
      <c r="I130" s="11" t="n"/>
      <c r="J130" s="11" t="n"/>
      <c r="K130" s="11" t="n"/>
      <c r="L130" s="11" t="n"/>
      <c r="M130" s="11" t="n"/>
      <c r="N130" s="11" t="n"/>
    </row>
    <row r="131" ht="56" customHeight="1">
      <c r="A131" s="10" t="n">
        <v>129</v>
      </c>
      <c r="B131" s="10" t="inlineStr">
        <is>
          <t>Collaudo: adempimenti del DPR 162/1999 (impianto nuovo)</t>
        </is>
      </c>
      <c r="C131" s="10" t="inlineStr">
        <is>
          <t>DPR 162/1999 e s.m.i., artt. 6-bis e 7 c.3</t>
        </is>
      </c>
      <c r="D131" s="10" t="inlineStr">
        <is>
          <t>procedura con un organismo notificato (ascensore modello con esame UE del tipo, All. IV B, più All. V, X o XII; oppure All. VIII o XI); marcatura CE in cabina con il numero dell'organismo</t>
        </is>
      </c>
      <c r="E131" s="10" t="inlineStr">
        <is>
          <t>DPR 162/1999 e s.m.i., artt. 6-bis e 7 c.3</t>
        </is>
      </c>
      <c r="F131" s="10" t="inlineStr">
        <is>
          <t>ricerca, cap. 16 (testi ufficiali e schede UNI, 2026-10-02)</t>
        </is>
      </c>
      <c r="G131" s="10" t="inlineStr">
        <is>
          <t>confermato</t>
        </is>
      </c>
      <c r="H131" s="10" t="inlineStr">
        <is>
          <t>—</t>
        </is>
      </c>
      <c r="I131" s="11" t="n"/>
      <c r="J131" s="11" t="n"/>
      <c r="K131" s="11" t="n"/>
      <c r="L131" s="11" t="n"/>
      <c r="M131" s="11" t="n"/>
      <c r="N131" s="11" t="n"/>
    </row>
    <row r="132" ht="56" customHeight="1">
      <c r="A132" s="10" t="n">
        <v>130</v>
      </c>
      <c r="B132" s="10" t="inlineStr">
        <is>
          <t>Collaudo: adempimenti del DPR 162/1999 (impianto nuovo)</t>
        </is>
      </c>
      <c r="C132" s="10" t="inlineStr">
        <is>
          <t>DPR 162/1999 e s.m.i., art. 12 c.1–3</t>
        </is>
      </c>
      <c r="D132" s="10" t="inlineStr">
        <is>
          <t>comunicazione al Comune entro 60 giorni dalla dichiarazione di conformità (oltre: con il verbale di una verifica straordinaria di attivazione); matricola entro 30 giorni</t>
        </is>
      </c>
      <c r="E132" s="10" t="inlineStr">
        <is>
          <t>DPR 162/1999 e s.m.i., art. 12 c.1–3</t>
        </is>
      </c>
      <c r="F132" s="10" t="inlineStr">
        <is>
          <t>ricerca, cap. 16 (testi ufficiali e schede UNI, 2026-10-02)</t>
        </is>
      </c>
      <c r="G132" s="10" t="inlineStr">
        <is>
          <t>confermato</t>
        </is>
      </c>
      <c r="H132" s="10" t="inlineStr">
        <is>
          <t>—</t>
        </is>
      </c>
      <c r="I132" s="11" t="n"/>
      <c r="J132" s="11" t="n"/>
      <c r="K132" s="11" t="n"/>
      <c r="L132" s="11" t="n"/>
      <c r="M132" s="11" t="n"/>
      <c r="N132" s="11" t="n"/>
    </row>
    <row r="133" ht="56" customHeight="1">
      <c r="A133" s="10" t="n">
        <v>131</v>
      </c>
      <c r="B133" s="10" t="inlineStr">
        <is>
          <t>Collaudo: adempimenti del DPR 162/1999 (impianto nuovo)</t>
        </is>
      </c>
      <c r="C133" s="10" t="inlineStr">
        <is>
          <t>DPR 162/1999, artt. 13, 15 c.4 e 16 c.3</t>
        </is>
      </c>
      <c r="D133" s="10" t="inlineStr">
        <is>
          <t>verifiche periodiche ogni 2 anni; controllo dei dispositivi di sicurezza, delle funi e dell'isolamento almeno ogni 6 mesi; targa in cabina</t>
        </is>
      </c>
      <c r="E133" s="10" t="inlineStr">
        <is>
          <t>DPR 162/1999, artt. 13, 15 c.4 e 16 c.3</t>
        </is>
      </c>
      <c r="F133" s="10" t="inlineStr">
        <is>
          <t>ricerca, cap. 16 (testi ufficiali e schede UNI, 2026-10-02)</t>
        </is>
      </c>
      <c r="G133" s="10" t="inlineStr">
        <is>
          <t>confermato</t>
        </is>
      </c>
      <c r="H133" s="10" t="inlineStr">
        <is>
          <t>—</t>
        </is>
      </c>
      <c r="I133" s="11" t="n"/>
      <c r="J133" s="11" t="n"/>
      <c r="K133" s="11" t="n"/>
      <c r="L133" s="11" t="n"/>
      <c r="M133" s="11" t="n"/>
      <c r="N133" s="11" t="n"/>
    </row>
    <row r="134" ht="43" customHeight="1">
      <c r="A134" s="10" t="n">
        <v>132</v>
      </c>
      <c r="B134" s="10" t="inlineStr">
        <is>
          <t>Collaudo: adempimenti del DPR 162/1999 (modifica)</t>
        </is>
      </c>
      <c r="C134" s="10" t="inlineStr">
        <is>
          <t>DPR 162/1999, art. 2 c.1 lett. cc)</t>
        </is>
      </c>
      <c r="D134" s="10" t="inlineStr">
        <is>
          <t>la modifica è costruttiva: la sostituzione del macchinario ne è il caso n. 5)</t>
        </is>
      </c>
      <c r="E134" s="10" t="inlineStr">
        <is>
          <t>DPR 162/1999, art. 2 c.1 lett. cc)</t>
        </is>
      </c>
      <c r="F134" s="10" t="inlineStr">
        <is>
          <t>ricerca, cap. 16 (testi ufficiali e schede UNI, 2026-10-02)</t>
        </is>
      </c>
      <c r="G134" s="10" t="inlineStr">
        <is>
          <t>confermato</t>
        </is>
      </c>
      <c r="H134" s="10" t="inlineStr">
        <is>
          <t>—</t>
        </is>
      </c>
      <c r="I134" s="11" t="n"/>
      <c r="J134" s="11" t="n"/>
      <c r="K134" s="11" t="n"/>
      <c r="L134" s="11" t="n"/>
      <c r="M134" s="11" t="n"/>
      <c r="N134" s="11" t="n"/>
    </row>
    <row r="135" ht="43" customHeight="1">
      <c r="A135" s="10" t="n">
        <v>133</v>
      </c>
      <c r="B135" s="10" t="inlineStr">
        <is>
          <t>Collaudo: adempimenti del DPR 162/1999 (modifica)</t>
        </is>
      </c>
      <c r="C135" s="10" t="inlineStr">
        <is>
          <t>DPR 162/1999, art. 12 c.4</t>
        </is>
      </c>
      <c r="D135" s="10" t="inlineStr">
        <is>
          <t>prima della comunicazione, adeguamento della parte modificata o sostituita e delle altre parti interessate</t>
        </is>
      </c>
      <c r="E135" s="10" t="inlineStr">
        <is>
          <t>DPR 162/1999, art. 12 c.4</t>
        </is>
      </c>
      <c r="F135" s="10" t="inlineStr">
        <is>
          <t>ricerca, cap. 16 (testi ufficiali e schede UNI, 2026-10-02)</t>
        </is>
      </c>
      <c r="G135" s="10" t="inlineStr">
        <is>
          <t>confermato</t>
        </is>
      </c>
      <c r="H135" s="10" t="inlineStr">
        <is>
          <t>—</t>
        </is>
      </c>
      <c r="I135" s="11" t="n"/>
      <c r="J135" s="11" t="n"/>
      <c r="K135" s="11" t="n"/>
      <c r="L135" s="11" t="n"/>
      <c r="M135" s="11" t="n"/>
      <c r="N135" s="11" t="n"/>
    </row>
    <row r="136" ht="43" customHeight="1">
      <c r="A136" s="10" t="n">
        <v>134</v>
      </c>
      <c r="B136" s="10" t="inlineStr">
        <is>
          <t>Collaudo: adempimenti del DPR 162/1999 (modifica)</t>
        </is>
      </c>
      <c r="C136" s="10" t="inlineStr">
        <is>
          <t>DPR 162/1999, art. 12 c.4–5</t>
        </is>
      </c>
      <c r="D136" s="10" t="inlineStr">
        <is>
          <t>comunicazione al Comune e al soggetto delle verifiche periodiche; l'impianto non resta in esercizio senza le comunicazioni aggiornate</t>
        </is>
      </c>
      <c r="E136" s="10" t="inlineStr">
        <is>
          <t>DPR 162/1999, art. 12 c.4–5</t>
        </is>
      </c>
      <c r="F136" s="10" t="inlineStr">
        <is>
          <t>ricerca, cap. 16 (testi ufficiali e schede UNI, 2026-10-02)</t>
        </is>
      </c>
      <c r="G136" s="10" t="inlineStr">
        <is>
          <t>confermato</t>
        </is>
      </c>
      <c r="H136" s="10" t="inlineStr">
        <is>
          <t>—</t>
        </is>
      </c>
      <c r="I136" s="11" t="n"/>
      <c r="J136" s="11" t="n"/>
      <c r="K136" s="11" t="n"/>
      <c r="L136" s="11" t="n"/>
      <c r="M136" s="11" t="n"/>
      <c r="N136" s="11" t="n"/>
    </row>
    <row r="137" ht="69" customHeight="1">
      <c r="A137" s="10" t="n">
        <v>135</v>
      </c>
      <c r="B137" s="10" t="inlineStr">
        <is>
          <t>Collaudo: adempimenti del DPR 162/1999 (modifica)</t>
        </is>
      </c>
      <c r="C137" s="10" t="inlineStr">
        <is>
          <t>DPR 162/1999 e s.m.i., art. 14 c.3; schema ICIM SCI 162 rev. 02</t>
        </is>
      </c>
      <c r="D137" s="10" t="inlineStr">
        <is>
          <t>verifica straordinaria da uno dei soggetti dell'art. 13 c.1 (la legge); secondo lo schema ICIM è di norma limitata ai controlli sulle modifiche, con la documentazione delle modifiche e dei componenti sostituiti</t>
        </is>
      </c>
      <c r="E137" s="10" t="inlineStr">
        <is>
          <t>DPR 162/1999 e s.m.i., art. 14 c.3; schema ICIM SCI 162 rev. 02</t>
        </is>
      </c>
      <c r="F137" s="10" t="inlineStr">
        <is>
          <t>ricerca, cap. 16 (testi ufficiali e schede UNI, 2026-10-02)</t>
        </is>
      </c>
      <c r="G137" s="10" t="inlineStr">
        <is>
          <t>confermato</t>
        </is>
      </c>
      <c r="H137" s="10" t="inlineStr">
        <is>
          <t>—</t>
        </is>
      </c>
      <c r="I137" s="11" t="n"/>
      <c r="J137" s="11" t="n"/>
      <c r="K137" s="11" t="n"/>
      <c r="L137" s="11" t="n"/>
      <c r="M137" s="11" t="n"/>
      <c r="N137" s="11" t="n"/>
    </row>
    <row r="138" ht="82" customHeight="1">
      <c r="A138" s="10" t="n">
        <v>136</v>
      </c>
      <c r="B138" s="10" t="inlineStr">
        <is>
          <t>Collaudo: adempimenti del DPR 162/1999 (modifica)</t>
        </is>
      </c>
      <c r="C138" s="10" t="inlineStr">
        <is>
          <t>UNI 10411-1:2024 e UNI 10411-11:2024, 25</t>
        </is>
      </c>
      <c r="D13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38" s="10" t="inlineStr">
        <is>
          <t>UNI 10411-1:2024 e UNI 10411-11:2024, 25</t>
        </is>
      </c>
      <c r="F138" s="10" t="inlineStr">
        <is>
          <t>testo della norma, letto il 2026-10-06 (punti e valori con parole nostre)</t>
        </is>
      </c>
      <c r="G138" s="10" t="inlineStr">
        <is>
          <t>confermato</t>
        </is>
      </c>
      <c r="H138" s="10" t="inlineStr">
        <is>
          <t>—</t>
        </is>
      </c>
      <c r="I138" s="11" t="n"/>
      <c r="J138" s="11" t="n"/>
      <c r="K138" s="11" t="n"/>
      <c r="L138" s="11" t="n"/>
      <c r="M138" s="11" t="n"/>
      <c r="N138" s="11" t="n"/>
    </row>
    <row r="139" ht="56" customHeight="1">
      <c r="A139" s="10" t="n">
        <v>137</v>
      </c>
      <c r="B139" s="10" t="inlineStr">
        <is>
          <t>Collaudo: UNI EN 81-20:2020 e UNI EN 81-50:2020</t>
        </is>
      </c>
      <c r="C139" s="10" t="inlineStr">
        <is>
          <t>DPR 162/1999, All. V 3.3 (All. VIII 4)</t>
        </is>
      </c>
      <c r="D139" s="10" t="inlineStr">
        <is>
          <t>prove dell'organismo notificato: funzionamento a vuoto e a pieno carico, in mancanza di energia, prova statica a 1,25 volte la portata e controllo che non restino deformazioni</t>
        </is>
      </c>
      <c r="E139" s="10" t="inlineStr">
        <is>
          <t>DPR 162/1999, All. V 3.3 (All. VIII 4)</t>
        </is>
      </c>
      <c r="F139" s="10" t="inlineStr">
        <is>
          <t>ricerca, cap. 16 (testi ufficiali e schede UNI, 2026-10-02)</t>
        </is>
      </c>
      <c r="G139" s="10" t="inlineStr">
        <is>
          <t>confermato</t>
        </is>
      </c>
      <c r="H139" s="10" t="inlineStr">
        <is>
          <t>—</t>
        </is>
      </c>
      <c r="I139" s="11" t="n"/>
      <c r="J139" s="11" t="n"/>
      <c r="K139" s="11" t="n"/>
      <c r="L139" s="11" t="n"/>
      <c r="M139" s="11" t="n"/>
      <c r="N139" s="11" t="n"/>
    </row>
    <row r="140" ht="56" customHeight="1">
      <c r="A140" s="10" t="n">
        <v>138</v>
      </c>
      <c r="B140" s="10" t="inlineStr">
        <is>
          <t>Collaudo: UNI EN 81-20:2020 e UNI EN 81-50:2020</t>
        </is>
      </c>
      <c r="C140" s="10" t="inlineStr">
        <is>
          <t>DPR 162/1999, All. VIII 3 e), g), h)</t>
        </is>
      </c>
      <c r="D140" s="10" t="inlineStr">
        <is>
          <t>documentazione tecnica con i risultati dei calcoli di progetto, le relazioni sulle prove e l'elenco delle norme armonizzate applicate, anche in parte</t>
        </is>
      </c>
      <c r="E140" s="10" t="inlineStr">
        <is>
          <t>DPR 162/1999, All. VIII 3 e), g), h)</t>
        </is>
      </c>
      <c r="F140" s="10" t="inlineStr">
        <is>
          <t>ricerca, cap. 16 (testi ufficiali e schede UNI, 2026-10-02)</t>
        </is>
      </c>
      <c r="G140" s="10" t="inlineStr">
        <is>
          <t>confermato</t>
        </is>
      </c>
      <c r="H140" s="10" t="inlineStr">
        <is>
          <t>—</t>
        </is>
      </c>
      <c r="I140" s="11" t="n"/>
      <c r="J140" s="11" t="n"/>
      <c r="K140" s="11" t="n"/>
      <c r="L140" s="11" t="n"/>
      <c r="M140" s="11" t="n"/>
      <c r="N140" s="11" t="n"/>
    </row>
    <row r="141" ht="56" customHeight="1">
      <c r="A141" s="10" t="n">
        <v>139</v>
      </c>
      <c r="B141" s="10" t="inlineStr">
        <is>
          <t>Collaudo: UNI EN 81-20:2020 e UNI EN 81-50:2020</t>
        </is>
      </c>
      <c r="C141" s="10" t="inlineStr">
        <is>
          <t>Regolamento (UE) 2023/1230, art. 51 par. 2</t>
        </is>
      </c>
      <c r="D141" s="10" t="inlineStr">
        <is>
          <t>per gli ascensori dichiarati conformi dal 20/01/2027: requisiti dell'All. III del Regolamento macchine (tra cui 1.1.9 e 1.2.1), con una valutazione aggiuntiva per i requisiti nuovi o cambiati</t>
        </is>
      </c>
      <c r="E141" s="10" t="inlineStr">
        <is>
          <t>Regolamento (UE) 2023/1230, art. 51 par. 2</t>
        </is>
      </c>
      <c r="F141" s="10" t="inlineStr">
        <is>
          <t>ricerca, cap. 16 (testi ufficiali e schede UNI, 2026-10-02)</t>
        </is>
      </c>
      <c r="G141" s="10" t="inlineStr">
        <is>
          <t>confermato</t>
        </is>
      </c>
      <c r="H141" s="10" t="inlineStr">
        <is>
          <t>—</t>
        </is>
      </c>
      <c r="I141" s="11" t="n"/>
      <c r="J141" s="11" t="n"/>
      <c r="K141" s="11" t="n"/>
      <c r="L141" s="11" t="n"/>
      <c r="M141" s="11" t="n"/>
      <c r="N141" s="11" t="n"/>
    </row>
    <row r="142" ht="82" customHeight="1">
      <c r="A142" s="10" t="n">
        <v>140</v>
      </c>
      <c r="B142" s="10" t="inlineStr">
        <is>
          <t>Collaudo: UNI EN 81-20:2020 e UNI EN 81-50:2020</t>
        </is>
      </c>
      <c r="C142" s="10" t="inlineStr">
        <is>
          <t>UNI EN 81-50:2020, 5.12.1 e 5.12.2.1</t>
        </is>
      </c>
      <c r="D14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42" s="10" t="inlineStr">
        <is>
          <t>UNI EN 81-50:2020, 5.12.1 e 5.12.2.1</t>
        </is>
      </c>
      <c r="F142" s="10" t="inlineStr">
        <is>
          <t>testo della norma, letto il 2026-10-06 (punti e valori con parole nostre)</t>
        </is>
      </c>
      <c r="G142" s="10" t="inlineStr">
        <is>
          <t>confermato</t>
        </is>
      </c>
      <c r="H142" s="10" t="inlineStr">
        <is>
          <t>—</t>
        </is>
      </c>
      <c r="I142" s="11" t="n"/>
      <c r="J142" s="11" t="n"/>
      <c r="K142" s="11" t="n"/>
      <c r="L142" s="11" t="n"/>
      <c r="M142" s="11" t="n"/>
      <c r="N142" s="11" t="n"/>
    </row>
    <row r="143" ht="43" customHeight="1">
      <c r="A143" s="10" t="n">
        <v>141</v>
      </c>
      <c r="B143" s="10" t="inlineStr">
        <is>
          <t>Collaudo: UNI EN 81-20:2020 e UNI EN 81-50:2020</t>
        </is>
      </c>
      <c r="C143" s="10" t="inlineStr">
        <is>
          <t>UNI EN 81-20:2020, 5.6.2.2.1.2</t>
        </is>
      </c>
      <c r="D143" s="10" t="inlineStr">
        <is>
          <t>tempo di risposta del limitatore di velocità: i suoi punti d'intervento distano al massimo 250 mm di corsa della fune del limitatore</t>
        </is>
      </c>
      <c r="E143" s="10" t="inlineStr">
        <is>
          <t>UNI EN 81-20:2020, 5.6.2.2.1.2</t>
        </is>
      </c>
      <c r="F143" s="10" t="inlineStr">
        <is>
          <t>testo della norma, letto il 2026-10-06 (punti e valori con parole nostre)</t>
        </is>
      </c>
      <c r="G143" s="10" t="inlineStr">
        <is>
          <t>confermato</t>
        </is>
      </c>
      <c r="H143" s="10" t="inlineStr">
        <is>
          <t>—</t>
        </is>
      </c>
      <c r="I143" s="11" t="n"/>
      <c r="J143" s="11" t="n"/>
      <c r="K143" s="11" t="n"/>
      <c r="L143" s="11" t="n"/>
      <c r="M143" s="11" t="n"/>
      <c r="N143" s="11" t="n"/>
    </row>
    <row r="144" ht="56" customHeight="1">
      <c r="A144" s="10" t="n">
        <v>142</v>
      </c>
      <c r="B144" s="10" t="inlineStr">
        <is>
          <t>Collaudo: UNI EN 81-20:2020 e UNI EN 81-50:2020</t>
        </is>
      </c>
      <c r="C144" s="10" t="inlineStr">
        <is>
          <t>UNI EN 81-20:2020, 5.8.2.1.2.1 e 5.8.2.2.3</t>
        </is>
      </c>
      <c r="D144" s="10" t="inlineStr">
        <is>
          <t>ammortizzatori (dato del fornitore): decelerazione non oltre 1 gn, sopra 2,5 gn al massimo per 0,04 s; per quelli ad accumulo non lineari anche picco non oltre 6 gn e rimbalzo non oltre 1 m/s</t>
        </is>
      </c>
      <c r="E144" s="10" t="inlineStr">
        <is>
          <t>UNI EN 81-20:2020, 5.8.2.1.2.1 e 5.8.2.2.3</t>
        </is>
      </c>
      <c r="F144" s="10" t="inlineStr">
        <is>
          <t>testo della norma, letto il 2026-10-06 (punti e valori con parole nostre)</t>
        </is>
      </c>
      <c r="G144" s="10" t="inlineStr">
        <is>
          <t>confermato</t>
        </is>
      </c>
      <c r="H144" s="10" t="inlineStr">
        <is>
          <t>—</t>
        </is>
      </c>
      <c r="I144" s="11" t="n"/>
      <c r="J144" s="11" t="n"/>
      <c r="K144" s="11" t="n"/>
      <c r="L144" s="11" t="n"/>
      <c r="M144" s="11" t="n"/>
      <c r="N144" s="11" t="n"/>
    </row>
    <row r="145" ht="69" customHeight="1">
      <c r="A145" s="10" t="n">
        <v>143</v>
      </c>
      <c r="B145" s="10" t="inlineStr">
        <is>
          <t>Collaudo: UNI EN 81-20:2020 e UNI EN 81-50:2020</t>
        </is>
      </c>
      <c r="C145" s="10" t="inlineStr">
        <is>
          <t>UNI EN 81-20:2020, 5.2.5.7.1</t>
        </is>
      </c>
      <c r="D145" s="10" t="inlineStr">
        <is>
          <t>cartello sopra o accanto allo schermo del contrappeso (5.2.5.5.1) con il gioco massimo ammesso tra contrappeso e ammortizzatore con la cabina al piano più alto, per conservare gli spazi in testata</t>
        </is>
      </c>
      <c r="E145" s="10" t="inlineStr">
        <is>
          <t>UNI EN 81-20:2020, 5.2.5.7.1</t>
        </is>
      </c>
      <c r="F145" s="10" t="inlineStr">
        <is>
          <t>testo della norma, letto il 2026-10-06 (punti e valori con parole nostre)</t>
        </is>
      </c>
      <c r="G145" s="10" t="inlineStr">
        <is>
          <t>confermato</t>
        </is>
      </c>
      <c r="H145" s="10" t="inlineStr">
        <is>
          <t>—</t>
        </is>
      </c>
      <c r="I145" s="11" t="n"/>
      <c r="J145" s="11" t="n"/>
      <c r="K145" s="11" t="n"/>
      <c r="L145" s="11" t="n"/>
      <c r="M145" s="11" t="n"/>
      <c r="N145" s="11" t="n"/>
    </row>
    <row r="146" ht="43" customHeight="1">
      <c r="A146" s="10" t="n">
        <v>144</v>
      </c>
      <c r="B146" s="10" t="inlineStr">
        <is>
          <t>Collaudo: UNI EN 81-20:2020 e UNI EN 81-50:2020</t>
        </is>
      </c>
      <c r="C146" s="10" t="inlineStr">
        <is>
          <t>UNI EN 81-20:2020, 5.2.2.4</t>
        </is>
      </c>
      <c r="D146" s="10" t="inlineStr">
        <is>
          <t>fossa più profonda di 2,50 m: porta di accesso; fino a 2,50 m porta di accesso oppure scala dentro il vano (appendice F)</t>
        </is>
      </c>
      <c r="E146" s="10" t="inlineStr">
        <is>
          <t>UNI EN 81-20:2020, 5.2.2.4</t>
        </is>
      </c>
      <c r="F146" s="10" t="inlineStr">
        <is>
          <t>testo della norma, letto il 2026-10-06 (punti e valori con parole nostre)</t>
        </is>
      </c>
      <c r="G146" s="10" t="inlineStr">
        <is>
          <t>confermato</t>
        </is>
      </c>
      <c r="H146" s="10" t="inlineStr">
        <is>
          <t>—</t>
        </is>
      </c>
      <c r="I146" s="11" t="n"/>
      <c r="J146" s="11" t="n"/>
      <c r="K146" s="11" t="n"/>
      <c r="L146" s="11" t="n"/>
      <c r="M146" s="11" t="n"/>
      <c r="N146" s="11" t="n"/>
    </row>
    <row r="147" ht="43" customHeight="1">
      <c r="A147" s="10" t="n">
        <v>145</v>
      </c>
      <c r="B147" s="10" t="inlineStr">
        <is>
          <t>Collaudo: UNI EN 81-20:2020 e UNI EN 81-50:2020</t>
        </is>
      </c>
      <c r="C147" s="10" t="inlineStr">
        <is>
          <t>UNI EN 81-20:2020, 5.2.1.5.1 b)</t>
        </is>
      </c>
      <c r="D147" s="10" t="inlineStr">
        <is>
          <t>in fossa un commutatore di ispezione fisso, manovrabile da non oltre 0,30 m da uno spazio di rifugio</t>
        </is>
      </c>
      <c r="E147" s="10" t="inlineStr">
        <is>
          <t>UNI EN 81-20:2020, 5.2.1.5.1 b)</t>
        </is>
      </c>
      <c r="F147" s="10" t="inlineStr">
        <is>
          <t>testo della norma, letto il 2026-10-06 (punti e valori con parole nostre)</t>
        </is>
      </c>
      <c r="G147" s="10" t="inlineStr">
        <is>
          <t>confermato</t>
        </is>
      </c>
      <c r="H147" s="10" t="inlineStr">
        <is>
          <t>—</t>
        </is>
      </c>
      <c r="I147" s="11" t="n"/>
      <c r="J147" s="11" t="n"/>
      <c r="K147" s="11" t="n"/>
      <c r="L147" s="11" t="n"/>
      <c r="M147" s="11" t="n"/>
      <c r="N147" s="11" t="n"/>
    </row>
    <row r="148" ht="43" customHeight="1">
      <c r="A148" s="10" t="n">
        <v>146</v>
      </c>
      <c r="B148" s="10" t="inlineStr">
        <is>
          <t>Collaudo: UNI EN 81-20:2020 e UNI EN 81-50:2020</t>
        </is>
      </c>
      <c r="C148" s="10" t="inlineStr">
        <is>
          <t>UNI EN 81-20:2020, 5.2.5.7.1 e 5.2.5.8.1</t>
        </is>
      </c>
      <c r="D148" s="10" t="inlineStr">
        <is>
          <t>uno spazio di rifugio per ogni persona, tutti dello stesso tipo e senza sovrapposizioni; cartello con il numero di persone ammesse e la postura</t>
        </is>
      </c>
      <c r="E148" s="10" t="inlineStr">
        <is>
          <t>UNI EN 81-20:2020, 5.2.5.7.1 e 5.2.5.8.1</t>
        </is>
      </c>
      <c r="F148" s="10" t="inlineStr">
        <is>
          <t>testo della norma, letto il 2026-10-06 (punti e valori con parole nostre)</t>
        </is>
      </c>
      <c r="G148" s="10" t="inlineStr">
        <is>
          <t>confermato</t>
        </is>
      </c>
      <c r="H148" s="10" t="inlineStr">
        <is>
          <t>—</t>
        </is>
      </c>
      <c r="I148" s="11" t="n"/>
      <c r="J148" s="11" t="n"/>
      <c r="K148" s="11" t="n"/>
      <c r="L148" s="11" t="n"/>
      <c r="M148" s="11" t="n"/>
      <c r="N148" s="11" t="n"/>
    </row>
    <row r="149" ht="69" customHeight="1">
      <c r="A149" s="10" t="n">
        <v>147</v>
      </c>
      <c r="B149" s="10" t="inlineStr">
        <is>
          <t>Collaudo: UNI EN 81-20:2020 e UNI EN 81-50:2020</t>
        </is>
      </c>
      <c r="C149" s="10" t="inlineStr">
        <is>
          <t>UNI EN 81-20:2020, 5.2.1.4.1</t>
        </is>
      </c>
      <c r="D149" s="10" t="inlineStr">
        <is>
          <t>illuminazione del vano: almeno 50 lux a 1 m sopra il tetto della cabina nella sua proiezione e a 1 m sopra il fondo della fossa dove si sta, si lavora o si passa tra le zone di lavoro; almeno 20 lux altrove</t>
        </is>
      </c>
      <c r="E149" s="10" t="inlineStr">
        <is>
          <t>UNI EN 81-20:2020, 5.2.1.4.1</t>
        </is>
      </c>
      <c r="F149" s="10" t="inlineStr">
        <is>
          <t>testo della norma, letto il 2026-10-06 (punti e valori con parole nostre)</t>
        </is>
      </c>
      <c r="G149" s="10" t="inlineStr">
        <is>
          <t>confermato</t>
        </is>
      </c>
      <c r="H149" s="10" t="inlineStr">
        <is>
          <t>—</t>
        </is>
      </c>
      <c r="I149" s="11" t="n"/>
      <c r="J149" s="11" t="n"/>
      <c r="K149" s="11" t="n"/>
      <c r="L149" s="11" t="n"/>
      <c r="M149" s="11" t="n"/>
      <c r="N149" s="11" t="n"/>
    </row>
    <row r="150" ht="56" customHeight="1">
      <c r="A150" s="10" t="n">
        <v>148</v>
      </c>
      <c r="B150" s="10" t="inlineStr">
        <is>
          <t>Collaudo: UNI EN 81-20:2020 e UNI EN 81-50:2020</t>
        </is>
      </c>
      <c r="C150" s="10" t="inlineStr">
        <is>
          <t>UNI EN 81-20:2020, 5.4.10.1 e 5.4.10.4</t>
        </is>
      </c>
      <c r="D150" s="10" t="inlineStr">
        <is>
          <t>luce in cabina almeno 100 lux sui comandi e a 1 m dal pavimento; luce di emergenza di almeno 5 lux per un'ora presso gli allarmi in cabina e sul tetto e al centro di cabina e tetto, a 1 m</t>
        </is>
      </c>
      <c r="E150" s="10" t="inlineStr">
        <is>
          <t>UNI EN 81-20:2020, 5.4.10.1 e 5.4.10.4</t>
        </is>
      </c>
      <c r="F150" s="10" t="inlineStr">
        <is>
          <t>testo della norma, letto il 2026-10-06 (punti e valori con parole nostre)</t>
        </is>
      </c>
      <c r="G150" s="10" t="inlineStr">
        <is>
          <t>confermato</t>
        </is>
      </c>
      <c r="H150" s="10" t="inlineStr">
        <is>
          <t>—</t>
        </is>
      </c>
      <c r="I150" s="11" t="n"/>
      <c r="J150" s="11" t="n"/>
      <c r="K150" s="11" t="n"/>
      <c r="L150" s="11" t="n"/>
      <c r="M150" s="11" t="n"/>
      <c r="N150" s="11" t="n"/>
    </row>
    <row r="151" ht="43" customHeight="1">
      <c r="A151" s="10" t="n">
        <v>149</v>
      </c>
      <c r="B151" s="10" t="inlineStr">
        <is>
          <t>Collaudo: UNI EN 81-20:2020 e UNI EN 81-50:2020</t>
        </is>
      </c>
      <c r="C151" s="10" t="inlineStr">
        <is>
          <t>UNI EN 81-20:2020, 5.4.4</t>
        </is>
      </c>
      <c r="D151" s="10" t="inlineStr">
        <is>
          <t>materiali della cabina secondo EN 13501-1: pavimento Cfl-s2, pareti C-s2,d1, soffitto C-s2,d0</t>
        </is>
      </c>
      <c r="E151" s="10" t="inlineStr">
        <is>
          <t>UNI EN 81-20:2020, 5.4.4</t>
        </is>
      </c>
      <c r="F151" s="10" t="inlineStr">
        <is>
          <t>testo della norma, letto il 2026-10-06 (punti e valori con parole nostre)</t>
        </is>
      </c>
      <c r="G151" s="10" t="inlineStr">
        <is>
          <t>confermato</t>
        </is>
      </c>
      <c r="H151" s="10" t="inlineStr">
        <is>
          <t>—</t>
        </is>
      </c>
      <c r="I151" s="11" t="n"/>
      <c r="J151" s="11" t="n"/>
      <c r="K151" s="11" t="n"/>
      <c r="L151" s="11" t="n"/>
      <c r="M151" s="11" t="n"/>
      <c r="N151" s="11" t="n"/>
    </row>
    <row r="152" ht="95" customHeight="1">
      <c r="A152" s="10" t="n">
        <v>150</v>
      </c>
      <c r="B152" s="10" t="inlineStr">
        <is>
          <t>Collaudo: UNI EN 81-20:2020 e UNI EN 81-50:2020</t>
        </is>
      </c>
      <c r="C152" s="10" t="inlineStr">
        <is>
          <t>UNI EN 81-20:2020, 6.3.1</t>
        </is>
      </c>
      <c r="D152"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52" s="10" t="inlineStr">
        <is>
          <t>UNI EN 81-20:2020, 6.3.1</t>
        </is>
      </c>
      <c r="F152" s="10" t="inlineStr">
        <is>
          <t>testo della norma, letto il 2026-10-06 (punti e valori con parole nostre)</t>
        </is>
      </c>
      <c r="G152" s="10" t="inlineStr">
        <is>
          <t>confermato</t>
        </is>
      </c>
      <c r="H152" s="10" t="inlineStr">
        <is>
          <t>—</t>
        </is>
      </c>
      <c r="I152" s="11" t="n"/>
      <c r="J152" s="11" t="n"/>
      <c r="K152" s="11" t="n"/>
      <c r="L152" s="11" t="n"/>
      <c r="M152" s="11" t="n"/>
      <c r="N152" s="11" t="n"/>
    </row>
    <row r="153" ht="69" customHeight="1">
      <c r="A153" s="10" t="n">
        <v>151</v>
      </c>
      <c r="B153" s="10" t="inlineStr">
        <is>
          <t>Collaudo: UNI EN 81-20:2020 e UNI EN 81-50:2020</t>
        </is>
      </c>
      <c r="C153" s="10" t="inlineStr">
        <is>
          <t>UNI EN 81-20:2020, 6.3.2</t>
        </is>
      </c>
      <c r="D153" s="10" t="inlineStr">
        <is>
          <t>impianto elettrico: esame a vista, continuità dei conduttori di protezione, isolamento circuito per circuito con l'elettronica scollegata, efficacia dell'interruzione automatica in caso di guasto</t>
        </is>
      </c>
      <c r="E153" s="10" t="inlineStr">
        <is>
          <t>UNI EN 81-20:2020, 6.3.2</t>
        </is>
      </c>
      <c r="F153" s="10" t="inlineStr">
        <is>
          <t>testo della norma, letto il 2026-10-06 (punti e valori con parole nostre)</t>
        </is>
      </c>
      <c r="G153" s="10" t="inlineStr">
        <is>
          <t>confermato</t>
        </is>
      </c>
      <c r="H153" s="10" t="inlineStr">
        <is>
          <t>—</t>
        </is>
      </c>
      <c r="I153" s="11" t="n"/>
      <c r="J153" s="11" t="n"/>
      <c r="K153" s="11" t="n"/>
      <c r="L153" s="11" t="n"/>
      <c r="M153" s="11" t="n"/>
      <c r="N153" s="11" t="n"/>
    </row>
    <row r="154" ht="82" customHeight="1">
      <c r="A154" s="10" t="n">
        <v>152</v>
      </c>
      <c r="B154" s="10" t="inlineStr">
        <is>
          <t>Collaudo: UNI EN 81-20:2020 e UNI EN 81-50:2020</t>
        </is>
      </c>
      <c r="C154" s="10" t="inlineStr">
        <is>
          <t>UNI EN 81-20:2020, 6.3.3</t>
        </is>
      </c>
      <c r="D154"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54" s="10" t="inlineStr">
        <is>
          <t>UNI EN 81-20:2020, 6.3.3</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121" customHeight="1">
      <c r="A155" s="10" t="n">
        <v>153</v>
      </c>
      <c r="B155" s="10" t="inlineStr">
        <is>
          <t>Collaudo: UNI EN 81-20:2020 e UNI EN 81-50:2020</t>
        </is>
      </c>
      <c r="C155" s="10" t="inlineStr">
        <is>
          <t>UNI EN 81-20:2020, 6.3.4, 6.3.5 e 6.3.7</t>
        </is>
      </c>
      <c r="D155"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55" s="10" t="inlineStr">
        <is>
          <t>UNI EN 81-20:2020, 6.3.4, 6.3.5 e 6.3.7</t>
        </is>
      </c>
      <c r="F155" s="10" t="inlineStr">
        <is>
          <t>testo della norma, letto il 2026-10-06 (punti e valori con parole nostre)</t>
        </is>
      </c>
      <c r="G155" s="10" t="inlineStr">
        <is>
          <t>confermato</t>
        </is>
      </c>
      <c r="H155" s="10" t="inlineStr">
        <is>
          <t>—</t>
        </is>
      </c>
      <c r="I155" s="11" t="n"/>
      <c r="J155" s="11" t="n"/>
      <c r="K155" s="11" t="n"/>
      <c r="L155" s="11" t="n"/>
      <c r="M155" s="11" t="n"/>
      <c r="N155" s="11" t="n"/>
    </row>
    <row r="156" ht="108" customHeight="1">
      <c r="A156" s="10" t="n">
        <v>154</v>
      </c>
      <c r="B156" s="10" t="inlineStr">
        <is>
          <t>Collaudo: UNI EN 81-20:2020 e UNI EN 81-50:2020</t>
        </is>
      </c>
      <c r="C156" s="10" t="inlineStr">
        <is>
          <t>UNI EN 81-20:2020, 6.3.11, 6.3.12 e 6.3.13</t>
        </is>
      </c>
      <c r="D156"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56" s="10" t="inlineStr">
        <is>
          <t>UNI EN 81-20:2020, 6.3.11, 6.3.12 e 6.3.13</t>
        </is>
      </c>
      <c r="F156" s="10" t="inlineStr">
        <is>
          <t>testo della norma, letto il 2026-10-06 (punti e valori con parole nostre)</t>
        </is>
      </c>
      <c r="G156" s="10" t="inlineStr">
        <is>
          <t>confermato</t>
        </is>
      </c>
      <c r="H156" s="10" t="inlineStr">
        <is>
          <t>—</t>
        </is>
      </c>
      <c r="I156" s="11" t="n"/>
      <c r="J156" s="11" t="n"/>
      <c r="K156" s="11" t="n"/>
      <c r="L156" s="11" t="n"/>
      <c r="M156" s="11" t="n"/>
      <c r="N156" s="11" t="n"/>
    </row>
    <row r="157" ht="43" customHeight="1">
      <c r="A157" s="10" t="n">
        <v>155</v>
      </c>
      <c r="B157" s="10" t="inlineStr">
        <is>
          <t>Collaudo: UNI EN 81-20:2020 e UNI EN 81-50:2020</t>
        </is>
      </c>
      <c r="C157" s="10" t="inlineStr">
        <is>
          <t>UNI EN 81-20:2020, 6.3.14</t>
        </is>
      </c>
      <c r="D157" s="10" t="inlineStr">
        <is>
          <t>cabina fuori dalla zona di sbloccaggio e porta di piano tenuta aperta di 100 mm: lasciata, la porta si richiude e si blocca</t>
        </is>
      </c>
      <c r="E157" s="10" t="inlineStr">
        <is>
          <t>UNI EN 81-20:2020, 6.3.14</t>
        </is>
      </c>
      <c r="F157" s="10" t="inlineStr">
        <is>
          <t>testo della norma, letto il 2026-10-06 (punti e valori con parole nostre)</t>
        </is>
      </c>
      <c r="G157" s="10" t="inlineStr">
        <is>
          <t>confermato</t>
        </is>
      </c>
      <c r="H157" s="10" t="inlineStr">
        <is>
          <t>—</t>
        </is>
      </c>
      <c r="I157" s="11" t="n"/>
      <c r="J157" s="11" t="n"/>
      <c r="K157" s="11" t="n"/>
      <c r="L157" s="11" t="n"/>
      <c r="M157" s="11" t="n"/>
      <c r="N157" s="11" t="n"/>
    </row>
    <row r="158" ht="43" customHeight="1">
      <c r="A158" s="10" t="n">
        <v>156</v>
      </c>
      <c r="B158" s="10" t="inlineStr">
        <is>
          <t>Collaudo: UNI EN 81-20:2020 e UNI EN 81-50:2020</t>
        </is>
      </c>
      <c r="C158" s="10" t="inlineStr">
        <is>
          <t>UNI EN 81-20:2020, C.2 e 7.3.2</t>
        </is>
      </c>
      <c r="D158" s="10" t="inlineStr">
        <is>
          <t>la sostituzione della macchina o della puleggia di trazione è una trasformazione importante: si annota nel registro dell'impianto, da aggiornare</t>
        </is>
      </c>
      <c r="E158" s="10" t="inlineStr">
        <is>
          <t>UNI EN 81-20:2020, C.2 e 7.3.2</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108" customHeight="1">
      <c r="A159" s="10" t="n">
        <v>157</v>
      </c>
      <c r="B159" s="10" t="inlineStr">
        <is>
          <t>Collaudo: UNI EN 81-20:2020 e UNI EN 81-50:2020</t>
        </is>
      </c>
      <c r="C159" s="10" t="inlineStr">
        <is>
          <t>UNI EN 81-20:2020, 5.3.5.3.2, 5.3.5.3.4, 5.3.6.2.2.1 b) e 5.3.15.2 b)</t>
        </is>
      </c>
      <c r="D159"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59" s="10" t="inlineStr">
        <is>
          <t>UNI EN 81-20:2020, 5.3.5.3.2, 5.3.5.3.4, 5.3.6.2.2.1 b) e 5.3.15.2 b)</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56" customHeight="1">
      <c r="A160" s="10" t="n">
        <v>158</v>
      </c>
      <c r="B160" s="10" t="inlineStr">
        <is>
          <t>Collaudo: UNI 10411-1:2024</t>
        </is>
      </c>
      <c r="C160" s="10" t="inlineStr">
        <is>
          <t>UNI 10411-1:2024, scopo</t>
        </is>
      </c>
      <c r="D160" s="10" t="inlineStr">
        <is>
          <t>impianti elettrici a frizione fuori dalla 95/16/CE e dalla 2014/33/UE; esclude le modifiche che cambiano le misure antincendio (per queste, a nostro giudizio, il DM 15/09/2005 o il Codice V.3)</t>
        </is>
      </c>
      <c r="E160" s="10" t="inlineStr">
        <is>
          <t>UNI 10411-1:2024, scopo</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121" customHeight="1">
      <c r="A161" s="10" t="n">
        <v>159</v>
      </c>
      <c r="B161" s="10" t="inlineStr">
        <is>
          <t>Collaudo: UNI 10411-1:2024</t>
        </is>
      </c>
      <c r="C161" s="10" t="inlineStr">
        <is>
          <t>UNI 10411-1:2024, 14.4 a)–g)</t>
        </is>
      </c>
      <c r="D16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61" s="10" t="inlineStr">
        <is>
          <t>UNI 10411-1:2024, 14.4 a)–g)</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56" customHeight="1">
      <c r="A162" s="10" t="n">
        <v>160</v>
      </c>
      <c r="B162" s="10" t="inlineStr">
        <is>
          <t>Collaudo: UNI 10411-11:2024</t>
        </is>
      </c>
      <c r="C162" s="10" t="inlineStr">
        <is>
          <t>UNI 10411-11:2024, scopo</t>
        </is>
      </c>
      <c r="D162" s="10" t="inlineStr">
        <is>
          <t>impianti elettrici a frizione marcati CE secondo la Direttiva; esclude le modifiche che cambiano le misure antincendio (per queste, a nostro giudizio, il DM 15/09/2005 o il Codice V.3)</t>
        </is>
      </c>
      <c r="E162" s="10" t="inlineStr">
        <is>
          <t>UNI 10411-11:2024, scopo</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108" customHeight="1">
      <c r="A163" s="10" t="n">
        <v>161</v>
      </c>
      <c r="B163" s="10" t="inlineStr">
        <is>
          <t>Collaudo: UNI 10411-11:2024</t>
        </is>
      </c>
      <c r="C163" s="10" t="inlineStr">
        <is>
          <t>UNI 10411-11:2024, 14.3 a) e App. A (14); UNI EN 81-20:2020, 5.6.6.2 e 5.6.7.3</t>
        </is>
      </c>
      <c r="D16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63" s="10" t="inlineStr">
        <is>
          <t>UNI 10411-11:2024, 14.3 a) e App. A (14); UNI EN 81-20:2020, 5.6.6.2 e 5.6.7.3</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10411-11:2024</t>
        </is>
      </c>
      <c r="C164" s="10" t="inlineStr">
        <is>
          <t>UNI 10411-11:2024, 14.3 b)</t>
        </is>
      </c>
      <c r="D164" s="10" t="inlineStr">
        <is>
          <t>senza UCM conforme alla 5.6.7 e con il rallentamento controllato: macchinario senza alimentazione se il freno non si apre, al più tardi all'arrivo al piano, con ripristino solo manuale</t>
        </is>
      </c>
      <c r="E164" s="10" t="inlineStr">
        <is>
          <t>UNI 10411-11:2024, 14.3 b)</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56" customHeight="1">
      <c r="A165" s="10" t="n">
        <v>163</v>
      </c>
      <c r="B165" s="10" t="inlineStr">
        <is>
          <t>Collaudo: UNI EN 81-21:2022 (ascensori nuovi in edifici esistenti)</t>
        </is>
      </c>
      <c r="C165" s="10" t="inlineStr">
        <is>
          <t>UNI EN 81-21:2022, 1</t>
        </is>
      </c>
      <c r="D165" s="10" t="inlineStr">
        <is>
          <t>ascensori nuovi in un edificio esistente, dove l'edificio non permette di rispettare tutta la UNI EN 81-20:2020; esclusi gli impianti montati prima della sua pubblicazione</t>
        </is>
      </c>
      <c r="E165" s="10" t="inlineStr">
        <is>
          <t>UNI EN 81-21:2022, 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95" customHeight="1">
      <c r="A166" s="10" t="n">
        <v>164</v>
      </c>
      <c r="B166" s="10" t="inlineStr">
        <is>
          <t>Collaudo: UNI EN 81-21:2022 (ascensori nuovi in edifici esistenti)</t>
        </is>
      </c>
      <c r="C166" s="10" t="inlineStr">
        <is>
          <t>UNI EN 81-21:2022, 6.2 e 7.1</t>
        </is>
      </c>
      <c r="D166"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66" s="10" t="inlineStr">
        <is>
          <t>UNI EN 81-21:2022, 6.2 e 7.1</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82" customHeight="1">
      <c r="A167" s="10" t="n">
        <v>165</v>
      </c>
      <c r="B167" s="10" t="inlineStr">
        <is>
          <t>Collaudo: UNI EN 81-21:2022 (ascensori nuovi in edifici esistenti)</t>
        </is>
      </c>
      <c r="C167" s="10" t="inlineStr">
        <is>
          <t>DPR 162/1999, art. 17-bis; DM 19/03/2015; linee guida MIMIT 2022</t>
        </is>
      </c>
      <c r="D167"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67" s="10" t="inlineStr">
        <is>
          <t>DPR 162/1999, art. 17-bis; DM 19/03/2015; linee guida MIMIT 2022</t>
        </is>
      </c>
      <c r="F167" s="10" t="inlineStr">
        <is>
          <t>ricerca, cap. 16 (testi ufficiali e schede UNI, 2026-10-02)</t>
        </is>
      </c>
      <c r="G167" s="10" t="inlineStr">
        <is>
          <t>confermato</t>
        </is>
      </c>
      <c r="H167" s="10" t="inlineStr">
        <is>
          <t>—</t>
        </is>
      </c>
      <c r="I167" s="11" t="n"/>
      <c r="J167" s="11" t="n"/>
      <c r="K167" s="11" t="n"/>
      <c r="L167" s="11" t="n"/>
      <c r="M167" s="11" t="n"/>
      <c r="N167" s="11" t="n"/>
    </row>
    <row r="168" ht="82" customHeight="1">
      <c r="A168" s="10" t="n">
        <v>166</v>
      </c>
      <c r="B168" s="10" t="inlineStr">
        <is>
          <t>Collaudo: UNI EN 81-28:2022 (teleallarme)</t>
        </is>
      </c>
      <c r="C168" s="10" t="inlineStr">
        <is>
          <t>UNI EN 81-20:2020, 5.12.3.1; UNI EN 81-28:2004, 4.1.3, 4.2.1 e 7</t>
        </is>
      </c>
      <c r="D168"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68" s="10" t="inlineStr">
        <is>
          <t>UNI EN 81-20:2020, 5.12.3.1; UNI EN 81-28:2004, 4.1.3, 4.2.1 e 7</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56" customHeight="1">
      <c r="A169" s="10" t="n">
        <v>167</v>
      </c>
      <c r="B169" s="10" t="inlineStr">
        <is>
          <t>Collaudo: UNI EN 81-28:2022 (teleallarme)</t>
        </is>
      </c>
      <c r="C169" s="10" t="inlineStr">
        <is>
          <t>UNI EN 81-28:2022</t>
        </is>
      </c>
      <c r="D169" s="10" t="inlineStr">
        <is>
          <t>requisiti dell'edizione citata in GUUE da verificare sul testo; nelle modifiche la UNI 10411-1/-11:2024 (punto 23) ammette l'allarme nuovo secondo la EN 81-20 5.12.3.1 o la UNI EN 81-28:2022</t>
        </is>
      </c>
      <c r="E169" s="10" t="inlineStr">
        <is>
          <t>UNI EN 81-28:2022</t>
        </is>
      </c>
      <c r="F169" s="10" t="inlineStr">
        <is>
          <t>ricerca, cap. 16 (testi ufficiali e schede UNI, 2026-10-02)</t>
        </is>
      </c>
      <c r="G169" s="10" t="inlineStr">
        <is>
          <t>da verificare</t>
        </is>
      </c>
      <c r="H169" s="10" t="inlineStr">
        <is>
          <t>—</t>
        </is>
      </c>
      <c r="I169" s="11" t="n"/>
      <c r="J169" s="11" t="n"/>
      <c r="K169" s="11" t="n"/>
      <c r="L169" s="11" t="n"/>
      <c r="M169" s="11" t="n"/>
      <c r="N169" s="11" t="n"/>
    </row>
    <row r="170" ht="95" customHeight="1">
      <c r="A170" s="10" t="n">
        <v>168</v>
      </c>
      <c r="B170" s="10" t="inlineStr">
        <is>
          <t>Collaudo: UNI EN 81-58:2022 (resistenza al fuoco delle porte di piano)</t>
        </is>
      </c>
      <c r="C170" s="10" t="inlineStr">
        <is>
          <t>UNI EN 81-58:2022; DM 15/09/2005, 3.2–3.3 e art. 1 c.2 lett. c)</t>
        </is>
      </c>
      <c r="D170"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70" s="10" t="inlineStr">
        <is>
          <t>UNI EN 81-58:2022; DM 15/09/2005, 3.2–3.3 e art. 1 c.2 lett. c)</t>
        </is>
      </c>
      <c r="F170" s="10" t="inlineStr">
        <is>
          <t>ricerca, cap. 16 (testi ufficiali e schede UNI, 2026-10-02)</t>
        </is>
      </c>
      <c r="G170" s="10" t="inlineStr">
        <is>
          <t>confermato</t>
        </is>
      </c>
      <c r="H170" s="10" t="inlineStr">
        <is>
          <t>—</t>
        </is>
      </c>
      <c r="I170" s="11" t="n"/>
      <c r="J170" s="11" t="n"/>
      <c r="K170" s="11" t="n"/>
      <c r="L170" s="11" t="n"/>
      <c r="M170" s="11" t="n"/>
      <c r="N170" s="11" t="n"/>
    </row>
    <row r="171" ht="95" customHeight="1">
      <c r="A171" s="10" t="n">
        <v>169</v>
      </c>
      <c r="B171" s="10" t="inlineStr">
        <is>
          <t>Collaudo: UNI EN 81-70:2022 (accessibilità)</t>
        </is>
      </c>
      <c r="C171" s="10" t="inlineStr">
        <is>
          <t>UNI EN 81-70:2022, 5.3.1</t>
        </is>
      </c>
      <c r="D171"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71" s="10" t="inlineStr">
        <is>
          <t>UNI EN 81-70:2022, 5.3.1</t>
        </is>
      </c>
      <c r="F171" s="10" t="inlineStr">
        <is>
          <t>ricerca, cap. 16 (testi ufficiali e schede UNI, 2026-10-02)</t>
        </is>
      </c>
      <c r="G171" s="10" t="inlineStr">
        <is>
          <t>da verificare</t>
        </is>
      </c>
      <c r="H171" s="10" t="inlineStr">
        <is>
          <t>—</t>
        </is>
      </c>
      <c r="I171" s="11" t="n"/>
      <c r="J171" s="11" t="n"/>
      <c r="K171" s="11" t="n"/>
      <c r="L171" s="11" t="n"/>
      <c r="M171" s="11" t="n"/>
      <c r="N171" s="11" t="n"/>
    </row>
    <row r="172" ht="95" customHeight="1">
      <c r="A172" s="10" t="n">
        <v>170</v>
      </c>
      <c r="B172" s="10" t="inlineStr">
        <is>
          <t>Collaudo: UNI EN 81-70:2022 (accessibilità)</t>
        </is>
      </c>
      <c r="C172" s="10" t="inlineStr">
        <is>
          <t>UNI EN 81-70:2022, 5.3.2 e 5.4</t>
        </is>
      </c>
      <c r="D172"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72" s="10" t="inlineStr">
        <is>
          <t>UNI EN 81-70:2022, 5.3.2 e 5.4</t>
        </is>
      </c>
      <c r="F172" s="10" t="inlineStr">
        <is>
          <t>ricerca, cap. 16 (testi ufficiali e schede UNI, 2026-10-02)</t>
        </is>
      </c>
      <c r="G172" s="10" t="inlineStr">
        <is>
          <t>da verificare</t>
        </is>
      </c>
      <c r="H172" s="10" t="inlineStr">
        <is>
          <t>—</t>
        </is>
      </c>
      <c r="I172" s="11" t="n"/>
      <c r="J172" s="11" t="n"/>
      <c r="K172" s="11" t="n"/>
      <c r="L172" s="11" t="n"/>
      <c r="M172" s="11" t="n"/>
      <c r="N172" s="11" t="n"/>
    </row>
    <row r="173" ht="43" customHeight="1">
      <c r="A173" s="10" t="n">
        <v>171</v>
      </c>
      <c r="B173" s="10" t="inlineStr">
        <is>
          <t>Collaudo: UNI EN 81-70:2022 (accessibilità)</t>
        </is>
      </c>
      <c r="C173" s="10" t="inlineStr">
        <is>
          <t>UNI EN 81-70:2022, scopo</t>
        </is>
      </c>
      <c r="D173" s="10" t="inlineStr">
        <is>
          <t>si usa con la UNI EN 81-20:2020; per gli impianti esistenti vale la UNI EN 81-82</t>
        </is>
      </c>
      <c r="E173" s="10" t="inlineStr">
        <is>
          <t>UNI EN 81-70:2022, scopo</t>
        </is>
      </c>
      <c r="F173" s="10" t="inlineStr">
        <is>
          <t>ricerca, cap. 16 (testi ufficiali e schede UNI, 2026-10-02)</t>
        </is>
      </c>
      <c r="G173" s="10" t="inlineStr">
        <is>
          <t>confermato</t>
        </is>
      </c>
      <c r="H173" s="10" t="inlineStr">
        <is>
          <t>—</t>
        </is>
      </c>
      <c r="I173" s="11" t="n"/>
      <c r="J173" s="11" t="n"/>
      <c r="K173" s="11" t="n"/>
      <c r="L173" s="11" t="n"/>
      <c r="M173" s="11" t="n"/>
      <c r="N173" s="11" t="n"/>
    </row>
    <row r="174" ht="43" customHeight="1">
      <c r="A174" s="10" t="n">
        <v>172</v>
      </c>
      <c r="B174" s="10" t="inlineStr">
        <is>
          <t>Collaudo: UNI EN 81-71 (ascensori antivandalo)</t>
        </is>
      </c>
      <c r="C174" s="10" t="inlineStr">
        <is>
          <t>UNI EN 81-71</t>
        </is>
      </c>
      <c r="D174" s="10" t="inlineStr">
        <is>
          <t>categoria antivandalo da concordare con il committente; per la presunzione di conformità vale l'edizione 2005+A1:2006</t>
        </is>
      </c>
      <c r="E174" s="10" t="inlineStr">
        <is>
          <t>UNI EN 81-71</t>
        </is>
      </c>
      <c r="F174" s="10" t="inlineStr">
        <is>
          <t>ricerca, cap. 16 (testi ufficiali e schede UNI, 2026-10-02)</t>
        </is>
      </c>
      <c r="G174" s="10" t="inlineStr">
        <is>
          <t>da verificare</t>
        </is>
      </c>
      <c r="H174" s="10" t="inlineStr">
        <is>
          <t>—</t>
        </is>
      </c>
      <c r="I174" s="11" t="n"/>
      <c r="J174" s="11" t="n"/>
      <c r="K174" s="11" t="n"/>
      <c r="L174" s="11" t="n"/>
      <c r="M174" s="11" t="n"/>
      <c r="N174" s="11" t="n"/>
    </row>
    <row r="175" ht="108" customHeight="1">
      <c r="A175" s="10" t="n">
        <v>173</v>
      </c>
      <c r="B175" s="10" t="inlineStr">
        <is>
          <t>Collaudo: UNI EN 81-72:2020 (ascensori antincendio)</t>
        </is>
      </c>
      <c r="C175" s="10" t="inlineStr">
        <is>
          <t>DM 15/09/2005, punto 7 (valori); Codice V.3.3.4</t>
        </is>
      </c>
      <c r="D175"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75" s="10" t="inlineStr">
        <is>
          <t>DM 15/09/2005, punto 7 (valori); Codice V.3.3.4</t>
        </is>
      </c>
      <c r="F175" s="10" t="inlineStr">
        <is>
          <t>ricerca, cap. 16 (testi ufficiali e schede UNI, 2026-10-02)</t>
        </is>
      </c>
      <c r="G175" s="10" t="inlineStr">
        <is>
          <t>confermato</t>
        </is>
      </c>
      <c r="H175" s="10" t="inlineStr">
        <is>
          <t>—</t>
        </is>
      </c>
      <c r="I175" s="11" t="n"/>
      <c r="J175" s="11" t="n"/>
      <c r="K175" s="11" t="n"/>
      <c r="L175" s="11" t="n"/>
      <c r="M175" s="11" t="n"/>
      <c r="N175" s="11" t="n"/>
    </row>
    <row r="176" ht="56" customHeight="1">
      <c r="A176" s="10" t="n">
        <v>174</v>
      </c>
      <c r="B176" s="10" t="inlineStr">
        <is>
          <t>Collaudo: UNI EN 81-72:2020 (ascensori antincendio)</t>
        </is>
      </c>
      <c r="C176" s="10" t="inlineStr">
        <is>
          <t>Codice S.10, Tab. S.10-2</t>
        </is>
      </c>
      <c r="D176" s="10" t="inlineStr">
        <is>
          <t>alimentazione di sicurezza dell'ascensore antincendio: interruzione al massimo 15 s, autonomia oltre 30 min</t>
        </is>
      </c>
      <c r="E176" s="10" t="inlineStr">
        <is>
          <t>Codice S.10, Tab. S.10-2</t>
        </is>
      </c>
      <c r="F176" s="10" t="inlineStr">
        <is>
          <t>ricerca, cap. 16 (testi ufficiali e schede UNI, 2026-10-02)</t>
        </is>
      </c>
      <c r="G176" s="10" t="inlineStr">
        <is>
          <t>confermato</t>
        </is>
      </c>
      <c r="H176" s="10" t="inlineStr">
        <is>
          <t>—</t>
        </is>
      </c>
      <c r="I176" s="11" t="n"/>
      <c r="J176" s="11" t="n"/>
      <c r="K176" s="11" t="n"/>
      <c r="L176" s="11" t="n"/>
      <c r="M176" s="11" t="n"/>
      <c r="N176" s="11" t="n"/>
    </row>
    <row r="177" ht="56" customHeight="1">
      <c r="A177" s="10" t="n">
        <v>175</v>
      </c>
      <c r="B177" s="10" t="inlineStr">
        <is>
          <t>Collaudo: UNI EN 81-72:2020 (ascensori antincendio)</t>
        </is>
      </c>
      <c r="C177" s="10" t="inlineStr">
        <is>
          <t>UNI EN 81-72:2020</t>
        </is>
      </c>
      <c r="D177" s="10" t="inlineStr">
        <is>
          <t>requisiti propri della norma (cabina, tempi, protezione dall'acqua) da verificare sul testo</t>
        </is>
      </c>
      <c r="E177" s="10" t="inlineStr">
        <is>
          <t>UNI EN 81-72:2020</t>
        </is>
      </c>
      <c r="F177" s="10" t="inlineStr">
        <is>
          <t>ricerca, cap. 16 (testi ufficiali e schede UNI, 2026-10-02)</t>
        </is>
      </c>
      <c r="G177" s="10" t="inlineStr">
        <is>
          <t>da verificare</t>
        </is>
      </c>
      <c r="H177" s="10" t="inlineStr">
        <is>
          <t>—</t>
        </is>
      </c>
      <c r="I177" s="11" t="n"/>
      <c r="J177" s="11" t="n"/>
      <c r="K177" s="11" t="n"/>
      <c r="L177" s="11" t="n"/>
      <c r="M177" s="11" t="n"/>
      <c r="N177" s="11" t="n"/>
    </row>
    <row r="178" ht="69" customHeight="1">
      <c r="A178" s="10" t="n">
        <v>176</v>
      </c>
      <c r="B178" s="10" t="inlineStr">
        <is>
          <t>Collaudo: UNI EN 81-73:2020 (comportamento in caso d'incendio)</t>
        </is>
      </c>
      <c r="C178" s="10" t="inlineStr">
        <is>
          <t>DM 15/09/2005, punto 6; Codice V.3.3.1</t>
        </is>
      </c>
      <c r="D178" s="10" t="inlineStr">
        <is>
          <t>quando la compartimentazione lo richiede, su comando della rivelazione incendio la cabina va al piano prestabilito e lascia uscire i passeggeri; con il Codice l'ascensore «dovrebbe» essere conforme alla UNI EN 81-73</t>
        </is>
      </c>
      <c r="E178" s="10" t="inlineStr">
        <is>
          <t>DM 15/09/2005, punto 6; Codice V.3.3.1</t>
        </is>
      </c>
      <c r="F178" s="10" t="inlineStr">
        <is>
          <t>ricerca, cap. 16 (testi ufficiali e schede UNI, 2026-10-02)</t>
        </is>
      </c>
      <c r="G178" s="10" t="inlineStr">
        <is>
          <t>confermato</t>
        </is>
      </c>
      <c r="H178" s="10" t="inlineStr">
        <is>
          <t>—</t>
        </is>
      </c>
      <c r="I178" s="11" t="n"/>
      <c r="J178" s="11" t="n"/>
      <c r="K178" s="11" t="n"/>
      <c r="L178" s="11" t="n"/>
      <c r="M178" s="11" t="n"/>
      <c r="N178" s="11" t="n"/>
    </row>
    <row r="179" ht="56" customHeight="1">
      <c r="A179" s="10" t="n">
        <v>177</v>
      </c>
      <c r="B179" s="10" t="inlineStr">
        <is>
          <t>Collaudo: UNI EN 81-73:2020 (comportamento in caso d'incendio)</t>
        </is>
      </c>
      <c r="C179" s="10" t="inlineStr">
        <is>
          <t>UNI EN 81-73:2020</t>
        </is>
      </c>
      <c r="D179" s="10" t="inlineStr">
        <is>
          <t>segnali e comportamento della manovra da verificare sul testo; la norma serve anche da base per migliorare gli esistenti (così la UNI EN 81-73:2005 letta, punto 1)</t>
        </is>
      </c>
      <c r="E179" s="10" t="inlineStr">
        <is>
          <t>UNI EN 81-73:2020</t>
        </is>
      </c>
      <c r="F179" s="10" t="inlineStr">
        <is>
          <t>ricerca, cap. 16 (testi ufficiali e schede UNI, 2026-10-02)</t>
        </is>
      </c>
      <c r="G179" s="10" t="inlineStr">
        <is>
          <t>da verificare</t>
        </is>
      </c>
      <c r="H179" s="10" t="inlineStr">
        <is>
          <t>—</t>
        </is>
      </c>
      <c r="I179" s="11" t="n"/>
      <c r="J179" s="11" t="n"/>
      <c r="K179" s="11" t="n"/>
      <c r="L179" s="11" t="n"/>
      <c r="M179" s="11" t="n"/>
      <c r="N179" s="11" t="n"/>
    </row>
    <row r="180" ht="69" customHeight="1">
      <c r="A180" s="10" t="n">
        <v>178</v>
      </c>
      <c r="B180" s="10" t="inlineStr">
        <is>
          <t>Collaudo: UNI EN 81-76:2025 (evacuazione delle persone con disabilità)</t>
        </is>
      </c>
      <c r="C180" s="10" t="inlineStr">
        <is>
          <t>UNI EN 81-76:2025</t>
        </is>
      </c>
      <c r="D180" s="10" t="inlineStr">
        <is>
          <t>evacuazione delle persone con disabilità con l'ascensore: requisiti aggiuntivi alla EN 81-20 (manovra, alimentazione) da verificare sul testo</t>
        </is>
      </c>
      <c r="E180" s="10" t="inlineStr">
        <is>
          <t>UNI EN 81-76:2025</t>
        </is>
      </c>
      <c r="F180" s="10" t="inlineStr">
        <is>
          <t>ricerca, cap. 16 (testi ufficiali e schede UNI, 2026-10-02)</t>
        </is>
      </c>
      <c r="G180" s="10" t="inlineStr">
        <is>
          <t>da verificare</t>
        </is>
      </c>
      <c r="H180" s="10" t="inlineStr">
        <is>
          <t>—</t>
        </is>
      </c>
      <c r="I180" s="11" t="n"/>
      <c r="J180" s="11" t="n"/>
      <c r="K180" s="11" t="n"/>
      <c r="L180" s="11" t="n"/>
      <c r="M180" s="11" t="n"/>
      <c r="N180" s="11" t="n"/>
    </row>
    <row r="181" ht="56" customHeight="1">
      <c r="A181" s="10" t="n">
        <v>179</v>
      </c>
      <c r="B181" s="10" t="inlineStr">
        <is>
          <t>Collaudo: UNI EN 81-77:2022 (azioni sismiche)</t>
        </is>
      </c>
      <c r="C181" s="10" t="inlineStr">
        <is>
          <t>UNI EN 81-77:2022, 1</t>
        </is>
      </c>
      <c r="D181" s="10" t="inlineStr">
        <is>
          <t>con accelerazione di progetto a_d fino a 1 m/s² nessuna prescrizione specifica; a_d e la posizione dei rilevatori si concordano con il progettista dell'edificio</t>
        </is>
      </c>
      <c r="E181" s="10" t="inlineStr">
        <is>
          <t>UNI EN 81-77:2022, 1</t>
        </is>
      </c>
      <c r="F181" s="10" t="inlineStr">
        <is>
          <t>ricerca, cap. 16 (testi ufficiali e schede UNI, 2026-10-02)</t>
        </is>
      </c>
      <c r="G181" s="10" t="inlineStr">
        <is>
          <t>confermato</t>
        </is>
      </c>
      <c r="H181" s="10" t="inlineStr">
        <is>
          <t>—</t>
        </is>
      </c>
      <c r="I181" s="11" t="n"/>
      <c r="J181" s="11" t="n"/>
      <c r="K181" s="11" t="n"/>
      <c r="L181" s="11" t="n"/>
      <c r="M181" s="11" t="n"/>
      <c r="N181" s="11" t="n"/>
    </row>
    <row r="182" ht="95" customHeight="1">
      <c r="A182" s="10" t="n">
        <v>180</v>
      </c>
      <c r="B182" s="10" t="inlineStr">
        <is>
          <t>Collaudo: UNI EN 81-77:2022 (azioni sismiche)</t>
        </is>
      </c>
      <c r="C182" s="10" t="inlineStr">
        <is>
          <t>UNI EN 81-77:2022, 5.4–5.10, All. A, B, D</t>
        </is>
      </c>
      <c r="D182"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82" s="10" t="inlineStr">
        <is>
          <t>UNI EN 81-77:2022, 5.4–5.10, All. A, B, D</t>
        </is>
      </c>
      <c r="F182" s="10" t="inlineStr">
        <is>
          <t>ricerca, cap. 16 (testi ufficiali e schede UNI, 2026-10-02)</t>
        </is>
      </c>
      <c r="G182" s="10" t="inlineStr">
        <is>
          <t>da verificare</t>
        </is>
      </c>
      <c r="H182" s="10" t="inlineStr">
        <is>
          <t>—</t>
        </is>
      </c>
      <c r="I182" s="11" t="n"/>
      <c r="J182" s="11" t="n"/>
      <c r="K182" s="11" t="n"/>
      <c r="L182" s="11" t="n"/>
      <c r="M182" s="11" t="n"/>
      <c r="N182" s="11" t="n"/>
    </row>
    <row r="183" ht="43" customHeight="1">
      <c r="A183" s="10" t="n">
        <v>181</v>
      </c>
      <c r="B183" s="10" t="inlineStr">
        <is>
          <t>Collaudo: UNI EN 81-77:2022 (azioni sismiche)</t>
        </is>
      </c>
      <c r="C183" s="10" t="inlineStr">
        <is>
          <t>UNI EN 81-77:2022, 0.3</t>
        </is>
      </c>
      <c r="D183" s="10" t="inlineStr">
        <is>
          <t>non si applica agli impianti installati prima della sua pubblicazione</t>
        </is>
      </c>
      <c r="E183" s="10" t="inlineStr">
        <is>
          <t>UNI EN 81-77:2022, 0.3</t>
        </is>
      </c>
      <c r="F183" s="10" t="inlineStr">
        <is>
          <t>ricerca, cap. 16 (testi ufficiali e schede UNI, 2026-10-02)</t>
        </is>
      </c>
      <c r="G183" s="10" t="inlineStr">
        <is>
          <t>confermato</t>
        </is>
      </c>
      <c r="H183" s="10" t="inlineStr">
        <is>
          <t>—</t>
        </is>
      </c>
      <c r="I183" s="11" t="n"/>
      <c r="J183" s="11" t="n"/>
      <c r="K183" s="11" t="n"/>
      <c r="L183" s="11" t="n"/>
      <c r="M183" s="11" t="n"/>
      <c r="N183" s="11" t="n"/>
    </row>
    <row r="184" ht="69" customHeight="1">
      <c r="A184" s="10" t="n">
        <v>182</v>
      </c>
      <c r="B184" s="10" t="inlineStr">
        <is>
          <t>Collaudo: UNI EN 81-80:2019 (miglioramento della sicurezza degli esistenti)</t>
        </is>
      </c>
      <c r="C184" s="10" t="inlineStr">
        <is>
          <t>UNI EN 81-80:2004 e 2009, 1 e appendice A</t>
        </is>
      </c>
      <c r="D184" s="10" t="inlineStr">
        <is>
          <t>analisi dei rischi dell'impianto esistente e piano di miglioramento per priorità; quali misure e in che tempi lo decide la legislazione nazionale, non la norma</t>
        </is>
      </c>
      <c r="E184" s="10" t="inlineStr">
        <is>
          <t>UNI EN 81-80:2004 e 2009, 1 e appendice A</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69" customHeight="1">
      <c r="A185" s="10" t="n">
        <v>183</v>
      </c>
      <c r="B185" s="10" t="inlineStr">
        <is>
          <t>Collaudo: UNI EN 81-80:2019 (miglioramento della sicurezza degli esistenti)</t>
        </is>
      </c>
      <c r="C185" s="10" t="inlineStr">
        <is>
          <t>UNI EN 81-80:2019</t>
        </is>
      </c>
      <c r="D185" s="10" t="inlineStr">
        <is>
          <t>la stessa analisi nell'edizione in vigore, con una struttura diversa: da verificare sul testo</t>
        </is>
      </c>
      <c r="E185" s="10" t="inlineStr">
        <is>
          <t>UNI EN 81-80:2019</t>
        </is>
      </c>
      <c r="F185" s="10" t="inlineStr">
        <is>
          <t>ricerca, cap. 16 (testi ufficiali e schede UNI, 2026-10-02)</t>
        </is>
      </c>
      <c r="G185" s="10" t="inlineStr">
        <is>
          <t>da verificare</t>
        </is>
      </c>
      <c r="H185" s="10" t="inlineStr">
        <is>
          <t>—</t>
        </is>
      </c>
      <c r="I185" s="11" t="n"/>
      <c r="J185" s="11" t="n"/>
      <c r="K185" s="11" t="n"/>
      <c r="L185" s="11" t="n"/>
      <c r="M185" s="11" t="n"/>
      <c r="N185" s="11" t="n"/>
    </row>
    <row r="186" ht="56" customHeight="1">
      <c r="A186" s="10" t="n">
        <v>184</v>
      </c>
      <c r="B186" s="10" t="inlineStr">
        <is>
          <t>Collaudo: UNI EN 81-82:2026 (accessibilità degli esistenti)</t>
        </is>
      </c>
      <c r="C186" s="10" t="inlineStr">
        <is>
          <t>UNI EN 81-82:2026</t>
        </is>
      </c>
      <c r="D186" s="10" t="inlineStr">
        <is>
          <t>miglioramento dell'accessibilità di un impianto esistente secondo i requisiti della EN 81-70</t>
        </is>
      </c>
      <c r="E186" s="10" t="inlineStr">
        <is>
          <t>UNI EN 81-82:2026</t>
        </is>
      </c>
      <c r="F186" s="10" t="inlineStr">
        <is>
          <t>ricerca, cap. 16 (testi ufficiali e schede UNI, 2026-10-02)</t>
        </is>
      </c>
      <c r="G186" s="10" t="inlineStr">
        <is>
          <t>confermato</t>
        </is>
      </c>
      <c r="H186" s="10" t="inlineStr">
        <is>
          <t>—</t>
        </is>
      </c>
      <c r="I186" s="11" t="n"/>
      <c r="J186" s="11" t="n"/>
      <c r="K186" s="11" t="n"/>
      <c r="L186" s="11" t="n"/>
      <c r="M186" s="11" t="n"/>
      <c r="N186" s="11" t="n"/>
    </row>
    <row r="187" ht="56" customHeight="1">
      <c r="A187" s="10" t="n">
        <v>185</v>
      </c>
      <c r="B187" s="10" t="inlineStr">
        <is>
          <t>Collaudo: UNI EN 81-83:2026 (antivandalo degli esistenti)</t>
        </is>
      </c>
      <c r="C187" s="10" t="inlineStr">
        <is>
          <t>UNI EN 81-83:2026</t>
        </is>
      </c>
      <c r="D187" s="10" t="inlineStr">
        <is>
          <t>miglioramento della resistenza agli atti vandalici di un impianto esistente secondo la EN 81-71:2022 (voce 1.2 della Tab. A.1 della EN 81-80)</t>
        </is>
      </c>
      <c r="E187" s="10" t="inlineStr">
        <is>
          <t>UNI EN 81-83:2026</t>
        </is>
      </c>
      <c r="F187" s="10" t="inlineStr">
        <is>
          <t>ricerca, cap. 16 (testi ufficiali e schede UNI, 2026-10-02)</t>
        </is>
      </c>
      <c r="G187" s="10" t="inlineStr">
        <is>
          <t>confermato</t>
        </is>
      </c>
      <c r="H187" s="10" t="inlineStr">
        <is>
          <t>—</t>
        </is>
      </c>
      <c r="I187" s="11" t="n"/>
      <c r="J187" s="11" t="n"/>
      <c r="K187" s="11" t="n"/>
      <c r="L187" s="11" t="n"/>
      <c r="M187" s="11" t="n"/>
      <c r="N187" s="11" t="n"/>
    </row>
    <row r="188" ht="56" customHeight="1">
      <c r="A188" s="10" t="n">
        <v>186</v>
      </c>
      <c r="B188" s="10" t="inlineStr">
        <is>
          <t>Collaudo: DM 236/1989 (barriere architettoniche)</t>
        </is>
      </c>
      <c r="C188" s="10" t="inlineStr">
        <is>
          <t>DM 236/1989, 8.1.12</t>
        </is>
      </c>
      <c r="D188" s="10" t="inlineStr">
        <is>
          <t>piattaforma di distribuzione davanti alla porta di cabina: 1,50 × 1,50 m negli edifici nuovi, 1,40 × 1,40 m nell'adeguamento (fuori dal vano: in sito)</t>
        </is>
      </c>
      <c r="E188" s="10" t="inlineStr">
        <is>
          <t>DM 236/1989, 8.1.12</t>
        </is>
      </c>
      <c r="F188" s="10" t="inlineStr">
        <is>
          <t>testo ufficiale del DM 236/1989</t>
        </is>
      </c>
      <c r="G188" s="10" t="inlineStr">
        <is>
          <t>confermato</t>
        </is>
      </c>
      <c r="H188" s="10" t="inlineStr">
        <is>
          <t>cabina minima (DM 236/1989); porta minima (DM 236/1989); porta sul lato corto</t>
        </is>
      </c>
      <c r="I188" s="11" t="n"/>
      <c r="J188" s="11" t="n"/>
      <c r="K188" s="11" t="n"/>
      <c r="L188" s="11" t="n"/>
      <c r="M188" s="11" t="n"/>
      <c r="N188" s="11" t="n"/>
    </row>
    <row r="189" ht="56" customHeight="1">
      <c r="A189" s="10" t="n">
        <v>187</v>
      </c>
      <c r="B189" s="10" t="inlineStr">
        <is>
          <t>Collaudo: DM 236/1989 (barriere architettoniche)</t>
        </is>
      </c>
      <c r="C189" s="10" t="inlineStr">
        <is>
          <t>DM 236/1989, 8.1.12</t>
        </is>
      </c>
      <c r="D189" s="10" t="inlineStr">
        <is>
          <t>porte di cabina e di piano a scorrimento automatico (nell'adeguamento la porta di piano può essere a battente se ad apertura automatica); porte aperte almeno 8 s, chiusura in almeno 4 s</t>
        </is>
      </c>
      <c r="E189" s="10" t="inlineStr">
        <is>
          <t>DM 236/1989, 8.1.12</t>
        </is>
      </c>
      <c r="F189" s="10" t="inlineStr">
        <is>
          <t>testo ufficiale del DM 236/1989</t>
        </is>
      </c>
      <c r="G189" s="10" t="inlineStr">
        <is>
          <t>confermato</t>
        </is>
      </c>
      <c r="H189" s="10" t="inlineStr">
        <is>
          <t>cabina minima (DM 236/1989); porta minima (DM 236/1989); porta sul lato corto</t>
        </is>
      </c>
      <c r="I189" s="11" t="n"/>
      <c r="J189" s="11" t="n"/>
      <c r="K189" s="11" t="n"/>
      <c r="L189" s="11" t="n"/>
      <c r="M189" s="11" t="n"/>
      <c r="N189" s="11" t="n"/>
    </row>
    <row r="190" ht="43" customHeight="1">
      <c r="A190" s="10" t="n">
        <v>188</v>
      </c>
      <c r="B190" s="10" t="inlineStr">
        <is>
          <t>Collaudo: DM 236/1989 (barriere architettoniche)</t>
        </is>
      </c>
      <c r="C190" s="10" t="inlineStr">
        <is>
          <t>DM 236/1989, 8.1.12</t>
        </is>
      </c>
      <c r="D190" s="10" t="inlineStr">
        <is>
          <t>arresto ai piani con autolivellamento entro ± 2 cm; sosta ai piani con le porte chiuse</t>
        </is>
      </c>
      <c r="E190" s="10" t="inlineStr">
        <is>
          <t>DM 236/1989, 8.1.12</t>
        </is>
      </c>
      <c r="F190" s="10" t="inlineStr">
        <is>
          <t>testo ufficiale del DM 236/1989</t>
        </is>
      </c>
      <c r="G190" s="10" t="inlineStr">
        <is>
          <t>confermato</t>
        </is>
      </c>
      <c r="H190" s="10" t="inlineStr">
        <is>
          <t>cabina minima (DM 236/1989); porta minima (DM 236/1989); porta sul lato corto</t>
        </is>
      </c>
      <c r="I190" s="11" t="n"/>
      <c r="J190" s="11" t="n"/>
      <c r="K190" s="11" t="n"/>
      <c r="L190" s="11" t="n"/>
      <c r="M190" s="11" t="n"/>
      <c r="N190" s="11" t="n"/>
    </row>
    <row r="191" ht="56" customHeight="1">
      <c r="A191" s="10" t="n">
        <v>189</v>
      </c>
      <c r="B191" s="10" t="inlineStr">
        <is>
          <t>Collaudo: DM 236/1989 (barriere architettoniche)</t>
        </is>
      </c>
      <c r="C191" s="10" t="inlineStr">
        <is>
          <t>DM 236/1989, 8.1.12 e 8.0.1</t>
        </is>
      </c>
      <c r="D191" s="10" t="inlineStr">
        <is>
          <t>pulsanti di cabina e di piano: il più alto tra 1,10 e 1,40 m, misurato all'asse del comando; bottoniera di cabina su una parete laterale ad almeno 0,35 m dalla porta</t>
        </is>
      </c>
      <c r="E191" s="10" t="inlineStr">
        <is>
          <t>DM 236/1989, 8.1.12 e 8.0.1</t>
        </is>
      </c>
      <c r="F191" s="10" t="inlineStr">
        <is>
          <t>testo ufficiale del DM 236/1989</t>
        </is>
      </c>
      <c r="G191" s="10" t="inlineStr">
        <is>
          <t>confermato</t>
        </is>
      </c>
      <c r="H191" s="10" t="inlineStr">
        <is>
          <t>cabina minima (DM 236/1989); porta minima (DM 236/1989); porta sul lato corto</t>
        </is>
      </c>
      <c r="I191" s="11" t="n"/>
      <c r="J191" s="11" t="n"/>
      <c r="K191" s="11" t="n"/>
      <c r="L191" s="11" t="n"/>
      <c r="M191" s="11" t="n"/>
      <c r="N191" s="11" t="n"/>
    </row>
    <row r="192" ht="95" customHeight="1">
      <c r="A192" s="10" t="n">
        <v>190</v>
      </c>
      <c r="B192" s="10" t="inlineStr">
        <is>
          <t>Collaudo: DM 236/1989 (barriere architettoniche)</t>
        </is>
      </c>
      <c r="C192" s="10" t="inlineStr">
        <is>
          <t>DM 236/1989, 8.1.12 e 4.1.12</t>
        </is>
      </c>
      <c r="D192"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192" s="10" t="inlineStr">
        <is>
          <t>DM 236/1989, 8.1.12 e 4.1.12</t>
        </is>
      </c>
      <c r="F192" s="10" t="inlineStr">
        <is>
          <t>testo ufficiale del DM 236/1989</t>
        </is>
      </c>
      <c r="G192" s="10" t="inlineStr">
        <is>
          <t>confermato</t>
        </is>
      </c>
      <c r="H192" s="10" t="inlineStr">
        <is>
          <t>cabina minima (DM 236/1989); porta minima (DM 236/1989); porta sul lato corto</t>
        </is>
      </c>
      <c r="I192" s="11" t="n"/>
      <c r="J192" s="11" t="n"/>
      <c r="K192" s="11" t="n"/>
      <c r="L192" s="11" t="n"/>
      <c r="M192" s="11" t="n"/>
      <c r="N192" s="11" t="n"/>
    </row>
    <row r="193" ht="56" customHeight="1">
      <c r="A193" s="10" t="n">
        <v>191</v>
      </c>
      <c r="B193" s="10" t="inlineStr">
        <is>
          <t>Collaudo: DM 236/1989 (barriere architettoniche)</t>
        </is>
      </c>
      <c r="C193" s="10" t="inlineStr">
        <is>
          <t>DM 236/1989, 3.2; L. 13/1989, art. 1 c.3 lett. d)</t>
        </is>
      </c>
      <c r="D193" s="10" t="inlineStr">
        <is>
          <t>ascensore obbligatorio oltre il terzo livello (contati interrati e porticati); negli immobili con più di tre livelli fuori terra un ascensore per ogni scala principale</t>
        </is>
      </c>
      <c r="E193" s="10" t="inlineStr">
        <is>
          <t>DM 236/1989, 3.2; L. 13/1989, art. 1 c.3 lett. d)</t>
        </is>
      </c>
      <c r="F193" s="10" t="inlineStr">
        <is>
          <t>testo ufficiale del DM 236/1989; L. 13/1989: ricerca, cap. 16</t>
        </is>
      </c>
      <c r="G193" s="10" t="inlineStr">
        <is>
          <t>confermato</t>
        </is>
      </c>
      <c r="H193" s="10" t="inlineStr">
        <is>
          <t>cabina minima (DM 236/1989); porta minima (DM 236/1989); porta sul lato corto</t>
        </is>
      </c>
      <c r="I193" s="11" t="n"/>
      <c r="J193" s="11" t="n"/>
      <c r="K193" s="11" t="n"/>
      <c r="L193" s="11" t="n"/>
      <c r="M193" s="11" t="n"/>
      <c r="N193" s="11" t="n"/>
    </row>
    <row r="194" ht="56" customHeight="1">
      <c r="A194" s="10" t="n">
        <v>192</v>
      </c>
      <c r="B194" s="10" t="inlineStr">
        <is>
          <t>Collaudo: DM 236/1989 (barriere architettoniche)</t>
        </is>
      </c>
      <c r="C194" s="10" t="inlineStr">
        <is>
          <t>DM 236/1989, 7.5; DPR 503/1996, art. 19</t>
        </is>
      </c>
      <c r="D194" s="10" t="inlineStr">
        <is>
          <t>nelle ristrutturazioni deroghe per impossibilità tecnica strutturale o impiantistica (privati: concesse dal Sindaco); edifici vincolati: deroga se le opere pregiudicano il bene</t>
        </is>
      </c>
      <c r="E194" s="10" t="inlineStr">
        <is>
          <t>DM 236/1989, 7.5; DPR 503/1996, art. 19</t>
        </is>
      </c>
      <c r="F194" s="10" t="inlineStr">
        <is>
          <t>testo ufficiale del DM 236/1989; DPR 503/1996: ricerca, cap. 16</t>
        </is>
      </c>
      <c r="G194" s="10" t="inlineStr">
        <is>
          <t>confermato</t>
        </is>
      </c>
      <c r="H194" s="10" t="inlineStr">
        <is>
          <t>cabina minima (DM 236/1989); porta minima (DM 236/1989); porta sul lato corto</t>
        </is>
      </c>
      <c r="I194" s="11" t="n"/>
      <c r="J194" s="11" t="n"/>
      <c r="K194" s="11" t="n"/>
      <c r="L194" s="11" t="n"/>
      <c r="M194" s="11" t="n"/>
      <c r="N194" s="11" t="n"/>
    </row>
    <row r="195" ht="69" customHeight="1">
      <c r="A195" s="10" t="n">
        <v>193</v>
      </c>
      <c r="B195" s="10" t="inlineStr">
        <is>
          <t>Collaudo: DM 15/09/2005 o Codice di prevenzione incendi, RTV V.3 (antincendio)</t>
        </is>
      </c>
      <c r="C195" s="10" t="inlineStr">
        <is>
          <t>DM 3/8/2015, art. 5 c.1-bis lett. e)</t>
        </is>
      </c>
      <c r="D195" s="10" t="inlineStr">
        <is>
          <t>il progettista applica il DM 15/09/2005 oppure la RTV V.3 del Codice: dove si usa il Codice il DM 2005 non si applica</t>
        </is>
      </c>
      <c r="E195" s="10" t="inlineStr">
        <is>
          <t>DM 3/8/2015, art. 5 c.1-bis lett. e)</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DM 15/09/2005 o Codice di prevenzione incendi, RTV V.3 (antincendio)</t>
        </is>
      </c>
      <c r="C196" s="10" t="inlineStr">
        <is>
          <t>DM 15/09/2005, art. 1 c.2</t>
        </is>
      </c>
      <c r="D196"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196" s="10" t="inlineStr">
        <is>
          <t>DM 15/09/2005, art. 1 c.2</t>
        </is>
      </c>
      <c r="F196" s="10" t="inlineStr">
        <is>
          <t>ricerca, cap. 16 (testi ufficiali e schede UNI, 2026-10-02)</t>
        </is>
      </c>
      <c r="G196" s="10" t="inlineStr">
        <is>
          <t>confermato</t>
        </is>
      </c>
      <c r="H196" s="10" t="inlineStr">
        <is>
          <t>—</t>
        </is>
      </c>
      <c r="I196" s="11" t="n"/>
      <c r="J196" s="11" t="n"/>
      <c r="K196" s="11" t="n"/>
      <c r="L196" s="11" t="n"/>
      <c r="M196" s="11" t="n"/>
      <c r="N196" s="11" t="n"/>
    </row>
    <row r="197" ht="69" customHeight="1">
      <c r="A197" s="10" t="n">
        <v>195</v>
      </c>
      <c r="B197" s="10" t="inlineStr">
        <is>
          <t>Collaudo: DM 15/09/2005 o Codice di prevenzione incendi, RTV V.3 (antincendio)</t>
        </is>
      </c>
      <c r="C197" s="10" t="inlineStr">
        <is>
          <t>DM 15/09/2005, 3.1–3.3; Codice V.3.2</t>
        </is>
      </c>
      <c r="D197" s="10" t="inlineStr">
        <is>
          <t>tipo di vano: aperto, protetto o a prova di fumo (Codice: classi da SA a SE)</t>
        </is>
      </c>
      <c r="E197" s="10" t="inlineStr">
        <is>
          <t>DM 15/09/2005, 3.1–3.3; Codice V.3.2</t>
        </is>
      </c>
      <c r="F197" s="10" t="inlineStr">
        <is>
          <t>ricerca, cap. 16 (testi ufficiali e schede UNI, 2026-10-02)</t>
        </is>
      </c>
      <c r="G197" s="10" t="inlineStr">
        <is>
          <t>confermato</t>
        </is>
      </c>
      <c r="H197" s="10" t="inlineStr">
        <is>
          <t>—</t>
        </is>
      </c>
      <c r="I197" s="11" t="n"/>
      <c r="J197" s="11" t="n"/>
      <c r="K197" s="11" t="n"/>
      <c r="L197" s="11" t="n"/>
      <c r="M197" s="11" t="n"/>
      <c r="N197" s="11" t="n"/>
    </row>
    <row r="198" ht="69" customHeight="1">
      <c r="A198" s="10" t="n">
        <v>196</v>
      </c>
      <c r="B198" s="10" t="inlineStr">
        <is>
          <t>Collaudo: DM 15/09/2005 o Codice di prevenzione incendi, RTV V.3 (antincendio)</t>
        </is>
      </c>
      <c r="C198" s="10" t="inlineStr">
        <is>
          <t>DM 15/09/2005, punto 2</t>
        </is>
      </c>
      <c r="D198" s="10" t="inlineStr">
        <is>
          <t>pareti del vano, locale macchine e pulegge, setti e arcata non combustibili; pareti, pavimento e tetto della cabina in classe di reazione al fuoco non oltre 1</t>
        </is>
      </c>
      <c r="E198" s="10" t="inlineStr">
        <is>
          <t>DM 15/09/2005, punto 2</t>
        </is>
      </c>
      <c r="F198" s="10" t="inlineStr">
        <is>
          <t>ricerca, cap. 16 (testi ufficiali e schede UNI, 2026-10-02)</t>
        </is>
      </c>
      <c r="G198" s="10" t="inlineStr">
        <is>
          <t>confermato</t>
        </is>
      </c>
      <c r="H198" s="10" t="inlineStr">
        <is>
          <t>—</t>
        </is>
      </c>
      <c r="I198" s="11" t="n"/>
      <c r="J198" s="11" t="n"/>
      <c r="K198" s="11" t="n"/>
      <c r="L198" s="11" t="n"/>
      <c r="M198" s="11" t="n"/>
      <c r="N198" s="11" t="n"/>
    </row>
    <row r="199" ht="82" customHeight="1">
      <c r="A199" s="10" t="n">
        <v>197</v>
      </c>
      <c r="B199" s="10" t="inlineStr">
        <is>
          <t>Collaudo: DM 15/09/2005 o Codice di prevenzione incendi, RTV V.3 (antincendio)</t>
        </is>
      </c>
      <c r="C199" s="10" t="inlineStr">
        <is>
          <t>DM 15/09/2005, punto 5</t>
        </is>
      </c>
      <c r="D199"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199" s="10" t="inlineStr">
        <is>
          <t>DM 15/09/2005, punto 5</t>
        </is>
      </c>
      <c r="F199" s="10" t="inlineStr">
        <is>
          <t>ricerca, cap. 16 (testi ufficiali e schede UNI, 2026-10-02)</t>
        </is>
      </c>
      <c r="G199" s="10" t="inlineStr">
        <is>
          <t>confermato</t>
        </is>
      </c>
      <c r="H199" s="10" t="inlineStr">
        <is>
          <t>—</t>
        </is>
      </c>
      <c r="I199" s="11" t="n"/>
      <c r="J199" s="11" t="n"/>
      <c r="K199" s="11" t="n"/>
      <c r="L199" s="11" t="n"/>
      <c r="M199" s="11" t="n"/>
      <c r="N199" s="11" t="n"/>
    </row>
    <row r="200" ht="69" customHeight="1">
      <c r="A200" s="10" t="n">
        <v>198</v>
      </c>
      <c r="B200" s="10" t="inlineStr">
        <is>
          <t>Collaudo: DM 15/09/2005 o Codice di prevenzione incendi, RTV V.3 (antincendio)</t>
        </is>
      </c>
      <c r="C200" s="10" t="inlineStr">
        <is>
          <t>DM 15/09/2005, punto 6; Codice V.3.3.1 c.5</t>
        </is>
      </c>
      <c r="D200" s="10" t="inlineStr">
        <is>
          <t>estintore 21A89BC vicino all'accesso al macchinario; richiamo della cabina al piano prestabilito su comando della rivelazione quando la compartimentazione lo richiede</t>
        </is>
      </c>
      <c r="E200" s="10" t="inlineStr">
        <is>
          <t>DM 15/09/2005, punto 6; Codice V.3.3.1 c.5</t>
        </is>
      </c>
      <c r="F200" s="10" t="inlineStr">
        <is>
          <t>ricerca, cap. 16 (testi ufficiali e schede UNI, 2026-10-02)</t>
        </is>
      </c>
      <c r="G200" s="10" t="inlineStr">
        <is>
          <t>confermato</t>
        </is>
      </c>
      <c r="H200" s="10" t="inlineStr">
        <is>
          <t>—</t>
        </is>
      </c>
      <c r="I200" s="11" t="n"/>
      <c r="J200" s="11" t="n"/>
      <c r="K200" s="11" t="n"/>
      <c r="L200" s="11" t="n"/>
      <c r="M200" s="11" t="n"/>
      <c r="N200" s="11" t="n"/>
    </row>
    <row r="201" ht="69" customHeight="1">
      <c r="A201" s="10" t="n">
        <v>199</v>
      </c>
      <c r="B201" s="10" t="inlineStr">
        <is>
          <t>Collaudo: DM 15/09/2005 o Codice di prevenzione incendi, RTV V.3 (antincendio)</t>
        </is>
      </c>
      <c r="C201" s="10" t="inlineStr">
        <is>
          <t>Codice S.9, Tab. S.9-3</t>
        </is>
      </c>
      <c r="D201" s="10" t="inlineStr">
        <is>
          <t>piani tra 32 e 54 m: almeno un ascensore antincendio; oltre 54 m: almeno uno di soccorso; interrati tra −10 e −15 m: antincendio; sotto −15 m: soccorso</t>
        </is>
      </c>
      <c r="E201" s="10" t="inlineStr">
        <is>
          <t>Codice S.9, Tab. S.9-3</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NTC 2018 (strutture e azioni sismiche)</t>
        </is>
      </c>
      <c r="C202" s="10" t="inlineStr">
        <is>
          <t>NTC 2018, §3.1.4</t>
        </is>
      </c>
      <c r="D202" s="10" t="inlineStr">
        <is>
          <t>carichi del macchinario valutati caso per caso sui massimi prevedibili e riportati nel progetto e nel collaudo statico</t>
        </is>
      </c>
      <c r="E202" s="10" t="inlineStr">
        <is>
          <t>NTC 2018, §3.1.4</t>
        </is>
      </c>
      <c r="F202" s="10" t="inlineStr">
        <is>
          <t>ricerca, cap. 16 (testi ufficiali e schede UNI, 2026-10-02)</t>
        </is>
      </c>
      <c r="G202" s="10" t="inlineStr">
        <is>
          <t>confermato</t>
        </is>
      </c>
      <c r="H202" s="10" t="inlineStr">
        <is>
          <t>tensione nelle putrelle sotto l'argano; freccia delle putrelle sotto l'argano</t>
        </is>
      </c>
      <c r="I202" s="11" t="n"/>
      <c r="J202" s="11" t="n"/>
      <c r="K202" s="11" t="n"/>
      <c r="L202" s="11" t="n"/>
      <c r="M202" s="11" t="n"/>
      <c r="N202" s="11" t="n"/>
    </row>
    <row r="203" ht="43" customHeight="1">
      <c r="A203" s="10" t="n">
        <v>201</v>
      </c>
      <c r="B203" s="10" t="inlineStr">
        <is>
          <t>Collaudo: NTC 2018 (strutture e azioni sismiche)</t>
        </is>
      </c>
      <c r="C203" s="10" t="inlineStr">
        <is>
          <t>NTC 2018, §8.4.1</t>
        </is>
      </c>
      <c r="D203" s="10" t="inlineStr">
        <is>
          <t>su un edificio esistente l'intervento è locale: verifica limitata alle parti interessate, senza ridurre la sicurezza preesistente</t>
        </is>
      </c>
      <c r="E203" s="10" t="inlineStr">
        <is>
          <t>NTC 2018, §8.4.1</t>
        </is>
      </c>
      <c r="F203" s="10" t="inlineStr">
        <is>
          <t>ricerca, cap. 16 (testi ufficiali e schede UNI, 2026-10-02)</t>
        </is>
      </c>
      <c r="G203" s="10" t="inlineStr">
        <is>
          <t>confermato</t>
        </is>
      </c>
      <c r="H203" s="10" t="inlineStr">
        <is>
          <t>tensione nelle putrelle sotto l'argano; freccia delle putrelle sotto l'argano</t>
        </is>
      </c>
      <c r="I203" s="11" t="n"/>
      <c r="J203" s="11" t="n"/>
      <c r="K203" s="11" t="n"/>
      <c r="L203" s="11" t="n"/>
      <c r="M203" s="11" t="n"/>
      <c r="N203" s="11" t="n"/>
    </row>
    <row r="204" ht="43" customHeight="1">
      <c r="A204" s="10" t="n">
        <v>202</v>
      </c>
      <c r="B204" s="10" t="inlineStr">
        <is>
          <t>Collaudo: NTC 2018 (strutture e azioni sismiche)</t>
        </is>
      </c>
      <c r="C204" s="10" t="inlineStr">
        <is>
          <t>NTC 2018, §11.4.1</t>
        </is>
      </c>
      <c r="D204" s="10" t="inlineStr">
        <is>
          <t>ancoranti per uso strutturale qualificati; con azioni sismiche categoria C2 per tutte le classi d'uso</t>
        </is>
      </c>
      <c r="E204" s="10" t="inlineStr">
        <is>
          <t>NTC 2018, §11.4.1</t>
        </is>
      </c>
      <c r="F204" s="10" t="inlineStr">
        <is>
          <t>ricerca, cap. 16 (testi ufficiali e schede UNI, 2026-10-02)</t>
        </is>
      </c>
      <c r="G204" s="10" t="inlineStr">
        <is>
          <t>confermato</t>
        </is>
      </c>
      <c r="H204" s="10" t="inlineStr">
        <is>
          <t>tensione nelle putrelle sotto l'argano; freccia delle putrelle sotto l'argano</t>
        </is>
      </c>
      <c r="I204" s="11" t="n"/>
      <c r="J204" s="11" t="n"/>
      <c r="K204" s="11" t="n"/>
      <c r="L204" s="11" t="n"/>
      <c r="M204" s="11" t="n"/>
      <c r="N204" s="11" t="n"/>
    </row>
    <row r="205" ht="108" customHeight="1">
      <c r="A205" s="10" t="n">
        <v>203</v>
      </c>
      <c r="B205" s="10" t="inlineStr">
        <is>
          <t>Collaudo: NTC 2018 (strutture e azioni sismiche)</t>
        </is>
      </c>
      <c r="C205" s="10" t="inlineStr">
        <is>
          <t>NTC 2018, §7.2.3–7.2.4</t>
        </is>
      </c>
      <c r="D205"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05" s="10" t="inlineStr">
        <is>
          <t>NTC 2018, §7.2.3–7.2.4</t>
        </is>
      </c>
      <c r="F205" s="10" t="inlineStr">
        <is>
          <t>ricerca, cap. 16 (testi ufficiali e schede UNI, 2026-10-02)</t>
        </is>
      </c>
      <c r="G205" s="10" t="inlineStr">
        <is>
          <t>confermato</t>
        </is>
      </c>
      <c r="H205" s="10" t="inlineStr">
        <is>
          <t>tensione nelle putrelle sotto l'argano; freccia delle putrelle sotto l'argano</t>
        </is>
      </c>
      <c r="I205" s="11" t="n"/>
      <c r="J205" s="11" t="n"/>
      <c r="K205" s="11" t="n"/>
      <c r="L205" s="11" t="n"/>
      <c r="M205" s="11" t="n"/>
      <c r="N205" s="11" t="n"/>
    </row>
    <row r="206" ht="43" customHeight="1">
      <c r="A206" s="10" t="n">
        <v>204</v>
      </c>
      <c r="B206" s="10" t="inlineStr">
        <is>
          <t>Collaudo: NTC 2018 (strutture e azioni sismiche)</t>
        </is>
      </c>
      <c r="C206" s="10" t="inlineStr">
        <is>
          <t>NTC 2018, Tab. 7.3.III e §7.3.6.3</t>
        </is>
      </c>
      <c r="D206" s="10" t="inlineStr">
        <is>
          <t>impianti: stabilità allo SLV per tutte le classi d'uso; nelle classi III e IV anche funzionamento allo SLO</t>
        </is>
      </c>
      <c r="E206" s="10" t="inlineStr">
        <is>
          <t>NTC 2018, Tab. 7.3.III e §7.3.6.3</t>
        </is>
      </c>
      <c r="F206" s="10" t="inlineStr">
        <is>
          <t>ricerca, cap. 16 (testi ufficiali e schede UNI, 2026-10-02)</t>
        </is>
      </c>
      <c r="G206" s="10" t="inlineStr">
        <is>
          <t>confermato</t>
        </is>
      </c>
      <c r="H206" s="10" t="inlineStr">
        <is>
          <t>tensione nelle putrelle sotto l'argano; freccia delle putrelle sotto l'argano</t>
        </is>
      </c>
      <c r="I206" s="11" t="n"/>
      <c r="J206" s="11" t="n"/>
      <c r="K206" s="11" t="n"/>
      <c r="L206" s="11" t="n"/>
      <c r="M206" s="11" t="n"/>
      <c r="N206" s="11" t="n"/>
    </row>
  </sheetData>
  <autoFilter ref="A1:N206"/>
  <dataValidations count="1">
    <dataValidation sqref="I3:I206"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COUNTIF(Voci!$G$3:$G$206,"da verificare")</f>
        <v/>
      </c>
    </row>
    <row r="5">
      <c r="A5" s="6" t="inlineStr">
        <is>
          <t>confermato</t>
        </is>
      </c>
      <c r="B5" s="6">
        <f>COUNTIF(Voci!$G$3:$G$206,"confermato")</f>
        <v/>
      </c>
    </row>
    <row r="6">
      <c r="A6" s="6" t="inlineStr">
        <is>
          <t>scelta del software</t>
        </is>
      </c>
      <c r="B6" s="6">
        <f>COUNTIF(Voci!$G$3:$G$206,"scelta del software")</f>
        <v/>
      </c>
    </row>
    <row r="7">
      <c r="A7" s="6" t="inlineStr">
        <is>
          <t>stima</t>
        </is>
      </c>
      <c r="B7" s="6">
        <f>COUNTIF(Voci!$G$3:$G$206,"stima")</f>
        <v/>
      </c>
    </row>
    <row r="8">
      <c r="A8" s="6" t="inlineStr">
        <is>
          <t>derivazione</t>
        </is>
      </c>
      <c r="B8" s="6">
        <f>COUNTIF(Voci!$G$3:$G$206,"derivazione")</f>
        <v/>
      </c>
    </row>
    <row r="9">
      <c r="A9" s="6" t="inlineStr">
        <is>
          <t>prassi di cantiere</t>
        </is>
      </c>
      <c r="B9" s="6">
        <f>COUNTIF(Voci!$G$3:$G$206,"prassi di cantiere")</f>
        <v/>
      </c>
    </row>
    <row r="10">
      <c r="A10" s="3" t="inlineStr">
        <is>
          <t>Totale voci</t>
        </is>
      </c>
      <c r="B10" s="3">
        <f>COUNTA(Voci!$A$3:$A$206)</f>
        <v/>
      </c>
    </row>
    <row r="12">
      <c r="A12" s="3" t="inlineStr">
        <is>
          <t>Esito</t>
        </is>
      </c>
    </row>
    <row r="13">
      <c r="A13" s="6" t="inlineStr">
        <is>
          <t>conforme</t>
        </is>
      </c>
      <c r="B13" s="6">
        <f>COUNTIF(Voci!$I$3:$I$206,"conforme")</f>
        <v/>
      </c>
    </row>
    <row r="14">
      <c r="A14" s="6" t="inlineStr">
        <is>
          <t>diverso</t>
        </is>
      </c>
      <c r="B14" s="6">
        <f>COUNTIF(Voci!$I$3:$I$206,"diverso")</f>
        <v/>
      </c>
    </row>
    <row r="15">
      <c r="A15" s="6" t="inlineStr">
        <is>
          <t>non applicabile</t>
        </is>
      </c>
      <c r="B15" s="6">
        <f>COUNTIF(Voci!$I$3:$I$206,"non applicabile")</f>
        <v/>
      </c>
    </row>
    <row r="16">
      <c r="A16" s="6" t="inlineStr">
        <is>
          <t>da compilare</t>
        </is>
      </c>
      <c r="B16" s="6">
        <f>COUNTBLANK(Voci!$I$3:$I$206)</f>
        <v/>
      </c>
    </row>
    <row r="18">
      <c r="A18" s="13" t="inlineStr">
        <is>
          <t>Conteggi sulle righe 3–206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2026-10-06T09:37:47Z</dcterms:created>
  <dcterms:modified xsi:type="dcterms:W3CDTF">2026-10-06T09:37:47Z</dcterms:modified>
</cp:coreProperties>
</file>