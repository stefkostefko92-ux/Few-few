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'Voci'!$A$1:$N$283</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8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147"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43" customHeight="1">
      <c r="A55" s="10" t="n">
        <v>53</v>
      </c>
      <c r="B55" s="10" t="inlineStr">
        <is>
          <t>Modello di calcolo</t>
        </is>
      </c>
      <c r="C55" s="10" t="inlineStr">
        <is>
          <t>Accelerazione di gravità</t>
        </is>
      </c>
      <c r="D55" s="10" t="inlineStr">
        <is>
          <t>g = 9,81 m/s² (anche come limite di 1 g)</t>
        </is>
      </c>
      <c r="E55" s="10" t="inlineStr">
        <is>
          <t>UNI EN 81-20:2020, 5.2.1.8.5 (g_n = 9,81 m/s²)</t>
        </is>
      </c>
      <c r="F55" s="10" t="inlineStr">
        <is>
          <t>UNI EN 81-20:2020, testo della norma, letto il 2026-10-06, p. 27</t>
        </is>
      </c>
      <c r="G55" s="10" t="inlineStr">
        <is>
          <t>confermato</t>
        </is>
      </c>
      <c r="H55" s="10" t="inlineStr">
        <is>
          <t>—</t>
        </is>
      </c>
      <c r="I55" s="11" t="n"/>
      <c r="J55" s="11" t="n"/>
      <c r="K55" s="11" t="n"/>
      <c r="L55" s="11" t="n"/>
      <c r="M55" s="11" t="n"/>
      <c r="N55" s="11" t="n"/>
    </row>
    <row r="56" ht="69" customHeight="1">
      <c r="A56" s="10" t="n">
        <v>54</v>
      </c>
      <c r="B56" s="10" t="inlineStr">
        <is>
          <t>Modello di calcolo</t>
        </is>
      </c>
      <c r="C56" s="10" t="inlineStr">
        <is>
          <t>Tiri con il metodo del percorso della fune — Il fattore (r² + 2)/3 vale esattamente r per le taglie 1:1 e 2:1, le sole del software.</t>
        </is>
      </c>
      <c r="D56" s="10" t="inlineStr">
        <is>
          <t>masse per lato, funi di ogni tratto con il fattore (r² + 2)/3, inerzia delle pulegge di rinvio e, in taglia 2:1, delle pulegge di cabina e di contrappeso (termine III); attrito di guide e pulegge trascurato in aderenza</t>
        </is>
      </c>
      <c r="E56" s="10" t="inlineStr">
        <is>
          <t>UNI EN 81-50:2020, 5.11.3</t>
        </is>
      </c>
      <c r="F56" s="10" t="inlineStr">
        <is>
          <t>UNI EN 81-50:2020, testo della norma, letto il 2026-10-06, pp. 43–44</t>
        </is>
      </c>
      <c r="G56" s="10" t="inlineStr">
        <is>
          <t>confermato</t>
        </is>
      </c>
      <c r="H56" s="10" t="inlineStr">
        <is>
          <t>aderenza al caricamento; aderenza in frenatura, in discesa; aderenza in frenatura, in salita; aderenza alla decelerazione reale (avviso); cabina bloccata</t>
        </is>
      </c>
      <c r="I56" s="11" t="n"/>
      <c r="J56" s="11" t="n"/>
      <c r="K56" s="11" t="n"/>
      <c r="L56" s="11" t="n"/>
      <c r="M56" s="11" t="n"/>
      <c r="N56" s="11" t="n"/>
    </row>
    <row r="57" ht="108" customHeight="1">
      <c r="A57" s="10" t="n">
        <v>55</v>
      </c>
      <c r="B57" s="10" t="inlineStr">
        <is>
          <t>Modello di calcolo</t>
        </is>
      </c>
      <c r="C57"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7" s="10" t="inlineStr">
        <is>
          <t>una puleggia per lato, con l’inerzia J_p e il diametro D_p delle pulegge di rinvio: massa ridotta J_p/R_p², con l’accelerazione della cabina divisa per r, nei tiri e nell’inerzia riportata al motore</t>
        </is>
      </c>
      <c r="E57" s="10" t="inlineStr">
        <is>
          <t>UNI EN 81-50:2020, 5.11.3 (termine III)</t>
        </is>
      </c>
      <c r="F57" s="10" t="inlineStr">
        <is>
          <t>UNI EN 81-50:2020, testo della norma, letto il 2026-10-06, pp. 43–44; numero e inerzia delle pulegge: scelta del software</t>
        </is>
      </c>
      <c r="G57" s="10" t="inlineStr">
        <is>
          <t>scelta del software</t>
        </is>
      </c>
      <c r="H57" s="10" t="inlineStr">
        <is>
          <t>aderenza in frenatura, in discesa; aderenza in frenatura, in salita; aderenza alla decelerazione reale (avviso)</t>
        </is>
      </c>
      <c r="I57" s="11" t="n"/>
      <c r="J57" s="11" t="n"/>
      <c r="K57" s="11" t="n"/>
      <c r="L57" s="11" t="n"/>
      <c r="M57" s="11" t="n"/>
      <c r="N57" s="11" t="n"/>
    </row>
    <row r="58" ht="69" customHeight="1">
      <c r="A58" s="10" t="n">
        <v>56</v>
      </c>
      <c r="B58" s="10" t="inlineStr">
        <is>
          <t>Modello di calcolo</t>
        </is>
      </c>
      <c r="C58" s="10" t="inlineStr">
        <is>
          <t>Macchina in basso: tratto tra la macchina e le pulegge in testata — Il testo stampa a in entrambe le edizioni; a 1:1 le due forme coincidono.</t>
        </is>
      </c>
      <c r="D58" s="10" t="inlineStr">
        <is>
          <t>con l’accelerazione a della cabina, come stampato nella norma; nella taglia 2:1 il software mostra anche l’esito con r·a, l’accelerazione fisica di quel tratto: «Attenzione» se supera il limite, mai «Non soddisfatta»</t>
        </is>
      </c>
      <c r="E58" s="10" t="inlineStr">
        <is>
          <t>UNI EN 81-50:2020, 5.11.3 (MSR1)</t>
        </is>
      </c>
      <c r="F58" s="10" t="inlineStr">
        <is>
          <t>UNI EN 81-50:2020, testo della norma, letto il 2026-10-06, p. 44</t>
        </is>
      </c>
      <c r="G58" s="10" t="inlineStr">
        <is>
          <t>confermato</t>
        </is>
      </c>
      <c r="H58" s="10" t="inlineStr">
        <is>
          <t>aderenza in frenatura, in discesa; aderenza in frenatura, in salita; tratto macchina–testata a r·a (avviso)</t>
        </is>
      </c>
      <c r="I58" s="11" t="n"/>
      <c r="J58" s="11" t="n"/>
      <c r="K58" s="11" t="n"/>
      <c r="L58" s="11" t="n"/>
      <c r="M58" s="11" t="n"/>
      <c r="N58" s="11" t="n"/>
    </row>
    <row r="59" ht="82" customHeight="1">
      <c r="A59" s="10" t="n">
        <v>57</v>
      </c>
      <c r="B59" s="10" t="inlineStr">
        <is>
          <t>Modello di calcolo</t>
        </is>
      </c>
      <c r="C59" s="10" t="inlineStr">
        <is>
          <t>Velocità nominale e compensazione</t>
        </is>
      </c>
      <c r="D59" s="10" t="inlineStr">
        <is>
          <t>oltre 1,75 m/s i mezzi di compensazione senza tensionamento vanno guidati vicino all’ansa («Attenzione»); oltre 3 m/s servono funi di compensazione con puleggia tenditrice, che il modello non contiene («Non soddisfatta»: fuori dal campo del software)</t>
        </is>
      </c>
      <c r="E59" s="10" t="inlineStr">
        <is>
          <t>UNI EN 81-20:2020, 5.5.6.1 a)–d)</t>
        </is>
      </c>
      <c r="F59" s="10" t="inlineStr">
        <is>
          <t>UNI EN 81-20:2020, testo della norma, letto il 2026-10-06, p. 76</t>
        </is>
      </c>
      <c r="G59" s="10" t="inlineStr">
        <is>
          <t>confermato</t>
        </is>
      </c>
      <c r="H59" s="10" t="inlineStr">
        <is>
          <t>velocità e compensazione</t>
        </is>
      </c>
      <c r="I59" s="11" t="n"/>
      <c r="J59" s="11" t="n"/>
      <c r="K59" s="11" t="n"/>
      <c r="L59" s="11" t="n"/>
      <c r="M59" s="11" t="n"/>
      <c r="N59" s="11" t="n"/>
    </row>
    <row r="60" ht="121" customHeight="1">
      <c r="A60" s="10" t="n">
        <v>58</v>
      </c>
      <c r="B60" s="10" t="inlineStr">
        <is>
          <t>Modello di calcolo</t>
        </is>
      </c>
      <c r="C60"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0" s="10" t="inlineStr">
        <is>
          <t>non modellati a parte: la loro massa sul lato cabina entra in P</t>
        </is>
      </c>
      <c r="E60" s="10" t="inlineStr">
        <is>
          <t>UNI EN 81-50:2020, 5.11.3</t>
        </is>
      </c>
      <c r="F60" s="10" t="inlineStr">
        <is>
          <t>limite del modello attuale</t>
        </is>
      </c>
      <c r="G60" s="10" t="inlineStr">
        <is>
          <t>scelta del software</t>
        </is>
      </c>
      <c r="H60" s="10" t="inlineStr">
        <is>
          <t>—</t>
        </is>
      </c>
      <c r="I60" s="11" t="n"/>
      <c r="J60" s="11" t="n"/>
      <c r="K60" s="11" t="n"/>
      <c r="L60" s="11" t="n"/>
      <c r="M60" s="11" t="n"/>
      <c r="N60" s="11" t="n"/>
    </row>
    <row r="61" ht="30" customHeight="1">
      <c r="A61" s="10" t="n">
        <v>59</v>
      </c>
      <c r="B61" s="10" t="inlineStr">
        <is>
          <t>Modello di calcolo</t>
        </is>
      </c>
      <c r="C61" s="10" t="inlineStr">
        <is>
          <t>Analisi di sensibilità</t>
        </is>
      </c>
      <c r="D61" s="10" t="inlineStr">
        <is>
          <t>P ±10%; k ±0,05 se il carico di equilibrio non è misurato</t>
        </is>
      </c>
      <c r="E61" s="10" t="inlineStr">
        <is>
          <t>—</t>
        </is>
      </c>
      <c r="F61" s="10" t="inlineStr">
        <is>
          <t>scelta del software (incertezza tipica del rilievo)</t>
        </is>
      </c>
      <c r="G61" s="10" t="inlineStr">
        <is>
          <t>scelta del software</t>
        </is>
      </c>
      <c r="H61" s="10" t="inlineStr">
        <is>
          <t>—</t>
        </is>
      </c>
      <c r="I61" s="11" t="n"/>
      <c r="J61" s="11" t="n"/>
      <c r="K61" s="11" t="n"/>
      <c r="L61" s="11" t="n"/>
      <c r="M61" s="11" t="n"/>
      <c r="N61" s="11" t="n"/>
    </row>
    <row r="62" ht="134" customHeight="1">
      <c r="A62" s="10" t="n">
        <v>60</v>
      </c>
      <c r="B62" s="10" t="inlineStr">
        <is>
          <t>Vano: cabina e portata</t>
        </is>
      </c>
      <c r="C6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2" s="10" t="inlineStr">
        <is>
          <t>UNI EN 81-20:2020, 5.4.2.1.1 (Prospetto 6)</t>
        </is>
      </c>
      <c r="F62" s="10" t="inlineStr">
        <is>
          <t>UNI EN 81-20:2020, testo della norma, letto il 2026-10-06, pp. 63–64</t>
        </is>
      </c>
      <c r="G62" s="10" t="inlineStr">
        <is>
          <t>confermato</t>
        </is>
      </c>
      <c r="H62" s="10" t="inlineStr">
        <is>
          <t>superficie della cabina per la portata</t>
        </is>
      </c>
      <c r="I62" s="11" t="n"/>
      <c r="J62" s="11" t="n"/>
      <c r="K62" s="11" t="n"/>
      <c r="L62" s="11" t="n"/>
      <c r="M62" s="11" t="n"/>
      <c r="N62" s="11" t="n"/>
    </row>
    <row r="63" ht="95" customHeight="1">
      <c r="A63" s="10" t="n">
        <v>61</v>
      </c>
      <c r="B63" s="10" t="inlineStr">
        <is>
          <t>Vano: cabina e portata</t>
        </is>
      </c>
      <c r="C63" s="10" t="inlineStr">
        <is>
          <t>Numero di passeggeri</t>
        </is>
      </c>
      <c r="D6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3" s="10" t="inlineStr">
        <is>
          <t>UNI EN 81-20:2020, 5.4.2.3.1 (Prospetto 8)</t>
        </is>
      </c>
      <c r="F63" s="10" t="inlineStr">
        <is>
          <t>UNI EN 81-20:2020, testo della norma, letto il 2026-10-06, p. 66</t>
        </is>
      </c>
      <c r="G63" s="10" t="inlineStr">
        <is>
          <t>confermato</t>
        </is>
      </c>
      <c r="H63" s="10" t="inlineStr">
        <is>
          <t>—</t>
        </is>
      </c>
      <c r="I63" s="11" t="n"/>
      <c r="J63" s="11" t="n"/>
      <c r="K63" s="11" t="n"/>
      <c r="L63" s="11" t="n"/>
      <c r="M63" s="11" t="n"/>
      <c r="N63" s="11" t="n"/>
    </row>
    <row r="64" ht="186" customHeight="1">
      <c r="A64" s="10" t="n">
        <v>62</v>
      </c>
      <c r="B64" s="10" t="inlineStr">
        <is>
          <t>Vano: distanze in pianta</t>
        </is>
      </c>
      <c r="C6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4" s="10" t="inlineStr">
        <is>
          <t>distanza orizzontale dalla soglia o dal telaio della porta di cabina ≤ 150 mm (qui: profondità della porta di piano + gioco tra le soglie)</t>
        </is>
      </c>
      <c r="E64" s="10" t="inlineStr">
        <is>
          <t>UNI EN 81-20:2020, 5.2.5.3.1</t>
        </is>
      </c>
      <c r="F64" s="10" t="inlineStr">
        <is>
          <t>UNI EN 81-20:2020, testo della norma, letto il 2026-10-06, p. 33</t>
        </is>
      </c>
      <c r="G64" s="10" t="inlineStr">
        <is>
          <t>confermato</t>
        </is>
      </c>
      <c r="H64" s="10" t="inlineStr">
        <is>
          <t>parete di fronte all’entrata</t>
        </is>
      </c>
      <c r="I64" s="11" t="n"/>
      <c r="J64" s="11" t="n"/>
      <c r="K64" s="11" t="n"/>
      <c r="L64" s="11" t="n"/>
      <c r="M64" s="11" t="n"/>
      <c r="N64" s="11" t="n"/>
    </row>
    <row r="65" ht="95" customHeight="1">
      <c r="A65" s="10" t="n">
        <v>63</v>
      </c>
      <c r="B65" s="10" t="inlineStr">
        <is>
          <t>Vano: distanze in pianta</t>
        </is>
      </c>
      <c r="C65" s="10" t="inlineStr">
        <is>
          <t>Gioco tra soglia di cabina e soglia di piano — Non calcolato: tra il bordo d’attacco delle ante di cabina e le porte di piano al massimo 0,12 m (5.3.4.2; 11.2.3 nella UNI EN 81-1:2008), dato del fornitore delle porte.</t>
        </is>
      </c>
      <c r="D65" s="10" t="inlineStr">
        <is>
          <t>distanza orizzontale ≤ 35 mm</t>
        </is>
      </c>
      <c r="E65" s="10" t="inlineStr">
        <is>
          <t>UNI EN 81-20:2020, 5.3.4.1 (figura 3); 11.2.2 nella UNI EN 81-1 (1999, 2008)</t>
        </is>
      </c>
      <c r="F65" s="10" t="inlineStr">
        <is>
          <t>UNI EN 81-20:2020, testo della norma, letto il 2026-10-06, p. 50</t>
        </is>
      </c>
      <c r="G65" s="10" t="inlineStr">
        <is>
          <t>confermato</t>
        </is>
      </c>
      <c r="H65" s="10" t="inlineStr">
        <is>
          <t>gioco tra le soglie</t>
        </is>
      </c>
      <c r="I65" s="11" t="n"/>
      <c r="J65" s="11" t="n"/>
      <c r="K65" s="11" t="n"/>
      <c r="L65" s="11" t="n"/>
      <c r="M65" s="11" t="n"/>
      <c r="N65" s="11" t="n"/>
    </row>
    <row r="66" ht="69" customHeight="1">
      <c r="A66" s="10" t="n">
        <v>64</v>
      </c>
      <c r="B66" s="10" t="inlineStr">
        <is>
          <t>Vano: distanze in pianta</t>
        </is>
      </c>
      <c r="C66" s="10" t="inlineStr">
        <is>
          <t>Distanza tra cabina e contrappeso — il software misura tra le sagome di cabina e contrappeso: pattini e staffe non sono nel modello della pianta</t>
        </is>
      </c>
      <c r="D66" s="10" t="inlineStr">
        <is>
          <t>≥ 50 mm tra la cabina con i suoi componenti e il contrappeso con i suoi</t>
        </is>
      </c>
      <c r="E66" s="10" t="inlineStr">
        <is>
          <t>UNI EN 81-20:2020, 5.2.5.5.1 h)</t>
        </is>
      </c>
      <c r="F66" s="10" t="inlineStr">
        <is>
          <t>UNI EN 81-20:2020, testo della norma, letto il 2026-10-06, p. 35</t>
        </is>
      </c>
      <c r="G66" s="10" t="inlineStr">
        <is>
          <t>confermato</t>
        </is>
      </c>
      <c r="H66" s="10" t="inlineStr">
        <is>
          <t>distanza cabina–contrappeso</t>
        </is>
      </c>
      <c r="I66" s="11" t="n"/>
      <c r="J66" s="11" t="n"/>
      <c r="K66" s="11" t="n"/>
      <c r="L66" s="11" t="n"/>
      <c r="M66" s="11" t="n"/>
      <c r="N66" s="11" t="n"/>
    </row>
    <row r="67" ht="199" customHeight="1">
      <c r="A67" s="10" t="n">
        <v>65</v>
      </c>
      <c r="B67" s="10" t="inlineStr">
        <is>
          <t>Vano: distanze in pianta</t>
        </is>
      </c>
      <c r="C67" s="10" t="inlineStr">
        <is>
          <t>Pareti all’ultimo piano e in testata diverse dal piano principale</t>
        </is>
      </c>
      <c r="D6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7" s="10" t="inlineStr">
        <is>
          <t>UNI EN 81-20:2020, 5.2.5.3.1 (parete di fronte all’entrata); il resto scelta del software</t>
        </is>
      </c>
      <c r="F67" s="10" t="inlineStr">
        <is>
          <t>scelta del software: il margine di marcia va confermato con l’installatore</t>
        </is>
      </c>
      <c r="G67" s="10" t="inlineStr">
        <is>
          <t>scelta del software</t>
        </is>
      </c>
      <c r="H67" s="10" t="inlineStr">
        <is>
          <t>pareti in testata diverse dal piano principale</t>
        </is>
      </c>
      <c r="I67" s="11" t="n"/>
      <c r="J67" s="11" t="n"/>
      <c r="K67" s="11" t="n"/>
      <c r="L67" s="11" t="n"/>
      <c r="M67" s="11" t="n"/>
      <c r="N67" s="11" t="n"/>
    </row>
    <row r="68" ht="69" customHeight="1">
      <c r="A68" s="10" t="n">
        <v>66</v>
      </c>
      <c r="B68" s="10" t="inlineStr">
        <is>
          <t>Vano: accessibilità (DM 236/1989)</t>
        </is>
      </c>
      <c r="C68" s="10" t="inlineStr">
        <is>
          <t>Edifici residenziali nuovi: cabina e porta minime</t>
        </is>
      </c>
      <c r="D68" s="10" t="inlineStr">
        <is>
          <t>cabina larga 950 mm e profonda 1300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69" customHeight="1">
      <c r="A69" s="10" t="n">
        <v>67</v>
      </c>
      <c r="B69" s="10" t="inlineStr">
        <is>
          <t>Vano: accessibilità (DM 236/1989)</t>
        </is>
      </c>
      <c r="C69" s="10" t="inlineStr">
        <is>
          <t>Edifici non residenziali nuovi: cabina e porta minime</t>
        </is>
      </c>
      <c r="D69" s="10" t="inlineStr">
        <is>
          <t>cabina larga 1100 mm e profonda 1400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134" customHeight="1">
      <c r="A70" s="10" t="n">
        <v>68</v>
      </c>
      <c r="B70" s="10" t="inlineStr">
        <is>
          <t>Vano: accessibilità (DM 236/1989)</t>
        </is>
      </c>
      <c r="C70" s="10" t="inlineStr">
        <is>
          <t>Adeguamento di edifici esistenti: cabina e porta minime — Per un ascensore nuovo in un edificio esistente il caso è a) o b) secondo la destinazione; il c) è l’eccezione, scelta dal progettista.</t>
        </is>
      </c>
      <c r="D70"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0" s="10" t="inlineStr">
        <is>
          <t>DM 236/1989, 8.1.12 c)</t>
        </is>
      </c>
      <c r="F70" s="10" t="inlineStr">
        <is>
          <t>DM 236/1989, 8.1.12, letto per intero su Normattiva il 2026-10-02 (ricerca, cap. 16, §4.1)</t>
        </is>
      </c>
      <c r="G70" s="10" t="inlineStr">
        <is>
          <t>confermato</t>
        </is>
      </c>
      <c r="H70" s="10" t="inlineStr">
        <is>
          <t>cabina minima (DM 236/1989); porta minima (DM 236/1989); porta sul lato corto; motivazione del caso c) (DM 236/1989); pulsanti più alti delle bottoniere (DM 236/1989)</t>
        </is>
      </c>
      <c r="I70" s="11" t="n"/>
      <c r="J70" s="11" t="n"/>
      <c r="K70" s="11" t="n"/>
      <c r="L70" s="11" t="n"/>
      <c r="M70" s="11" t="n"/>
      <c r="N70" s="11" t="n"/>
    </row>
    <row r="71" ht="43" customHeight="1">
      <c r="A71" s="10" t="n">
        <v>69</v>
      </c>
      <c r="B71" s="10" t="inlineStr">
        <is>
          <t>Vano: porte</t>
        </is>
      </c>
      <c r="C71" s="10" t="inlineStr">
        <is>
          <t>Ingombro della porta di piano lungo la parete del vano</t>
        </is>
      </c>
      <c r="D71" s="10" t="inlineStr">
        <is>
          <t>telescopica a 2 ante: 1,5·L + 110 mm; centrale a 2 ante: 2·L + 110 mm (L = luce netta)</t>
        </is>
      </c>
      <c r="E71" s="10" t="inlineStr">
        <is>
          <t>dato del fornitore delle porte</t>
        </is>
      </c>
      <c r="F71" s="10" t="inlineStr">
        <is>
          <t>valori tipici: scelta del software da confermare con il fornitore</t>
        </is>
      </c>
      <c r="G71" s="10" t="inlineStr">
        <is>
          <t>scelta del software</t>
        </is>
      </c>
      <c r="H71" s="10" t="inlineStr">
        <is>
          <t>ingombro della porta di piano</t>
        </is>
      </c>
      <c r="I71" s="11" t="n"/>
      <c r="J71" s="11" t="n"/>
      <c r="K71" s="11" t="n"/>
      <c r="L71" s="11" t="n"/>
      <c r="M71" s="11" t="n"/>
      <c r="N71" s="11" t="n"/>
    </row>
    <row r="72" ht="30" customHeight="1">
      <c r="A72" s="10" t="n">
        <v>70</v>
      </c>
      <c r="B72" s="10" t="inlineStr">
        <is>
          <t>Vano: porte</t>
        </is>
      </c>
      <c r="C72" s="10" t="inlineStr">
        <is>
          <t>Larghezza della cabina rispetto alla porta</t>
        </is>
      </c>
      <c r="D72" s="10" t="inlineStr">
        <is>
          <t>larghezza interna ≥ luce della porta + 50 mm; profondità interna ≥ 800 mm</t>
        </is>
      </c>
      <c r="E72" s="10" t="inlineStr">
        <is>
          <t>—</t>
        </is>
      </c>
      <c r="F72" s="10" t="inlineStr">
        <is>
          <t>scelta del software</t>
        </is>
      </c>
      <c r="G72" s="10" t="inlineStr">
        <is>
          <t>scelta del software</t>
        </is>
      </c>
      <c r="H72" s="10" t="inlineStr">
        <is>
          <t>la cabina entra nel vano</t>
        </is>
      </c>
      <c r="I72" s="11" t="n"/>
      <c r="J72" s="11" t="n"/>
      <c r="K72" s="11" t="n"/>
      <c r="L72" s="11" t="n"/>
      <c r="M72" s="11" t="n"/>
      <c r="N72" s="11" t="n"/>
    </row>
    <row r="73" ht="342" customHeight="1">
      <c r="A73" s="10" t="n">
        <v>71</v>
      </c>
      <c r="B73" s="10" t="inlineStr">
        <is>
          <t>Vano: porte</t>
        </is>
      </c>
      <c r="C73" s="10" t="inlineStr">
        <is>
          <t>Vano porta di piano e operatore della porta di cabina</t>
        </is>
      </c>
      <c r="D7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3" s="10" t="inlineStr">
        <is>
          <t>dato del fornitore delle porte</t>
        </is>
      </c>
      <c r="F7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3" s="10" t="inlineStr">
        <is>
          <t>stima</t>
        </is>
      </c>
      <c r="H73" s="10" t="inlineStr">
        <is>
          <t>ingombro della porta di piano; ingombro della seconda porta di piano; operatori delle porte adiacenti</t>
        </is>
      </c>
      <c r="I73" s="11" t="n"/>
      <c r="J73" s="11" t="n"/>
      <c r="K73" s="11" t="n"/>
      <c r="L73" s="11" t="n"/>
      <c r="M73" s="11" t="n"/>
      <c r="N73" s="11" t="n"/>
    </row>
    <row r="74" ht="134" customHeight="1">
      <c r="A74" s="10" t="n">
        <v>72</v>
      </c>
      <c r="B74" s="10" t="inlineStr">
        <is>
          <t>Vano: porte</t>
        </is>
      </c>
      <c r="C7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4" s="10" t="inlineStr">
        <is>
          <t>UNI EN 81-20:2020, 5.3.2.2</t>
        </is>
      </c>
      <c r="F74" s="10" t="inlineStr">
        <is>
          <t>UNI EN 81-20:2020, testo della norma, letto il 2026-10-06, p. 49</t>
        </is>
      </c>
      <c r="G74" s="10" t="inlineStr">
        <is>
          <t>confermato</t>
        </is>
      </c>
      <c r="H74" s="10" t="inlineStr">
        <is>
          <t>disassamento della porta di piano A; disassamento della porta di piano B</t>
        </is>
      </c>
      <c r="I74" s="11" t="n"/>
      <c r="J74" s="11" t="n"/>
      <c r="K74" s="11" t="n"/>
      <c r="L74" s="11" t="n"/>
      <c r="M74" s="11" t="n"/>
      <c r="N74" s="11" t="n"/>
    </row>
    <row r="75" ht="108" customHeight="1">
      <c r="A75" s="10" t="n">
        <v>73</v>
      </c>
      <c r="B75" s="10" t="inlineStr">
        <is>
          <t>Vano: porte</t>
        </is>
      </c>
      <c r="C75" s="10" t="inlineStr">
        <is>
          <t>Bottoniera di piano</t>
        </is>
      </c>
      <c r="D75"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5" s="10" t="inlineStr">
        <is>
          <t>DM 236/1989, 8.1.12 (pulsanti più alti tra 1,10 e 1,40 m); UNI EN 81-70:2005, prospetto 2 (sul pianerottolo il pulsante più alto a non oltre 1,10 m, ogni pulsante ad almeno 0,90 m e ad almeno 0,50 m da un angolo fra pareti: da verificare in sito)</t>
        </is>
      </c>
      <c r="F75" s="10" t="inlineStr">
        <is>
          <t>scelta del software</t>
        </is>
      </c>
      <c r="G75" s="10" t="inlineStr">
        <is>
          <t>scelta del software</t>
        </is>
      </c>
      <c r="H75" s="10" t="inlineStr">
        <is>
          <t>—</t>
        </is>
      </c>
      <c r="I75" s="11" t="n"/>
      <c r="J75" s="11" t="n"/>
      <c r="K75" s="11" t="n"/>
      <c r="L75" s="11" t="n"/>
      <c r="M75" s="11" t="n"/>
      <c r="N75" s="11" t="n"/>
    </row>
    <row r="76" ht="186" customHeight="1">
      <c r="A76" s="10" t="n">
        <v>74</v>
      </c>
      <c r="B76" s="10" t="inlineStr">
        <is>
          <t>Vano: porte</t>
        </is>
      </c>
      <c r="C76" s="10" t="inlineStr">
        <is>
          <t>Imbotti della porta di piano (sostituzione con una luce più piccola) — Montanti e pannelli accanto alla porta più larghi di 150 mm che chiudono l’apertura vanno con la prova del pendolo della porta (UNI EN 81-20:2020, 5.3.5.3.4): la copre il fornitore.</t>
        </is>
      </c>
      <c r="D7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6" s="10" t="inlineStr">
        <is>
          <t>dato del fornitore delle porte (imbotti su misura)</t>
        </is>
      </c>
      <c r="F76" s="10" t="inlineStr">
        <is>
          <t>scelta del software</t>
        </is>
      </c>
      <c r="G76" s="10" t="inlineStr">
        <is>
          <t>scelta del software</t>
        </is>
      </c>
      <c r="H76" s="10" t="inlineStr">
        <is>
          <t>—</t>
        </is>
      </c>
      <c r="I76" s="11" t="n"/>
      <c r="J76" s="11" t="n"/>
      <c r="K76" s="11" t="n"/>
      <c r="L76" s="11" t="n"/>
      <c r="M76" s="11" t="n"/>
      <c r="N76" s="11" t="n"/>
    </row>
    <row r="77" ht="316" customHeight="1">
      <c r="A77" s="10" t="n">
        <v>75</v>
      </c>
      <c r="B77" s="10" t="inlineStr">
        <is>
          <t>Vano: porte</t>
        </is>
      </c>
      <c r="C77" s="10" t="inlineStr">
        <is>
          <t>Telaio proprio delle porte di piano</t>
        </is>
      </c>
      <c r="D7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7" s="10" t="inlineStr">
        <is>
          <t>dato del fornitore delle porte</t>
        </is>
      </c>
      <c r="F7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7" s="10" t="inlineStr">
        <is>
          <t>scelta del software</t>
        </is>
      </c>
      <c r="H77" s="10" t="inlineStr">
        <is>
          <t>le ante della porta di piano dietro il suo telaio</t>
        </is>
      </c>
      <c r="I77" s="11" t="n"/>
      <c r="J77" s="11" t="n"/>
      <c r="K77" s="11" t="n"/>
      <c r="L77" s="11" t="n"/>
      <c r="M77" s="11" t="n"/>
      <c r="N77" s="11" t="n"/>
    </row>
    <row r="78" ht="82" customHeight="1">
      <c r="A78" s="10" t="n">
        <v>76</v>
      </c>
      <c r="B78" s="10" t="inlineStr">
        <is>
          <t>Vano: porte</t>
        </is>
      </c>
      <c r="C78" s="10" t="inlineStr">
        <is>
          <t>Porte di soccorso tra due porte di piano lontane — il software non modella le porte di soccorso né le cabine adiacenti: oltre 11 m la verifica non passa e il progetto va completato a parte</t>
        </is>
      </c>
      <c r="D78" s="10" t="inlineStr">
        <is>
          <t>più di 11000 mm tra le soglie di due porte di piano consecutive (piani contigui con porte, qualunque accesso): porte di soccorso intermedie alte almeno 1800 mm e larghe almeno 500 mm, oppure cabine adiacenti con porta di soccorso</t>
        </is>
      </c>
      <c r="E78" s="10" t="inlineStr">
        <is>
          <t>UNI EN 81-20:2020, 5.2.3.1 e 5.2.3.2 d)</t>
        </is>
      </c>
      <c r="F78" s="10" t="inlineStr">
        <is>
          <t>UNI EN 81-20:2020, testo della norma, letto il 2026-10-06, p. 29</t>
        </is>
      </c>
      <c r="G78" s="10" t="inlineStr">
        <is>
          <t>confermato</t>
        </is>
      </c>
      <c r="H78" s="10" t="inlineStr">
        <is>
          <t>porte di soccorso oltre 11 m tra due porte di piano</t>
        </is>
      </c>
      <c r="I78" s="11" t="n"/>
      <c r="J78" s="11" t="n"/>
      <c r="K78" s="11" t="n"/>
      <c r="L78" s="11" t="n"/>
      <c r="M78" s="11" t="n"/>
      <c r="N78" s="11" t="n"/>
    </row>
    <row r="79" ht="186" customHeight="1">
      <c r="A79" s="10" t="n">
        <v>77</v>
      </c>
      <c r="B79" s="10" t="inlineStr">
        <is>
          <t>Vano: porte</t>
        </is>
      </c>
      <c r="C79"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79"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79" s="10" t="inlineStr">
        <is>
          <t>UNI EN 81-20:2020, 5.2.5.3.2 e 5.3.8.1</t>
        </is>
      </c>
      <c r="F79" s="10" t="inlineStr">
        <is>
          <t>UNI EN 81-20:2020, testo della norma, letto il 2026-10-06, pp. 34, 58</t>
        </is>
      </c>
      <c r="G79" s="10" t="inlineStr">
        <is>
          <t>confermato</t>
        </is>
      </c>
      <c r="H79" s="10" t="inlineStr">
        <is>
          <t>lamiera sotto la soglia di piano</t>
        </is>
      </c>
      <c r="I79" s="11" t="n"/>
      <c r="J79" s="11" t="n"/>
      <c r="K79" s="11" t="n"/>
      <c r="L79" s="11" t="n"/>
      <c r="M79" s="11" t="n"/>
      <c r="N79" s="11" t="n"/>
    </row>
    <row r="80" ht="199" customHeight="1">
      <c r="A80" s="10" t="n">
        <v>78</v>
      </c>
      <c r="B80" s="10" t="inlineStr">
        <is>
          <t>Vano: ingombri tipici</t>
        </is>
      </c>
      <c r="C80"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0"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0" s="10" t="inlineStr">
        <is>
          <t>dati del costruttore di guide, porte e cabina</t>
        </is>
      </c>
      <c r="F80" s="10" t="inlineStr">
        <is>
          <t>valori tipici: scelta del software</t>
        </is>
      </c>
      <c r="G80" s="10" t="inlineStr">
        <is>
          <t>scelta del software</t>
        </is>
      </c>
      <c r="H80" s="10" t="inlineStr">
        <is>
          <t>la cabina entra nel vano</t>
        </is>
      </c>
      <c r="I80" s="11" t="n"/>
      <c r="J80" s="11" t="n"/>
      <c r="K80" s="11" t="n"/>
      <c r="L80" s="11" t="n"/>
      <c r="M80" s="11" t="n"/>
      <c r="N80" s="11" t="n"/>
    </row>
    <row r="81" ht="147" customHeight="1">
      <c r="A81" s="10" t="n">
        <v>79</v>
      </c>
      <c r="B81" s="10" t="inlineStr">
        <is>
          <t>Vano: ingombri tipici</t>
        </is>
      </c>
      <c r="C81" s="10" t="inlineStr">
        <is>
          <t>Contrappeso laterale</t>
        </is>
      </c>
      <c r="D81"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1" s="10" t="inlineStr">
        <is>
          <t>—</t>
        </is>
      </c>
      <c r="F81" s="10" t="inlineStr">
        <is>
          <t>scelta del software</t>
        </is>
      </c>
      <c r="G81" s="10" t="inlineStr">
        <is>
          <t>scelta del software</t>
        </is>
      </c>
      <c r="H81" s="10" t="inlineStr">
        <is>
          <t>lunghezza del contrappeso</t>
        </is>
      </c>
      <c r="I81" s="11" t="n"/>
      <c r="J81" s="11" t="n"/>
      <c r="K81" s="11" t="n"/>
      <c r="L81" s="11" t="n"/>
      <c r="M81" s="11" t="n"/>
      <c r="N81" s="11" t="n"/>
    </row>
    <row r="82" ht="147" customHeight="1">
      <c r="A82" s="10" t="n">
        <v>80</v>
      </c>
      <c r="B82" s="10" t="inlineStr">
        <is>
          <t>Vano: ingombri tipici</t>
        </is>
      </c>
      <c r="C82" s="10" t="inlineStr">
        <is>
          <t>Arcata a zaino (due accessi adiacenti a 90°)</t>
        </is>
      </c>
      <c r="D82"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2" s="10" t="inlineStr">
        <is>
          <t>—</t>
        </is>
      </c>
      <c r="F82" s="10" t="inlineStr">
        <is>
          <t>scelta del software (principio: cataloghi di arcate a zaino); disposizione da confermare con il fornitore dell’arcata</t>
        </is>
      </c>
      <c r="G82" s="10" t="inlineStr">
        <is>
          <t>scelta del software</t>
        </is>
      </c>
      <c r="H82" s="10" t="inlineStr">
        <is>
          <t>—</t>
        </is>
      </c>
      <c r="I82" s="11" t="n"/>
      <c r="J82" s="11" t="n"/>
      <c r="K82" s="11" t="n"/>
      <c r="L82" s="11" t="n"/>
      <c r="M82" s="11" t="n"/>
      <c r="N82" s="11" t="n"/>
    </row>
    <row r="83" ht="212" customHeight="1">
      <c r="A83" s="10" t="n">
        <v>81</v>
      </c>
      <c r="B83" s="10" t="inlineStr">
        <is>
          <t>Vano: ingombri tipici</t>
        </is>
      </c>
      <c r="C83" s="10" t="inlineStr">
        <is>
          <t>Nicchie nelle pareti del vano</t>
        </is>
      </c>
      <c r="D83"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3" s="10" t="inlineStr">
        <is>
          <t>—</t>
        </is>
      </c>
      <c r="F83" s="10" t="inlineStr">
        <is>
          <t>scelta del software; la resistenza della parete con la nicchia va verificata dal progettista</t>
        </is>
      </c>
      <c r="G83" s="10" t="inlineStr">
        <is>
          <t>scelta del software</t>
        </is>
      </c>
      <c r="H83" s="10" t="inlineStr">
        <is>
          <t>nicchie nelle pareti</t>
        </is>
      </c>
      <c r="I83" s="11" t="n"/>
      <c r="J83" s="11" t="n"/>
      <c r="K83" s="11" t="n"/>
      <c r="L83" s="11" t="n"/>
      <c r="M83" s="11" t="n"/>
      <c r="N83" s="11" t="n"/>
    </row>
    <row r="84" ht="329" customHeight="1">
      <c r="A84" s="10" t="n">
        <v>82</v>
      </c>
      <c r="B84" s="10" t="inlineStr">
        <is>
          <t>Vano: ingombri tipici</t>
        </is>
      </c>
      <c r="C84" s="10" t="inlineStr">
        <is>
          <t>Staffe delle guide del contrappeso (catalogo Panev)</t>
        </is>
      </c>
      <c r="D84"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4" s="10" t="inlineStr">
        <is>
          <t>catalogo staffe Panev 2026, pp. 20-62</t>
        </is>
      </c>
      <c r="F84" s="10" t="inlineStr">
        <is>
          <t>catalogo del costruttore (panev/docs/catalogo-staffe-panev-2026.pdf); le corse dell’SC lontano dalla parete lette sui disegni di montaggio (pp. 41-55)</t>
        </is>
      </c>
      <c r="G84" s="10" t="inlineStr">
        <is>
          <t>confermato</t>
        </is>
      </c>
      <c r="H84" s="10" t="inlineStr">
        <is>
          <t>staffe del catalogo per le guide del contrappeso</t>
        </is>
      </c>
      <c r="I84" s="11" t="n"/>
      <c r="J84" s="11" t="n"/>
      <c r="K84" s="11" t="n"/>
      <c r="L84" s="11" t="n"/>
      <c r="M84" s="11" t="n"/>
      <c r="N84" s="11" t="n"/>
    </row>
    <row r="85" ht="407" customHeight="1">
      <c r="A85" s="10" t="n">
        <v>83</v>
      </c>
      <c r="B85" s="10" t="inlineStr">
        <is>
          <t>Vano: ingombri tipici</t>
        </is>
      </c>
      <c r="C85" s="10" t="inlineStr">
        <is>
          <t>Staffe delle porte di piano (catalogo Panev)</t>
        </is>
      </c>
      <c r="D85"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5" s="10" t="inlineStr">
        <is>
          <t>catalogo staffe Panev 2026, pp. 14-18 (coppie), p. 05 (taglio della piastra) e p. 04 (soglia o elemento portante della porta di piano)</t>
        </is>
      </c>
      <c r="F85" s="10" t="inlineStr">
        <is>
          <t>catalogo del costruttore (panev/docs/catalogo-staffe-panev-2026.pdf); il passo, il numero minimo, il montaggio capovolto sopra la porta e lo spostamento sono scelta del software (il montaggio sopra la porta va confermato con il costruttore della porta)</t>
        </is>
      </c>
      <c r="G85" s="10" t="inlineStr">
        <is>
          <t>scelta del software</t>
        </is>
      </c>
      <c r="H85" s="10" t="inlineStr">
        <is>
          <t>staffe Panev sopra le porte di piano: muro tra il vano della porta e la soglia del piano sopra</t>
        </is>
      </c>
      <c r="I85" s="11" t="n"/>
      <c r="J85" s="11" t="n"/>
      <c r="K85" s="11" t="n"/>
      <c r="L85" s="11" t="n"/>
      <c r="M85" s="11" t="n"/>
      <c r="N85" s="11" t="n"/>
    </row>
    <row r="86" ht="394" customHeight="1">
      <c r="A86" s="10" t="n">
        <v>84</v>
      </c>
      <c r="B86" s="10" t="inlineStr">
        <is>
          <t>Vano: ingombri tipici</t>
        </is>
      </c>
      <c r="C86"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6"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6" s="10" t="inlineStr">
        <is>
          <t>dati del fornitore del limitatore; la velocità d’intervento da tarare (almeno il 115 % della nominale e sotto il limite del paracadute di cabina): UNI EN 81-20:2020, 5.6.2.2.1.1 a) 1)–4), voce limitatore.scatto</t>
        </is>
      </c>
      <c r="F86"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6" s="10" t="inlineStr">
        <is>
          <t>stima</t>
        </is>
      </c>
      <c r="H86" s="10" t="inlineStr">
        <is>
          <t>—</t>
        </is>
      </c>
      <c r="I86" s="11" t="n"/>
      <c r="J86" s="11" t="n"/>
      <c r="K86" s="11" t="n"/>
      <c r="L86" s="11" t="n"/>
      <c r="M86" s="11" t="n"/>
      <c r="N86" s="11" t="n"/>
    </row>
    <row r="87" ht="368" customHeight="1">
      <c r="A87" s="10" t="n">
        <v>85</v>
      </c>
      <c r="B87" s="10" t="inlineStr">
        <is>
          <t>Vano: ingombri tipici</t>
        </is>
      </c>
      <c r="C87" s="10" t="inlineStr">
        <is>
          <t>Posizione del limitatore di velocità e della sua fune — con l’arcata a zaino, o senza una parete laterale libera, il software non mette il limitatore: la verifica della fune resta «Attenzione» senza valore e il limitatore va posizionato a mano</t>
        </is>
      </c>
      <c r="D87"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7"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7" s="10" t="inlineStr">
        <is>
          <t>scelta del software (50, 60 e 400 mm); UNI EN 81-20:2020, testo della norma, letto il 2026-10-06, pp. 43, 71–72, 82–83; UNI EN 81-1:2008, testo della norma, letto il 2026-10-06, p. 67</t>
        </is>
      </c>
      <c r="G87" s="10" t="inlineStr">
        <is>
          <t>scelta del software</t>
        </is>
      </c>
      <c r="H87"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7" s="11" t="n"/>
      <c r="J87" s="11" t="n"/>
      <c r="K87" s="11" t="n"/>
      <c r="L87" s="11" t="n"/>
      <c r="M87" s="11" t="n"/>
      <c r="N87" s="11" t="n"/>
    </row>
    <row r="88" ht="238" customHeight="1">
      <c r="A88" s="10" t="n">
        <v>86</v>
      </c>
      <c r="B88" s="10" t="inlineStr">
        <is>
          <t>Vano: ingombri tipici</t>
        </is>
      </c>
      <c r="C88"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8"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8" s="10" t="inlineStr">
        <is>
          <t>UNI EN 81-20:2020, 5.6.2.2.1.3 c); 5.6.2.2.1.3 b) e 5.6.2.2.1.1 d) (dati del fornitore)</t>
        </is>
      </c>
      <c r="F88" s="10" t="inlineStr">
        <is>
          <t>UNI EN 81-20:2020, testo della norma, letto il 2026-10-06, pp. 82–83</t>
        </is>
      </c>
      <c r="G88" s="10" t="inlineStr">
        <is>
          <t>confermato</t>
        </is>
      </c>
      <c r="H88" s="10" t="inlineStr">
        <is>
          <t>pulegge del limitatore: diametro sul diametro della fune</t>
        </is>
      </c>
      <c r="I88" s="11" t="n"/>
      <c r="J88" s="11" t="n"/>
      <c r="K88" s="11" t="n"/>
      <c r="L88" s="11" t="n"/>
      <c r="M88" s="11" t="n"/>
      <c r="N88" s="11" t="n"/>
    </row>
    <row r="89" ht="160" customHeight="1">
      <c r="A89" s="10" t="n">
        <v>87</v>
      </c>
      <c r="B89" s="10" t="inlineStr">
        <is>
          <t>Vano: ingombri tipici</t>
        </is>
      </c>
      <c r="C89"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89"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89" s="10" t="inlineStr">
        <is>
          <t>UNI EN 81-20:2020, 5.6.2.2.1.1 a) 1)–4); la velocità tarata sulla targa del limitatore: 5.6.2.2.1.8 d)</t>
        </is>
      </c>
      <c r="F89" s="10" t="inlineStr">
        <is>
          <t>UNI EN 81-20:2020, testo della norma, letto il 2026-10-06, pp. 82 e 84</t>
        </is>
      </c>
      <c r="G89" s="10" t="inlineStr">
        <is>
          <t>confermato</t>
        </is>
      </c>
      <c r="H89" s="10" t="inlineStr">
        <is>
          <t>—</t>
        </is>
      </c>
      <c r="I89" s="11" t="n"/>
      <c r="J89" s="11" t="n"/>
      <c r="K89" s="11" t="n"/>
      <c r="L89" s="11" t="n"/>
      <c r="M89" s="11" t="n"/>
      <c r="N89" s="11" t="n"/>
    </row>
    <row r="90" ht="212" customHeight="1">
      <c r="A90" s="10" t="n">
        <v>88</v>
      </c>
      <c r="B90" s="10" t="inlineStr">
        <is>
          <t>Vano: ingombri tipici</t>
        </is>
      </c>
      <c r="C90" s="10" t="inlineStr">
        <is>
          <t>Macchina in basso: limitatore di velocità nel vano — la mensola, il cavo del comando a distanza e il ripristino sono del costruttore del limitatore: da confermare sulla sua scheda</t>
        </is>
      </c>
      <c r="D90"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0" s="10" t="inlineStr">
        <is>
          <t>UNI EN 81-20:2020, 5.6.2.2.1.4 a), b) e c) 1)–3), 5.6.2.2.1.5</t>
        </is>
      </c>
      <c r="F90" s="10" t="inlineStr">
        <is>
          <t>scelta del software (420 mm); UNI EN 81-20:2020, testo della norma, letto il 2026-10-06, p. 83</t>
        </is>
      </c>
      <c r="G90" s="10" t="inlineStr">
        <is>
          <t>scelta del software</t>
        </is>
      </c>
      <c r="H90" s="10" t="inlineStr">
        <is>
          <t>—</t>
        </is>
      </c>
      <c r="I90" s="11" t="n"/>
      <c r="J90" s="11" t="n"/>
      <c r="K90" s="11" t="n"/>
      <c r="L90" s="11" t="n"/>
      <c r="M90" s="11" t="n"/>
      <c r="N90" s="11" t="n"/>
    </row>
    <row r="91" ht="121" customHeight="1">
      <c r="A91" s="10" t="n">
        <v>89</v>
      </c>
      <c r="B91" s="10" t="inlineStr">
        <is>
          <t>Vano: ingombri tipici</t>
        </is>
      </c>
      <c r="C91" s="10" t="inlineStr">
        <is>
          <t>Staffe delle guide di cabina (generiche)</t>
        </is>
      </c>
      <c r="D91"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1" s="10" t="inlineStr">
        <is>
          <t>—</t>
        </is>
      </c>
      <c r="F91" s="10" t="inlineStr">
        <is>
          <t>scelta del software, da dimensionare a parte con il fornitore e con la verifica degli ancoraggi</t>
        </is>
      </c>
      <c r="G91" s="10" t="inlineStr">
        <is>
          <t>scelta del software</t>
        </is>
      </c>
      <c r="H91" s="10" t="inlineStr">
        <is>
          <t>—</t>
        </is>
      </c>
      <c r="I91" s="11" t="n"/>
      <c r="J91" s="11" t="n"/>
      <c r="K91" s="11" t="n"/>
      <c r="L91" s="11" t="n"/>
      <c r="M91" s="11" t="n"/>
      <c r="N91" s="11" t="n"/>
    </row>
    <row r="92" ht="82" customHeight="1">
      <c r="A92" s="10" t="n">
        <v>90</v>
      </c>
      <c r="B92" s="10" t="inlineStr">
        <is>
          <t>Vano: sezione, spazi di rifugio e ammortizzatori</t>
        </is>
      </c>
      <c r="C92" s="10" t="inlineStr">
        <is>
          <t>Spazi di rifugio sul tetto di cabina e in fossa</t>
        </is>
      </c>
      <c r="D92"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2" s="10" t="inlineStr">
        <is>
          <t>UNI EN 81-20:2020, 5.2.5.7.1 (Prospetto 3) e 5.2.5.8.1 (Prospetto 4)</t>
        </is>
      </c>
      <c r="F92" s="10" t="inlineStr">
        <is>
          <t>UNI EN 81-20:2020, testo della norma, letto il 2026-10-06, pp. 37–40</t>
        </is>
      </c>
      <c r="G92" s="10" t="inlineStr">
        <is>
          <t>confermato</t>
        </is>
      </c>
      <c r="H92" s="10" t="inlineStr">
        <is>
          <t>spazio di rifugio in testata; spazio di rifugio in fossa</t>
        </is>
      </c>
      <c r="I92" s="11" t="n"/>
      <c r="J92" s="11" t="n"/>
      <c r="K92" s="11" t="n"/>
      <c r="L92" s="11" t="n"/>
      <c r="M92" s="11" t="n"/>
      <c r="N92" s="11" t="n"/>
    </row>
    <row r="93" ht="95" customHeight="1">
      <c r="A93" s="10" t="n">
        <v>91</v>
      </c>
      <c r="B93" s="10" t="inlineStr">
        <is>
          <t>Vano: sezione, spazi di rifugio e ammortizzatori</t>
        </is>
      </c>
      <c r="C93" s="10" t="inlineStr">
        <is>
          <t>Posizione più alta della cabina — vale per gli ascensori a frizione; le riduzioni di 5.2.5.6.1.2 (rallentamento controllato) e 5.2.5.6.1.3 (puleggia tenditrice con antirimbalzo) non sono usate: la verifica è più severa</t>
        </is>
      </c>
      <c r="D93" s="10" t="inlineStr">
        <is>
          <t>contrappeso sugli ammortizzatori completamente compressi, più il salto 0,035·v² m (v velocità nominale)</t>
        </is>
      </c>
      <c r="E93" s="10" t="inlineStr">
        <is>
          <t>UNI EN 81-20:2020, 5.2.5.6.1.1 (Prospetto 2)</t>
        </is>
      </c>
      <c r="F93" s="10" t="inlineStr">
        <is>
          <t>UNI EN 81-20:2020, testo della norma, letto il 2026-10-06, p. 36</t>
        </is>
      </c>
      <c r="G93" s="10" t="inlineStr">
        <is>
          <t>confermato</t>
        </is>
      </c>
      <c r="H93" s="10" t="inlineStr">
        <is>
          <t>spazio di rifugio in testata; distanze libere dal soffitto</t>
        </is>
      </c>
      <c r="I93" s="11" t="n"/>
      <c r="J93" s="11" t="n"/>
      <c r="K93" s="11" t="n"/>
      <c r="L93" s="11" t="n"/>
      <c r="M93" s="11" t="n"/>
      <c r="N93" s="11" t="n"/>
    </row>
    <row r="94" ht="147" customHeight="1">
      <c r="A94" s="10" t="n">
        <v>92</v>
      </c>
      <c r="B94" s="10" t="inlineStr">
        <is>
          <t>Vano: sezione, spazi di rifugio e ammortizzatori</t>
        </is>
      </c>
      <c r="C94"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4" s="10" t="inlineStr">
        <is>
          <t>≥ 500 mm sopra le apparecchiature sul tetto di cabina (operatore); ≥ 100 mm sopra pattini, attacchi delle funi e traversa dell’arcata; ≥ 300 mm sopra il corrimano della balaustra</t>
        </is>
      </c>
      <c r="E94" s="10" t="inlineStr">
        <is>
          <t>UNI EN 81-20:2020, 5.2.5.7.2 a)–c)</t>
        </is>
      </c>
      <c r="F94" s="10" t="inlineStr">
        <is>
          <t>UNI EN 81-20:2020, testo della norma, letto il 2026-10-06, p. 38</t>
        </is>
      </c>
      <c r="G94" s="10" t="inlineStr">
        <is>
          <t>da verificare</t>
        </is>
      </c>
      <c r="H94" s="10" t="inlineStr">
        <is>
          <t>distanze libere dal soffitto</t>
        </is>
      </c>
      <c r="I94" s="11" t="n"/>
      <c r="J94" s="11" t="n"/>
      <c r="K94" s="11" t="n"/>
      <c r="L94" s="11" t="n"/>
      <c r="M94" s="11" t="n"/>
      <c r="N94" s="11" t="n"/>
    </row>
    <row r="95" ht="82" customHeight="1">
      <c r="A95" s="10" t="n">
        <v>93</v>
      </c>
      <c r="B95" s="10" t="inlineStr">
        <is>
          <t>Vano: sezione, spazi di rifugio e ammortizzatori</t>
        </is>
      </c>
      <c r="C95" s="10" t="inlineStr">
        <is>
          <t>Traversa dell’arcata sotto il soffitto — La b) nomina la traversa delle porte e le parti delle porte a scorrimento verticale; quella dell’arcata non è nominata. Da concordare con l’organismo.</t>
        </is>
      </c>
      <c r="D95" s="10" t="inlineStr">
        <is>
          <t>≥ 100 mm come parte di b); sotto 500 mm «Attenzione»: se l’organismo la considera un’apparecchiatura vale a) (500 mm)</t>
        </is>
      </c>
      <c r="E95" s="10" t="inlineStr">
        <is>
          <t>UNI EN 81-20:2020, 5.2.5.7.2 a)–b); UNI EN 81-1:2008, 5.7.1.1 c)</t>
        </is>
      </c>
      <c r="F95" s="10" t="inlineStr">
        <is>
          <t>UNI EN 81-20:2020, testo della norma, letto il 2026-10-06, p. 38; UNI EN 81-1:2008, testo della norma, letto il 2026-10-06, p. 26</t>
        </is>
      </c>
      <c r="G95" s="10" t="inlineStr">
        <is>
          <t>da verificare</t>
        </is>
      </c>
      <c r="H95" s="10" t="inlineStr">
        <is>
          <t>traversa dell’arcata sotto il soffitto</t>
        </is>
      </c>
      <c r="I95" s="11" t="n"/>
      <c r="J95" s="11" t="n"/>
      <c r="K95" s="11" t="n"/>
      <c r="L95" s="11" t="n"/>
      <c r="M95" s="11" t="n"/>
      <c r="N95" s="11" t="n"/>
    </row>
    <row r="96" ht="108" customHeight="1">
      <c r="A96" s="10" t="n">
        <v>94</v>
      </c>
      <c r="B96" s="10" t="inlineStr">
        <is>
          <t>Vano: sezione, spazi di rifugio e ammortizzatori</t>
        </is>
      </c>
      <c r="C96" s="10" t="inlineStr">
        <is>
          <t>Parte più alta della cabina sotto ciò che pende sopra — fino alla versione 1.17.0 del motore del progetto la puleggia di cabina era verificata a 100 mm; i 100 mm della traversa sono la stessa lettura di spazi.testata.parti</t>
        </is>
      </c>
      <c r="D96"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6" s="10" t="inlineStr">
        <is>
          <t>UNI EN 81-20:2020, 5.2.5.7.2 a) e b)</t>
        </is>
      </c>
      <c r="F96" s="10" t="inlineStr">
        <is>
          <t>UNI EN 81-20:2020, testo della norma, letto il 2026-10-06, p. 38</t>
        </is>
      </c>
      <c r="G96" s="10" t="inlineStr">
        <is>
          <t>confermato</t>
        </is>
      </c>
      <c r="H96" s="10" t="inlineStr">
        <is>
          <t>parte più alta della cabina sotto ciò che pende sopra; parte più alta della cabina sotto le pulegge appese alla soletta</t>
        </is>
      </c>
      <c r="I96" s="11" t="n"/>
      <c r="J96" s="11" t="n"/>
      <c r="K96" s="11" t="n"/>
      <c r="L96" s="11" t="n"/>
      <c r="M96" s="11" t="n"/>
      <c r="N96" s="11" t="n"/>
    </row>
    <row r="97" ht="160" customHeight="1">
      <c r="A97" s="10" t="n">
        <v>95</v>
      </c>
      <c r="B97" s="10" t="inlineStr">
        <is>
          <t>Vano: sezione, spazi di rifugio e ammortizzatori</t>
        </is>
      </c>
      <c r="C97"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7"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7" s="10" t="inlineStr">
        <is>
          <t>UNI EN 81-20:2020, 5.2.5.7.1 (prospetto 3), 5.2.5.7.2 e 5.2.5.7.3</t>
        </is>
      </c>
      <c r="F97" s="10" t="inlineStr">
        <is>
          <t>UNI EN 81-20:2020, testo della norma, letto il 2026-10-06, pp. 37–39</t>
        </is>
      </c>
      <c r="G97" s="10" t="inlineStr">
        <is>
          <t>confermato</t>
        </is>
      </c>
      <c r="H97" s="10" t="inlineStr">
        <is>
          <t>spazio di rifugio sul tetto di cabina: altezza libera fino a ciò che pende sotto la soletta; spazio di rifugio sul tetto di cabina fuori da ciò che pende sotto la soletta</t>
        </is>
      </c>
      <c r="I97" s="11" t="n"/>
      <c r="J97" s="11" t="n"/>
      <c r="K97" s="11" t="n"/>
      <c r="L97" s="11" t="n"/>
      <c r="M97" s="11" t="n"/>
      <c r="N97" s="11" t="n"/>
    </row>
    <row r="98" ht="134" customHeight="1">
      <c r="A98" s="10" t="n">
        <v>96</v>
      </c>
      <c r="B98" s="10" t="inlineStr">
        <is>
          <t>Vano: sezione, spazi di rifugio e ammortizzatori</t>
        </is>
      </c>
      <c r="C98" s="10" t="inlineStr">
        <is>
          <t>Ammortizzatori e spazio di rifugio in fossa, in pianta</t>
        </is>
      </c>
      <c r="D98"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8" s="10" t="inlineStr">
        <is>
          <t>UNI EN 81-20:2020, 5.2.5.8.1</t>
        </is>
      </c>
      <c r="F98" s="10" t="inlineStr">
        <is>
          <t>scelta del software sul modello della fossa (posizioni tipiche, da confermare con i dati del fornitore degli ammortizzatori)</t>
        </is>
      </c>
      <c r="G98" s="10" t="inlineStr">
        <is>
          <t>scelta del software</t>
        </is>
      </c>
      <c r="H98" s="10" t="inlineStr">
        <is>
          <t>ammortizzatori fissati a mano: sotto cabina e contrappeso, fuori dal rifugio</t>
        </is>
      </c>
      <c r="I98" s="11" t="n"/>
      <c r="J98" s="11" t="n"/>
      <c r="K98" s="11" t="n"/>
      <c r="L98" s="11" t="n"/>
      <c r="M98" s="11" t="n"/>
      <c r="N98" s="11" t="n"/>
    </row>
    <row r="99" ht="82" customHeight="1">
      <c r="A99" s="10" t="n">
        <v>97</v>
      </c>
      <c r="B99" s="10" t="inlineStr">
        <is>
          <t>Vano: sezione, spazi di rifugio e ammortizzatori</t>
        </is>
      </c>
      <c r="C99" s="10" t="inlineStr">
        <is>
          <t>Distanze in fossa con la cabina sugli ammortizzatori compressi</t>
        </is>
      </c>
      <c r="D99"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9" s="10" t="inlineStr">
        <is>
          <t>UNI EN 81-20:2020, 5.2.5.8.2 a) e 5.4.5.1–5.4.5.2</t>
        </is>
      </c>
      <c r="F99" s="10" t="inlineStr">
        <is>
          <t>UNI EN 81-20:2020, testo della norma, letto il 2026-10-06, pp. 40–41, 69</t>
        </is>
      </c>
      <c r="G99" s="10" t="inlineStr">
        <is>
          <t>confermato</t>
        </is>
      </c>
      <c r="H99" s="10" t="inlineStr">
        <is>
          <t>spazio di rifugio in fossa; grembiule sugli ammortizzatori compressi</t>
        </is>
      </c>
      <c r="I99" s="11" t="n"/>
      <c r="J99" s="11" t="n"/>
      <c r="K99" s="11" t="n"/>
      <c r="L99" s="11" t="n"/>
      <c r="M99" s="11" t="n"/>
      <c r="N99" s="11" t="n"/>
    </row>
    <row r="100" ht="108" customHeight="1">
      <c r="A100" s="10" t="n">
        <v>98</v>
      </c>
      <c r="B100" s="10" t="inlineStr">
        <is>
          <t>Vano: sezione, spazi di rifugio e ammortizzatori</t>
        </is>
      </c>
      <c r="C100" s="10" t="inlineStr">
        <is>
          <t>Balaustra sul tetto di cabina — fino alla versione 2.12.0 del motore del vano il software misurava i 500 mm dal bordo del tetto; la norma vuole la balaustra entro 150 mm dal bordo: se è più interna, la distanza cresce e può servire l’altezza maggiore</t>
        </is>
      </c>
      <c r="D100"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0" s="10" t="inlineStr">
        <is>
          <t>UNI EN 81-20:2020, 5.4.7.2 b) e 5.4.7.4 b)–c)</t>
        </is>
      </c>
      <c r="F100" s="10" t="inlineStr">
        <is>
          <t>UNI EN 81-20:2020, testo della norma, letto il 2026-10-06, pp. 70–72</t>
        </is>
      </c>
      <c r="G100" s="10" t="inlineStr">
        <is>
          <t>confermato</t>
        </is>
      </c>
      <c r="H100" s="10" t="inlineStr">
        <is>
          <t>balaustra sul tetto di cabina</t>
        </is>
      </c>
      <c r="I100" s="11" t="n"/>
      <c r="J100" s="11" t="n"/>
      <c r="K100" s="11" t="n"/>
      <c r="L100" s="11" t="n"/>
      <c r="M100" s="11" t="n"/>
      <c r="N100" s="11" t="n"/>
    </row>
    <row r="101" ht="121" customHeight="1">
      <c r="A101" s="10" t="n">
        <v>99</v>
      </c>
      <c r="B101" s="10" t="inlineStr">
        <is>
          <t>Vano: sezione, spazi di rifugio e ammortizzatori</t>
        </is>
      </c>
      <c r="C101"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1"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1" s="10" t="inlineStr">
        <is>
          <t>UNI EN 81-20:2020, 5.2.5.7.1 (prospetto 3) e 5.2.5.7.3; UNI EN 81-1:2008, 8.13.2</t>
        </is>
      </c>
      <c r="F101" s="10" t="inlineStr">
        <is>
          <t>UNI EN 81-20:2020, testo della norma, letto il 2026-10-06, pp. 38–39; UNI EN 81-1:2008, testo della norma, letto il 2026-10-06, p. 52</t>
        </is>
      </c>
      <c r="G101" s="10" t="inlineStr">
        <is>
          <t>confermato</t>
        </is>
      </c>
      <c r="H101" s="10" t="inlineStr">
        <is>
          <t>spazio di rifugio sul tetto di cabina; spazio di rifugio in testata</t>
        </is>
      </c>
      <c r="I101" s="11" t="n"/>
      <c r="J101" s="11" t="n"/>
      <c r="K101" s="11" t="n"/>
      <c r="L101" s="11" t="n"/>
      <c r="M101" s="11" t="n"/>
      <c r="N101" s="11" t="n"/>
    </row>
    <row r="102" ht="134" customHeight="1">
      <c r="A102" s="10" t="n">
        <v>100</v>
      </c>
      <c r="B102" s="10" t="inlineStr">
        <is>
          <t>Vano: sezione, spazi di rifugio e ammortizzatori</t>
        </is>
      </c>
      <c r="C102"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2"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2" s="10" t="inlineStr">
        <is>
          <t>UNI EN 81-20:2020, 5.2.5.7.1 (prospetto 3)</t>
        </is>
      </c>
      <c r="F102" s="10" t="inlineStr">
        <is>
          <t>misure dell’arcata e dell’operatore del disegno del software (tipiche, da confermare con il fornitore dell’arcata e delle porte)</t>
        </is>
      </c>
      <c r="G102" s="10" t="inlineStr">
        <is>
          <t>stima</t>
        </is>
      </c>
      <c r="H102" s="10" t="inlineStr">
        <is>
          <t>spazio di rifugio sul tetto di cabina</t>
        </is>
      </c>
      <c r="I102" s="11" t="n"/>
      <c r="J102" s="11" t="n"/>
      <c r="K102" s="11" t="n"/>
      <c r="L102" s="11" t="n"/>
      <c r="M102" s="11" t="n"/>
      <c r="N102" s="11" t="n"/>
    </row>
    <row r="103" ht="212" customHeight="1">
      <c r="A103" s="10" t="n">
        <v>101</v>
      </c>
      <c r="B103" s="10" t="inlineStr">
        <is>
          <t>Vano: sezione, spazi di rifugio e ammortizzatori</t>
        </is>
      </c>
      <c r="C10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3" s="10" t="inlineStr">
        <is>
          <t>luce netta in altezza delle porte di piano e di cabina ≥ 2000 mm; altezza libera interna della cabina ≥ 2000 mm</t>
        </is>
      </c>
      <c r="E103" s="10" t="inlineStr">
        <is>
          <t>UNI EN 81-20:2020, 5.3.2.1 e 5.4.1</t>
        </is>
      </c>
      <c r="F103" s="10" t="inlineStr">
        <is>
          <t>UNI EN 81-20:2020, testo della norma, letto il 2026-10-06, pp. 49, 63; 2 m anche in DM 587/1987 (UNI EN 81-1), 7.3.1, 8.1.1 e 8.1.2</t>
        </is>
      </c>
      <c r="G103" s="10" t="inlineStr">
        <is>
          <t>confermato</t>
        </is>
      </c>
      <c r="H103" s="10" t="inlineStr">
        <is>
          <t>altezza libera degli accessi; altezza libera interna della cabina</t>
        </is>
      </c>
      <c r="I103" s="11" t="n"/>
      <c r="J103" s="11" t="n"/>
      <c r="K103" s="11" t="n"/>
      <c r="L103" s="11" t="n"/>
      <c r="M103" s="11" t="n"/>
      <c r="N103" s="11" t="n"/>
    </row>
    <row r="104" ht="160" customHeight="1">
      <c r="A104" s="10" t="n">
        <v>102</v>
      </c>
      <c r="B104" s="10" t="inlineStr">
        <is>
          <t>Vano: sezione, spazi di rifugio e ammortizzatori</t>
        </is>
      </c>
      <c r="C104" s="10" t="inlineStr">
        <is>
          <t>Corsa guidata in testata (contrappeso e cabina)</t>
        </is>
      </c>
      <c r="D10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4" s="10" t="inlineStr">
        <is>
          <t>UNI EN 81-20:2020, 5.2.5.6.2 e 5.2.5.6.1.1 (Prospetto 2: cabina sugli ammortizzatori compressi più 0,035·v²); stesso valore in UNI EN 81-1 (1999, 2008), 5.7.1.2</t>
        </is>
      </c>
      <c r="F104" s="10" t="inlineStr">
        <is>
          <t>UNI EN 81-20:2020, testo della norma, letto il 2026-10-06, p. 36; UNI EN 81-1:2008, testo della norma, letto il 2026-10-06, p. 27</t>
        </is>
      </c>
      <c r="G104" s="10" t="inlineStr">
        <is>
          <t>confermato</t>
        </is>
      </c>
      <c r="H104" s="10" t="inlineStr">
        <is>
          <t>corsa guidata del contrappeso in testata; corsa guidata della cabina in testata</t>
        </is>
      </c>
      <c r="I104" s="11" t="n"/>
      <c r="J104" s="11" t="n"/>
      <c r="K104" s="11" t="n"/>
      <c r="L104" s="11" t="n"/>
      <c r="M104" s="11" t="n"/>
      <c r="N104" s="11" t="n"/>
    </row>
    <row r="105" ht="82" customHeight="1">
      <c r="A105" s="10" t="n">
        <v>103</v>
      </c>
      <c r="B105" s="10" t="inlineStr">
        <is>
          <t>Vano: sezione, spazi di rifugio e ammortizzatori</t>
        </is>
      </c>
      <c r="C105" s="10" t="inlineStr">
        <is>
          <t>Schermo del contrappeso in fossa — bordo inferiore, larghezza e spazio tra le guide e la parete (5.2.5.5.1 c)–e)): voce contrappeso.schermo.pianta; fino alla versione 2.22.0 del motore del vano non erano verificati</t>
        </is>
      </c>
      <c r="D105" s="10" t="inlineStr">
        <is>
          <t>dal punto più basso del contrappeso sugli ammortizzatori compressi fino ad almeno 2000 mm sopra il pavimento della fossa (altezza dello schermo modificabile sul progetto, mai sotto questo valore)</t>
        </is>
      </c>
      <c r="E105" s="10" t="inlineStr">
        <is>
          <t>UNI EN 81-20:2020, 5.2.5.5.1 b)</t>
        </is>
      </c>
      <c r="F105" s="10" t="inlineStr">
        <is>
          <t>UNI EN 81-20:2020, testo della norma, letto il 2026-10-06, p. 35</t>
        </is>
      </c>
      <c r="G105" s="10" t="inlineStr">
        <is>
          <t>confermato</t>
        </is>
      </c>
      <c r="H105" s="10" t="inlineStr">
        <is>
          <t>protezione del contrappeso in fossa</t>
        </is>
      </c>
      <c r="I105" s="11" t="n"/>
      <c r="J105" s="11" t="n"/>
      <c r="K105" s="11" t="n"/>
      <c r="L105" s="11" t="n"/>
      <c r="M105" s="11" t="n"/>
      <c r="N105" s="11" t="n"/>
    </row>
    <row r="106" ht="56" customHeight="1">
      <c r="A106" s="10" t="n">
        <v>104</v>
      </c>
      <c r="B106" s="10" t="inlineStr">
        <is>
          <t>Vano: sezione, spazi di rifugio e ammortizzatori</t>
        </is>
      </c>
      <c r="C106" s="10" t="inlineStr">
        <is>
          <t>Ammortizzatori ad accumulo di energia lineari (molle)</t>
        </is>
      </c>
      <c r="D106" s="10" t="inlineStr">
        <is>
          <t>ammessi fino a 1 m/s; corsa ≥ 0,135·v² m e comunque ≥ 65 mm</t>
        </is>
      </c>
      <c r="E106" s="10" t="inlineStr">
        <is>
          <t>UNI EN 81-20:2020, 5.8.1.5 (fino a 1 m/s) e 5.8.2.1.1.1 (corsa)</t>
        </is>
      </c>
      <c r="F106" s="10" t="inlineStr">
        <is>
          <t>UNI EN 81-20:2020, testo della norma, letto il 2026-10-06, p. 98</t>
        </is>
      </c>
      <c r="G106" s="10" t="inlineStr">
        <is>
          <t>confermato</t>
        </is>
      </c>
      <c r="H106" s="10" t="inlineStr">
        <is>
          <t>tipo di ammortizzatori per la velocità; corsa degli ammortizzatori di cabina; corsa dell’ammortizzatore del contrappeso</t>
        </is>
      </c>
      <c r="I106" s="11" t="n"/>
      <c r="J106" s="11" t="n"/>
      <c r="K106" s="11" t="n"/>
      <c r="L106" s="11" t="n"/>
      <c r="M106" s="11" t="n"/>
      <c r="N106" s="11" t="n"/>
    </row>
    <row r="107" ht="82" customHeight="1">
      <c r="A107" s="10" t="n">
        <v>105</v>
      </c>
      <c r="B107" s="10" t="inlineStr">
        <is>
          <t>Vano: sezione, spazi di rifugio e ammortizzatori</t>
        </is>
      </c>
      <c r="C107" s="10" t="inlineStr">
        <is>
          <t>Extracorsa della cabina e del contrappeso</t>
        </is>
      </c>
      <c r="D107"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7" s="10" t="inlineStr">
        <is>
          <t>UNI EN 81-20:2020, 5.12.2.1 (interruttori di extracorsa); nessuna extracorsa minima in metri</t>
        </is>
      </c>
      <c r="F107" s="10" t="inlineStr">
        <is>
          <t>UNI EN 81-20:2020, testo della norma, letto il 2026-10-06, p. 131</t>
        </is>
      </c>
      <c r="G107" s="10" t="inlineStr">
        <is>
          <t>confermato</t>
        </is>
      </c>
      <c r="H107" s="10" t="inlineStr">
        <is>
          <t>extracorsa di cabina e contrappeso</t>
        </is>
      </c>
      <c r="I107" s="11" t="n"/>
      <c r="J107" s="11" t="n"/>
      <c r="K107" s="11" t="n"/>
      <c r="L107" s="11" t="n"/>
      <c r="M107" s="11" t="n"/>
      <c r="N107" s="11" t="n"/>
    </row>
    <row r="108" ht="121" customHeight="1">
      <c r="A108" s="10" t="n">
        <v>106</v>
      </c>
      <c r="B108" s="10" t="inlineStr">
        <is>
          <t>Vano: sezione, spazi di rifugio e ammortizzatori</t>
        </is>
      </c>
      <c r="C108" s="10" t="inlineStr">
        <is>
          <t>Ammortizzatori ad accumulo di energia non lineari (tamponi in poliuretano) — il tampone tipico alto 80 mm è un dato di catalogo, non della norma: va sostituito con quello montato</t>
        </is>
      </c>
      <c r="D108"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8" s="10" t="inlineStr">
        <is>
          <t>UNI EN 81-20:2020, 5.8.1.5, 5.8.1.7, 5.8.2.1.2.1 e 5.8.2.1.2.2 (compresso al 90 %); UNI EN 81-50:2020, 5.5.4 (esame di tipo)</t>
        </is>
      </c>
      <c r="F108" s="10" t="inlineStr">
        <is>
          <t>UNI EN 81-20:2020, testo della norma, letto il 2026-10-06, pp. 98–99; UNI EN 81-50:2020, testo della norma, letto il 2026-10-06, p. 24; il tampone tipico dai cataloghi P+S Diepocell (wwlift.de) e ACLA AUTAN XL (acla.de), estratti di ricerca del 1° ottobre 2026</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173" customHeight="1">
      <c r="A109" s="10" t="n">
        <v>107</v>
      </c>
      <c r="B109" s="10" t="inlineStr">
        <is>
          <t>Vano: sezione, spazi di rifugio e ammortizzatori</t>
        </is>
      </c>
      <c r="C109"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09"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09" s="10" t="inlineStr">
        <is>
          <t>UNI EN 81-20:2020, 5.8.1.6 e 5.8.2.2.1 (corsa); la corsa ridotta di 5.8.2.2.2 non è usata</t>
        </is>
      </c>
      <c r="F109" s="10" t="inlineStr">
        <is>
          <t>UNI EN 81-20:2020, testo della norma, letto il 2026-10-06, p. 99; gli ammortizzatori tipici dal catalogo Oleo LSB e SEB (oleo.co.uk),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86" customHeight="1">
      <c r="A110" s="10" t="n">
        <v>108</v>
      </c>
      <c r="B110" s="10" t="inlineStr">
        <is>
          <t>Vano: sezione, spazi di rifugio e ammortizzatori</t>
        </is>
      </c>
      <c r="C110" s="10" t="inlineStr">
        <is>
          <t>Accesso alla fossa: scala nel vano</t>
        </is>
      </c>
      <c r="D110"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0" s="10" t="inlineStr">
        <is>
          <t>UNI EN 81-20:2020, 5.2.2.4 e appendice F (F.2.3, F.3.2, F.5)</t>
        </is>
      </c>
      <c r="F110" s="10" t="inlineStr">
        <is>
          <t>UNI EN 81-20:2020, testo della norma, letto il 2026-10-06, pp. 28–29, 151–152</t>
        </is>
      </c>
      <c r="G110" s="10" t="inlineStr">
        <is>
          <t>confermato</t>
        </is>
      </c>
      <c r="H110" s="10" t="inlineStr">
        <is>
          <t>—</t>
        </is>
      </c>
      <c r="I110" s="11" t="n"/>
      <c r="J110" s="11" t="n"/>
      <c r="K110" s="11" t="n"/>
      <c r="L110" s="11" t="n"/>
      <c r="M110" s="11" t="n"/>
      <c r="N110" s="11" t="n"/>
    </row>
    <row r="111" ht="212" customHeight="1">
      <c r="A111" s="10" t="n">
        <v>109</v>
      </c>
      <c r="B111" s="10" t="inlineStr">
        <is>
          <t>Vano: sezione, spazi di rifugio e ammortizzatori</t>
        </is>
      </c>
      <c r="C111" s="10" t="inlineStr">
        <is>
          <t>Dotazioni della fossa: arresto, ispezione, presa, luce, cartello</t>
        </is>
      </c>
      <c r="D111"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1" s="10" t="inlineStr">
        <is>
          <t>UNI EN 81-20:2020, 5.2.1.5.1 a)–d) e 5.2.5.8.1 (cartello)</t>
        </is>
      </c>
      <c r="F111" s="10" t="inlineStr">
        <is>
          <t>UNI EN 81-20:2020, testo della norma, letto il 2026-10-06, pp. 25–26, 40</t>
        </is>
      </c>
      <c r="G111" s="10" t="inlineStr">
        <is>
          <t>confermato</t>
        </is>
      </c>
      <c r="H111" s="10" t="inlineStr">
        <is>
          <t>—</t>
        </is>
      </c>
      <c r="I111" s="11" t="n"/>
      <c r="J111" s="11" t="n"/>
      <c r="K111" s="11" t="n"/>
      <c r="L111" s="11" t="n"/>
      <c r="M111" s="11" t="n"/>
      <c r="N111" s="11" t="n"/>
    </row>
    <row r="112" ht="381" customHeight="1">
      <c r="A112" s="10" t="n">
        <v>110</v>
      </c>
      <c r="B112" s="10" t="inlineStr">
        <is>
          <t>Vano: sezione, spazi di rifugio e ammortizzatori</t>
        </is>
      </c>
      <c r="C112" s="10" t="inlineStr">
        <is>
          <t>Scala e pulsantiera della fossa nei disegni</t>
        </is>
      </c>
      <c r="D112"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2" s="10" t="inlineStr">
        <is>
          <t>—</t>
        </is>
      </c>
      <c r="F112" s="10" t="inlineStr">
        <is>
          <t>scelta del software: tipo, misure e posizione definitivi del fornitore della scala e del quadro</t>
        </is>
      </c>
      <c r="G112" s="10" t="inlineStr">
        <is>
          <t>scelta del software</t>
        </is>
      </c>
      <c r="H112" s="10" t="inlineStr">
        <is>
          <t>—</t>
        </is>
      </c>
      <c r="I112" s="11" t="n"/>
      <c r="J112" s="11" t="n"/>
      <c r="K112" s="11" t="n"/>
      <c r="L112" s="11" t="n"/>
      <c r="M112" s="11" t="n"/>
      <c r="N112" s="11" t="n"/>
    </row>
    <row r="113" ht="147" customHeight="1">
      <c r="A113" s="10" t="n">
        <v>111</v>
      </c>
      <c r="B113" s="10" t="inlineStr">
        <is>
          <t>Vano: sezione, spazi di rifugio e ammortizzatori</t>
        </is>
      </c>
      <c r="C113"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3"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3" s="10" t="inlineStr">
        <is>
          <t>UNI EN 81-20:2020, 5.2.5.5.1 c)–e)</t>
        </is>
      </c>
      <c r="F113" s="10" t="inlineStr">
        <is>
          <t>UNI EN 81-20:2020, testo della norma, letto il 2026-10-06, p. 35</t>
        </is>
      </c>
      <c r="G113" s="10" t="inlineStr">
        <is>
          <t>confermato</t>
        </is>
      </c>
      <c r="H113" s="10" t="inlineStr">
        <is>
          <t>protezione del contrappeso: bordo inferiore; protezione del contrappeso: larghezza e spazio tra guide e parete</t>
        </is>
      </c>
      <c r="I113" s="11" t="n"/>
      <c r="J113" s="11" t="n"/>
      <c r="K113" s="11" t="n"/>
      <c r="L113" s="11" t="n"/>
      <c r="M113" s="11" t="n"/>
      <c r="N113" s="11" t="n"/>
    </row>
    <row r="114" ht="186" customHeight="1">
      <c r="A114" s="10" t="n">
        <v>112</v>
      </c>
      <c r="B114" s="10" t="inlineStr">
        <is>
          <t>Vano: sezione, spazi di rifugio e ammortizzatori</t>
        </is>
      </c>
      <c r="C114" s="10" t="inlineStr">
        <is>
          <t>Gioco massimo tra contrappeso e ammortizzatore (cartello)</t>
        </is>
      </c>
      <c r="D114"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4" s="10" t="inlineStr">
        <is>
          <t>UNI EN 81-20:2020, 5.2.5.7.1</t>
        </is>
      </c>
      <c r="F114" s="10" t="inlineStr">
        <is>
          <t>UNI EN 81-20:2020, testo della norma, letto il 2026-10-06, pp. 37–38; il calcolo del margine è del software</t>
        </is>
      </c>
      <c r="G114" s="10" t="inlineStr">
        <is>
          <t>confermato</t>
        </is>
      </c>
      <c r="H114" s="10" t="inlineStr">
        <is>
          <t>gioco massimo contrappeso–ammortizzatore (cartello)</t>
        </is>
      </c>
      <c r="I114" s="11" t="n"/>
      <c r="J114" s="11" t="n"/>
      <c r="K114" s="11" t="n"/>
      <c r="L114" s="11" t="n"/>
      <c r="M114" s="11" t="n"/>
      <c r="N114" s="11" t="n"/>
    </row>
    <row r="115" ht="498" customHeight="1">
      <c r="A115" s="10" t="n">
        <v>113</v>
      </c>
      <c r="B115" s="10" t="inlineStr">
        <is>
          <t>Locale del macchinario</t>
        </is>
      </c>
      <c r="C115"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5"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5" s="10" t="inlineStr">
        <is>
          <t>UNI EN 81-20:2020, 5.2.6.3.2.1 (2,10 m e superfici libere), 5.2.6.3.2.2 (percorsi: 0,50 m di larghezza, 1,80 m di altezza), 5.2.6.3.2.3 (0,30 m sopra le parti rotanti non protette), 5.2.3.2 a) (porta), 5.2.3.3 a) (verso di apertura) e 5.2.6.3.3 (aperture)</t>
        </is>
      </c>
      <c r="F115" s="10" t="inlineStr">
        <is>
          <t>UNI EN 81-20:2020, testo della norma, letto il 2026-10-06, pp. 29–30, 43; le superfici libere anche in UNI EN 81-1:1999, 6.3.2.1 (edizione 2008: 6.3.3.1)</t>
        </is>
      </c>
      <c r="G115" s="10" t="inlineStr">
        <is>
          <t>confermato</t>
        </is>
      </c>
      <c r="H115" s="10" t="inlineStr">
        <is>
          <t>altezza del locale macchina; superficie libera davanti al quadro; superficie libera accanto all’argano; percorsi dalla porta alle superfici libere; porta del locale macchina; spazio libero sopra le parti rotanti non protette dell’argano</t>
        </is>
      </c>
      <c r="I115" s="11" t="n"/>
      <c r="J115" s="11" t="n"/>
      <c r="K115" s="11" t="n"/>
      <c r="L115" s="11" t="n"/>
      <c r="M115" s="11" t="n"/>
      <c r="N115" s="11" t="n"/>
    </row>
    <row r="116" ht="121" customHeight="1">
      <c r="A116" s="10" t="n">
        <v>114</v>
      </c>
      <c r="B116" s="10" t="inlineStr">
        <is>
          <t>Locale del macchinario</t>
        </is>
      </c>
      <c r="C116" s="10" t="inlineStr">
        <is>
          <t>Locale del macchinario esistente nella modifica — nella nota del foglio della sostituzione; nell’esito l’altezza e la porta restano «esistente», la superficie davanti al quadro entra quando cambia la macchina</t>
        </is>
      </c>
      <c r="D116"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6" s="10" t="inlineStr">
        <is>
          <t>UNI 10411-1:2024, 9.1–9.2; UNI 10411-11:2024, 9.2; UNI EN 81-21:2022, 5.9</t>
        </is>
      </c>
      <c r="F116" s="10" t="inlineStr">
        <is>
          <t>UNI 10411-1:2024, testo della norma, letto il 2026-10-06, p. 9; UNI 10411-11:2024, testo della norma, letto il 2026-10-06, p. 9; UNI EN 81-21:2022, testo della norma, letto il 2026-10-06, p. 23</t>
        </is>
      </c>
      <c r="G116" s="10" t="inlineStr">
        <is>
          <t>confermato</t>
        </is>
      </c>
      <c r="H116" s="10" t="inlineStr">
        <is>
          <t>—</t>
        </is>
      </c>
      <c r="I116" s="11" t="n"/>
      <c r="J116" s="11" t="n"/>
      <c r="K116" s="11" t="n"/>
      <c r="L116" s="11" t="n"/>
      <c r="M116" s="11" t="n"/>
      <c r="N116" s="11" t="n"/>
    </row>
    <row r="117" ht="212" customHeight="1">
      <c r="A117" s="10" t="n">
        <v>115</v>
      </c>
      <c r="B117" s="10" t="inlineStr">
        <is>
          <t>Locale del macchinario</t>
        </is>
      </c>
      <c r="C117"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7"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7" s="10" t="inlineStr">
        <is>
          <t>UNI EN 81-20:2020, 5.2.6.7.1 (altezza e superfici), 5.2.6.7.2 (aperture), 5.2.3.2 b) (porta), 5.2.1.5.2 c) (arresto) e 5.10.5.1.2 (interruttore generale)</t>
        </is>
      </c>
      <c r="F117" s="10" t="inlineStr">
        <is>
          <t>UNI EN 81-20:2020, testo della norma, letto il 2026-10-06, pp. 26, 29, 49</t>
        </is>
      </c>
      <c r="G117" s="10" t="inlineStr">
        <is>
          <t>confermato</t>
        </is>
      </c>
      <c r="H117" s="10" t="inlineStr">
        <is>
          <t>altezza libera del locale delle pulegge; porta del locale delle pulegge; spazio libero sopra le pulegge non protette</t>
        </is>
      </c>
      <c r="I117" s="11" t="n"/>
      <c r="J117" s="11" t="n"/>
      <c r="K117" s="11" t="n"/>
      <c r="L117" s="11" t="n"/>
      <c r="M117" s="11" t="n"/>
      <c r="N117" s="11" t="n"/>
    </row>
    <row r="118" ht="95" customHeight="1">
      <c r="A118" s="10" t="n">
        <v>116</v>
      </c>
      <c r="B118" s="10" t="inlineStr">
        <is>
          <t>Locale del macchinario</t>
        </is>
      </c>
      <c r="C118" s="10" t="inlineStr">
        <is>
          <t>Il quadro di manovra fuori dall’ingombro dell’argano</t>
        </is>
      </c>
      <c r="D118"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8" s="10" t="inlineStr">
        <is>
          <t>—</t>
        </is>
      </c>
      <c r="F118" s="10" t="inlineStr">
        <is>
          <t>geometria del progetto: la pianta del locale, il quadro inserito o posto dal software, gli ingombri dell’argano, del basamento, del rinvio e del limitatore come li disegna la pianta del locale</t>
        </is>
      </c>
      <c r="G118" s="10" t="inlineStr">
        <is>
          <t>derivazione</t>
        </is>
      </c>
      <c r="H118" s="10" t="inlineStr">
        <is>
          <t>quadro di manovra fuori dall’ingombro di argano, limitatore e interruttore generale</t>
        </is>
      </c>
      <c r="I118" s="11" t="n"/>
      <c r="J118" s="11" t="n"/>
      <c r="K118" s="11" t="n"/>
      <c r="L118" s="11" t="n"/>
      <c r="M118" s="11" t="n"/>
      <c r="N118" s="11" t="n"/>
    </row>
    <row r="119" ht="238" customHeight="1">
      <c r="A119" s="10" t="n">
        <v>117</v>
      </c>
      <c r="B119" s="10" t="inlineStr">
        <is>
          <t>Locale del macchinario</t>
        </is>
      </c>
      <c r="C119" s="10" t="inlineStr">
        <is>
          <t>Dove il software mette il quadro di manovra</t>
        </is>
      </c>
      <c r="D119"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19"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19" s="10" t="inlineStr">
        <is>
          <t>UNI EN 81-20:2020, testo della norma, letto il 2026-10-06, pp. 43, 117, 129; la vicinanza alla porta, la distanza laterale e il passo sono scelte del software</t>
        </is>
      </c>
      <c r="G119" s="10" t="inlineStr">
        <is>
          <t>scelta del software</t>
        </is>
      </c>
      <c r="H119" s="10" t="inlineStr">
        <is>
          <t>—</t>
        </is>
      </c>
      <c r="I119" s="11" t="n"/>
      <c r="J119" s="11" t="n"/>
      <c r="K119" s="11" t="n"/>
      <c r="L119" s="11" t="n"/>
      <c r="M119" s="11" t="n"/>
      <c r="N119" s="11" t="n"/>
    </row>
    <row r="120" ht="134" customHeight="1">
      <c r="A120" s="10" t="n">
        <v>118</v>
      </c>
      <c r="B120" s="10" t="inlineStr">
        <is>
          <t>Locale del macchinario</t>
        </is>
      </c>
      <c r="C120" s="10" t="inlineStr">
        <is>
          <t>La superficie libera accanto all’argano presso il volantino — la leva di sblocco del freno sta accanto al freno, fra riduttore e motore: il tecnico conferma che si manovra dalla stessa superficie</t>
        </is>
      </c>
      <c r="D120"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0" s="10" t="inlineStr">
        <is>
          <t>UNI EN 81-20:2020, 5.2.6.3.2.1 b) (superficie libera dove servono manutenzione e manovra manuale di emergenza, 5.9.2.3.1); la distanza dal volantino è una scelta del software</t>
        </is>
      </c>
      <c r="F120" s="10" t="inlineStr">
        <is>
          <t>UNI EN 81-20:2020, testo della norma, letto il 2026-10-06, p. 43; il volantino e la leva di sblocco del freno dalle schede dei costruttori o dall’argano generico del software</t>
        </is>
      </c>
      <c r="G120" s="10" t="inlineStr">
        <is>
          <t>scelta del software</t>
        </is>
      </c>
      <c r="H120" s="10" t="inlineStr">
        <is>
          <t>superficie libera accanto all’argano presso il volantino</t>
        </is>
      </c>
      <c r="I120" s="11" t="n"/>
      <c r="J120" s="11" t="n"/>
      <c r="K120" s="11" t="n"/>
      <c r="L120" s="11" t="n"/>
      <c r="M120" s="11" t="n"/>
      <c r="N120" s="11" t="n"/>
    </row>
    <row r="121" ht="147" customHeight="1">
      <c r="A121" s="10" t="n">
        <v>119</v>
      </c>
      <c r="B121" s="10" t="inlineStr">
        <is>
          <t>Locale del macchinario</t>
        </is>
      </c>
      <c r="C121" s="10" t="inlineStr">
        <is>
          <t>Altezza del locale esistente sotto 2,0 m (modifica con la UNI 10411-1) — fino a ROOM 1.12.0 e LIFT 1.28.0 le misure della UNI EN 81-21 erano solo nella nota del foglio, stampata sempre; ora la nota le dice quando il locale è più basso di 2000 mm</t>
        </is>
      </c>
      <c r="D121"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1" s="10" t="inlineStr">
        <is>
          <t>UNI 10411-1:2024, 9.2; UNI EN 81-21:2022, 5.9; UNI 10411-11:2024, 9.2</t>
        </is>
      </c>
      <c r="F121" s="10" t="inlineStr">
        <is>
          <t>UNI 10411-1:2024, testo della norma, letto il 2026-10-06, p. 9; UNI EN 81-21:2022, testo della norma, letto il 2026-10-06, p. 23; lo spessore di 50 mm del materiale ammortizzante è una scelta del software, da sostituire con quello del prodotto posato</t>
        </is>
      </c>
      <c r="G121" s="10" t="inlineStr">
        <is>
          <t>scelta del software</t>
        </is>
      </c>
      <c r="H121" s="10" t="inlineStr">
        <is>
          <t>modifica (UNI 10411-1): altezza del locale esistente sotto 2,0 m</t>
        </is>
      </c>
      <c r="I121" s="11" t="n"/>
      <c r="J121" s="11" t="n"/>
      <c r="K121" s="11" t="n"/>
      <c r="L121" s="11" t="n"/>
      <c r="M121" s="11" t="n"/>
      <c r="N121" s="11" t="n"/>
    </row>
    <row r="122" ht="329" customHeight="1">
      <c r="A122" s="10" t="n">
        <v>120</v>
      </c>
      <c r="B122" s="10" t="inlineStr">
        <is>
          <t>Locale del macchinario</t>
        </is>
      </c>
      <c r="C122" s="10" t="inlineStr">
        <is>
          <t>Fori nella soletta: misura, posizione e bordi</t>
        </is>
      </c>
      <c r="D122"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t>
        </is>
      </c>
      <c r="E122" s="10" t="inlineStr">
        <is>
          <t>UNI EN 81-20:2020, 5.2.6.3.3 (aperture ridotte al minimo, bordi di almeno 50 mm); il gioco e lo spessore del bordo sono scelte del software</t>
        </is>
      </c>
      <c r="F122" s="10" t="inlineStr">
        <is>
          <t>UNI EN 81-20:2020, testo della norma, letto il 2026-10-06, p. 43; gioco di 30 mm e bordo in lamiera di 25 mm come il 3D che taglia la soletta; un bordo in calcestruzzo, più spesso, si adatta in sito</t>
        </is>
      </c>
      <c r="G122" s="10" t="inlineStr">
        <is>
          <t>scelta del software</t>
        </is>
      </c>
      <c r="H122" s="10" t="inlineStr">
        <is>
          <t>sostituzione: appoggi del nuovo basamento lontani dalle aperture esistenti della soletta</t>
        </is>
      </c>
      <c r="I122" s="11" t="n"/>
      <c r="J122" s="11" t="n"/>
      <c r="K122" s="11" t="n"/>
      <c r="L122" s="11" t="n"/>
      <c r="M122" s="11" t="n"/>
      <c r="N122" s="11" t="n"/>
    </row>
    <row r="123" ht="147" customHeight="1">
      <c r="A123" s="10" t="n">
        <v>121</v>
      </c>
      <c r="B123" s="10" t="inlineStr">
        <is>
          <t>Locale del macchinario</t>
        </is>
      </c>
      <c r="C123"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3"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3" s="10" t="inlineStr">
        <is>
          <t>UNI EN 81-20:2020, 5.2.1.7 (ganci o punti di ancoraggio con la portata indicata, ben posizionati); posizione, arrotondamento e minimo sono scelte del software</t>
        </is>
      </c>
      <c r="F123" s="10" t="inlineStr">
        <is>
          <t>UNI EN 81-20:2020, testo della norma, letto il 2026-10-06, p. 26; portate commerciali dei ganci e dei golfari da soffitto</t>
        </is>
      </c>
      <c r="G123" s="10" t="inlineStr">
        <is>
          <t>scelta del software</t>
        </is>
      </c>
      <c r="H123" s="10" t="inlineStr">
        <is>
          <t>—</t>
        </is>
      </c>
      <c r="I123" s="11" t="n"/>
      <c r="J123" s="11" t="n"/>
      <c r="K123" s="11" t="n"/>
      <c r="L123" s="11" t="n"/>
      <c r="M123" s="11" t="n"/>
      <c r="N123" s="11" t="n"/>
    </row>
    <row r="124" ht="121" customHeight="1">
      <c r="A124" s="10" t="n">
        <v>122</v>
      </c>
      <c r="B124" s="10" t="inlineStr">
        <is>
          <t>Locale del macchinario</t>
        </is>
      </c>
      <c r="C124" s="10" t="inlineStr">
        <is>
          <t>Attacchi delle funi in taglia 2:1 — attacchi su una trave o sul telaio dell’argano sono un’alternativa: il tecnico lo indica, e allora P2 e P3 vanno nel carico del basamento</t>
        </is>
      </c>
      <c r="D124"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4" s="10" t="inlineStr">
        <is>
          <t>UNI EN 81-20:2020, 5.2.1.8.1 (carichi sull’edificio) e 5.5.2.3.1 (attacchi delle funi ai punti fissi dei tratti morti); dimensioni scelta del software</t>
        </is>
      </c>
      <c r="F124" s="10" t="inlineStr">
        <is>
          <t>scelta del software (attacchi delle funi sulla soletta come nella pratica italiana), da verificare dal tecnico strutturale</t>
        </is>
      </c>
      <c r="G124" s="10" t="inlineStr">
        <is>
          <t>scelta del software</t>
        </is>
      </c>
      <c r="H124" s="10" t="inlineStr">
        <is>
          <t>—</t>
        </is>
      </c>
      <c r="I124" s="11" t="n"/>
      <c r="J124" s="11" t="n"/>
      <c r="K124" s="11" t="n"/>
      <c r="L124" s="11" t="n"/>
      <c r="M124" s="11" t="n"/>
      <c r="N124" s="11" t="n"/>
    </row>
    <row r="125" ht="147" customHeight="1">
      <c r="A125" s="10" t="n">
        <v>123</v>
      </c>
      <c r="B125" s="10" t="inlineStr">
        <is>
          <t>Locale del macchinario</t>
        </is>
      </c>
      <c r="C125" s="10" t="inlineStr">
        <is>
          <t>Luce, interruttori, prese, aerazione e canaline nel locale</t>
        </is>
      </c>
      <c r="D125"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5"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5" s="10" t="inlineStr">
        <is>
          <t>UNI EN 81-20:2020, testo della norma, letto il 2026-10-06, pp. 25–26, 43, 119</t>
        </is>
      </c>
      <c r="G125" s="10" t="inlineStr">
        <is>
          <t>scelta del software</t>
        </is>
      </c>
      <c r="H125" s="10" t="inlineStr">
        <is>
          <t>—</t>
        </is>
      </c>
      <c r="I125" s="11" t="n"/>
      <c r="J125" s="11" t="n"/>
      <c r="K125" s="11" t="n"/>
      <c r="L125" s="11" t="n"/>
      <c r="M125" s="11" t="n"/>
      <c r="N125" s="11" t="n"/>
    </row>
    <row r="126" ht="69" customHeight="1">
      <c r="A126" s="10" t="n">
        <v>124</v>
      </c>
      <c r="B126" s="10" t="inlineStr">
        <is>
          <t>Locale del macchinario</t>
        </is>
      </c>
      <c r="C126" s="10" t="inlineStr">
        <is>
          <t>Illuminazione del vano e del locale del macchinario</t>
        </is>
      </c>
      <c r="D126" s="10" t="inlineStr">
        <is>
          <t>vano: luce fissa, almeno 50 lux a un metro dal tetto di cabina e dal fondo della fossa, 20 lux nel resto; locale del macchinario: almeno 200 lux al pavimento dove si lavora e 50 lux sui percorsi; 50 lux anche sull’accesso al macchinario</t>
        </is>
      </c>
      <c r="E126" s="10" t="inlineStr">
        <is>
          <t>UNI EN 81-20:2020, 5.2.1.4.1 a)–c), 5.2.1.4.2 e 5.2.2.2</t>
        </is>
      </c>
      <c r="F126" s="10" t="inlineStr">
        <is>
          <t>UNI EN 81-20:2020, testo della norma, letto il 2026-10-06, p. 25</t>
        </is>
      </c>
      <c r="G126" s="10" t="inlineStr">
        <is>
          <t>confermato</t>
        </is>
      </c>
      <c r="H126" s="10" t="inlineStr">
        <is>
          <t>—</t>
        </is>
      </c>
      <c r="I126" s="11" t="n"/>
      <c r="J126" s="11" t="n"/>
      <c r="K126" s="11" t="n"/>
      <c r="L126" s="11" t="n"/>
      <c r="M126" s="11" t="n"/>
      <c r="N126" s="11" t="n"/>
    </row>
    <row r="127" ht="43" customHeight="1">
      <c r="A127" s="10" t="n">
        <v>125</v>
      </c>
      <c r="B127" s="10" t="inlineStr">
        <is>
          <t>Locale del macchinario</t>
        </is>
      </c>
      <c r="C127" s="10" t="inlineStr">
        <is>
          <t>Temperatura dei locali del macchinario e degli armadi</t>
        </is>
      </c>
      <c r="D127" s="10" t="inlineStr">
        <is>
          <t>temperatura ambiente mantenuta tra +5 °C e +40 °C: ipotesi della norma, da garantire nell’edificio</t>
        </is>
      </c>
      <c r="E127" s="10" t="inlineStr">
        <is>
          <t>UNI EN 81-20:2020, 0.4.16 (ipotesi della norma, vale anche per il vano)</t>
        </is>
      </c>
      <c r="F127" s="10" t="inlineStr">
        <is>
          <t>UNI EN 81-20:2020, testo della norma, letto il 2026-10-06, p. 14</t>
        </is>
      </c>
      <c r="G127" s="10" t="inlineStr">
        <is>
          <t>confermato</t>
        </is>
      </c>
      <c r="H127" s="10" t="inlineStr">
        <is>
          <t>—</t>
        </is>
      </c>
      <c r="I127" s="11" t="n"/>
      <c r="J127" s="11" t="n"/>
      <c r="K127" s="11" t="n"/>
      <c r="L127" s="11" t="n"/>
      <c r="M127" s="11" t="n"/>
      <c r="N127" s="11" t="n"/>
    </row>
    <row r="128" ht="407" customHeight="1">
      <c r="A128" s="10" t="n">
        <v>126</v>
      </c>
      <c r="B128" s="10" t="inlineStr">
        <is>
          <t>Locale del macchinario</t>
        </is>
      </c>
      <c r="C128"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8"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8" s="10" t="inlineStr">
        <is>
          <t>UNI EN 81-20:2020, 5.2.1.8 (carichi sull’edificio); scelta del costruttore</t>
        </is>
      </c>
      <c r="F128"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8" s="10" t="inlineStr">
        <is>
          <t>scelta del software</t>
        </is>
      </c>
      <c r="H128" s="10" t="inlineStr">
        <is>
          <t>telaio o plinto sotto tutti gli appoggi dell’argano</t>
        </is>
      </c>
      <c r="I128" s="11" t="n"/>
      <c r="J128" s="11" t="n"/>
      <c r="K128" s="11" t="n"/>
      <c r="L128" s="11" t="n"/>
      <c r="M128" s="11" t="n"/>
      <c r="N128" s="11" t="n"/>
    </row>
    <row r="129" ht="420" customHeight="1">
      <c r="A129" s="10" t="n">
        <v>127</v>
      </c>
      <c r="B129" s="10" t="inlineStr">
        <is>
          <t>Locale del macchinario</t>
        </is>
      </c>
      <c r="C129"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29"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29" s="10" t="inlineStr">
        <is>
          <t>regola del committente (Panev): il telaio ha tre ferri sopra e la puleggia fra i ferri, altrimenti si ribalterebbe</t>
        </is>
      </c>
      <c r="F129"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29" s="10" t="inlineStr">
        <is>
          <t>scelta del software</t>
        </is>
      </c>
      <c r="H129" s="10" t="inlineStr">
        <is>
          <t>—</t>
        </is>
      </c>
      <c r="I129" s="11" t="n"/>
      <c r="J129" s="11" t="n"/>
      <c r="K129" s="11" t="n"/>
      <c r="L129" s="11" t="n"/>
      <c r="M129" s="11" t="n"/>
      <c r="N129" s="11" t="n"/>
    </row>
    <row r="130" ht="576" customHeight="1">
      <c r="A130" s="10" t="n">
        <v>128</v>
      </c>
      <c r="B130" s="10" t="inlineStr">
        <is>
          <t>Locale del macchinario</t>
        </is>
      </c>
      <c r="C130" s="10" t="inlineStr">
        <is>
          <t>Puleggia di rinvio nel locale del macchinario — fino a LIFT 1.27.0 e ROOM 1.11.0 il telaio del costruttore era disegnato e verificato lungo quanto il nostro (l’argano e il rinvio più 100 mm a ogni estremità), non quanto a catalogo</t>
        </is>
      </c>
      <c r="D130"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0" s="10" t="inlineStr">
        <is>
          <t>regola del committente (Panev): il rinvio sta nel telaio del locale macchina, mai nel vano; UNI EN 81-20:2020, 5.2.1.8 (carichi sull’edificio)</t>
        </is>
      </c>
      <c r="F130"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0" s="10" t="inlineStr">
        <is>
          <t>scelta del software</t>
        </is>
      </c>
      <c r="H130" s="10" t="inlineStr">
        <is>
          <t>calata del contrappeso nel telaio con rinvio del costruttore; argano e rinvio dentro la lunghezza del telaio con rinvio del costruttore</t>
        </is>
      </c>
      <c r="I130" s="11" t="n"/>
      <c r="J130" s="11" t="n"/>
      <c r="K130" s="11" t="n"/>
      <c r="L130" s="11" t="n"/>
      <c r="M130" s="11" t="n"/>
      <c r="N130" s="11" t="n"/>
    </row>
    <row r="131" ht="485" customHeight="1">
      <c r="A131" s="10" t="n">
        <v>129</v>
      </c>
      <c r="B131" s="10" t="inlineStr">
        <is>
          <t>Locale del macchinario</t>
        </is>
      </c>
      <c r="C131"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1"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1" s="10" t="inlineStr">
        <is>
          <t>—</t>
        </is>
      </c>
      <c r="F131" s="10" t="inlineStr">
        <is>
          <t>geometria del progetto: la pianta e l’altezza del locale inserite, gli ingombri dell’argano e del basamento; il verso dell’argano: scelta del software</t>
        </is>
      </c>
      <c r="G131" s="10" t="inlineStr">
        <is>
          <t>derivazione</t>
        </is>
      </c>
      <c r="H131" s="10" t="inlineStr">
        <is>
          <t>argano dentro il locale (muri e soffitto); puleggia di rinvio sul suo supporto sotto l’argano; rami alla macchina in basso liberi da parete, contrappeso, staffe e muri</t>
        </is>
      </c>
      <c r="I131" s="11" t="n"/>
      <c r="J131" s="11" t="n"/>
      <c r="K131" s="11" t="n"/>
      <c r="L131" s="11" t="n"/>
      <c r="M131" s="11" t="n"/>
      <c r="N131" s="11" t="n"/>
    </row>
    <row r="132" ht="316" customHeight="1">
      <c r="A132" s="10" t="n">
        <v>130</v>
      </c>
      <c r="B132" s="10" t="inlineStr">
        <is>
          <t>Locale del macchinario</t>
        </is>
      </c>
      <c r="C132"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2"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2"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2"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2" s="10" t="inlineStr">
        <is>
          <t>da verificare</t>
        </is>
      </c>
      <c r="H132" s="10" t="inlineStr">
        <is>
          <t>tensione nelle putrelle sotto l’argano; freccia delle putrelle sotto l’argano; appoggio delle putrelle sotto l’argano nei muri, fuori dalla porta</t>
        </is>
      </c>
      <c r="I132" s="11" t="n"/>
      <c r="J132" s="11" t="n"/>
      <c r="K132" s="11" t="n"/>
      <c r="L132" s="11" t="n"/>
      <c r="M132" s="11" t="n"/>
      <c r="N132" s="11" t="n"/>
    </row>
    <row r="133" ht="147" customHeight="1">
      <c r="A133" s="10" t="n">
        <v>131</v>
      </c>
      <c r="B133" s="10" t="inlineStr">
        <is>
          <t>Locale del macchinario</t>
        </is>
      </c>
      <c r="C133"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3"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3" s="10" t="inlineStr">
        <is>
          <t>—</t>
        </is>
      </c>
      <c r="F133" s="10" t="inlineStr">
        <is>
          <t>tolleranza scelta dal software per il rilievo in sito (le funi a qualche metro dal basamento): da confermare con l’installatore</t>
        </is>
      </c>
      <c r="G133" s="10" t="inlineStr">
        <is>
          <t>scelta del software</t>
        </is>
      </c>
      <c r="H133" s="10" t="inlineStr">
        <is>
          <t>sostituzione: calate della nuova macchina sulle calate esistenti</t>
        </is>
      </c>
      <c r="I133" s="11" t="n"/>
      <c r="J133" s="11" t="n"/>
      <c r="K133" s="11" t="n"/>
      <c r="L133" s="11" t="n"/>
      <c r="M133" s="11" t="n"/>
      <c r="N133" s="11" t="n"/>
    </row>
    <row r="134" ht="693" customHeight="1">
      <c r="A134" s="10" t="n">
        <v>132</v>
      </c>
      <c r="B134" s="10" t="inlineStr">
        <is>
          <t>Locale del macchinario</t>
        </is>
      </c>
      <c r="C134"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4"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4" s="10" t="inlineStr">
        <is>
          <t>UNI EN 81-20:2020, 5.2.1.8.1 e appendice E.1 (carichi sull’edificio); NTC 2018, §4.2.4.1.1 (γM0), Tab. 11.3.IX (S275), §11.3.4.1 (E); DPR 1497/1963, art. 5.1–5.2 (freccia ≤ 1/1500 della luce libera); proprietà dei profili EN 10365</t>
        </is>
      </c>
      <c r="F134"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4" s="10" t="inlineStr">
        <is>
          <t>scelta del software</t>
        </is>
      </c>
      <c r="H134"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4" s="11" t="n"/>
      <c r="J134" s="11" t="n"/>
      <c r="K134" s="11" t="n"/>
      <c r="L134" s="11" t="n"/>
      <c r="M134" s="11" t="n"/>
      <c r="N134" s="11" t="n"/>
    </row>
    <row r="135" ht="147" customHeight="1">
      <c r="A135" s="10" t="n">
        <v>133</v>
      </c>
      <c r="B135" s="10" t="inlineStr">
        <is>
          <t>Carichi sull’edificio e spinte sulle guide</t>
        </is>
      </c>
      <c r="C135"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5"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5" s="10" t="inlineStr">
        <is>
          <t>UNI EN 81-20:2020, 5.2.1.8.4–5.2.1.8.6, 5.7.2.3.5 e Prospetto 14 (k1)</t>
        </is>
      </c>
      <c r="F135" s="10" t="inlineStr">
        <is>
          <t>UNI EN 81-20:2020, testo della norma, letto il 2026-10-06, pp. 27, 94–96</t>
        </is>
      </c>
      <c r="G135" s="10" t="inlineStr">
        <is>
          <t>confermato</t>
        </is>
      </c>
      <c r="H135" s="10" t="inlineStr">
        <is>
          <t>—</t>
        </is>
      </c>
      <c r="I135" s="11" t="n"/>
      <c r="J135" s="11" t="n"/>
      <c r="K135" s="11" t="n"/>
      <c r="L135" s="11" t="n"/>
      <c r="M135" s="11" t="n"/>
      <c r="N135" s="11" t="n"/>
    </row>
    <row r="136" ht="108" customHeight="1">
      <c r="A136" s="10" t="n">
        <v>134</v>
      </c>
      <c r="B136" s="10" t="inlineStr">
        <is>
          <t>Carichi sull’edificio e spinte sulle guide</t>
        </is>
      </c>
      <c r="C136" s="10" t="inlineStr">
        <is>
          <t>Spinte sulle guide di cabina — h, la distanza tra i pattini, è una stima del software (l’ingombro verticale dell’arcata)</t>
        </is>
      </c>
      <c r="D136"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6" s="10" t="inlineStr">
        <is>
          <t>UNI EN 81-50:2020, appendice C (informativa), C.2.1.1 e C.2.2.1; UNI EN 81-20:2020, 5.7.2.3.4 (portata su 3/4 della superficie: 1/8) e Prospetto 14 (k1; k2 = 1,2)</t>
        </is>
      </c>
      <c r="F136" s="10" t="inlineStr">
        <is>
          <t>UNI EN 81-50:2020, testo della norma, letto il 2026-10-06, pp. 77–79; UNI EN 81-20:2020, testo della norma, letto il 2026-10-06, pp. 94–96</t>
        </is>
      </c>
      <c r="G136" s="10" t="inlineStr">
        <is>
          <t>confermato</t>
        </is>
      </c>
      <c r="H136" s="10" t="inlineStr">
        <is>
          <t>—</t>
        </is>
      </c>
      <c r="I136" s="11" t="n"/>
      <c r="J136" s="11" t="n"/>
      <c r="K136" s="11" t="n"/>
      <c r="L136" s="11" t="n"/>
      <c r="M136" s="11" t="n"/>
      <c r="N136" s="11" t="n"/>
    </row>
    <row r="137" ht="108" customHeight="1">
      <c r="A137" s="10" t="n">
        <v>135</v>
      </c>
      <c r="B137" s="10" t="inlineStr">
        <is>
          <t>Carichi sull’edificio e spinte sulle guide</t>
        </is>
      </c>
      <c r="C137" s="10" t="inlineStr">
        <is>
          <t>Carico della macchina sulla soletta</t>
        </is>
      </c>
      <c r="D137" s="10" t="inlineStr">
        <is>
          <t>carico statico sull’asse (cabina, portata, contrappeso, funi, cavi; in taglia 2:1 la metà di cabina, portata e contrappeso) × 2 come coefficiente dinamico; sulla soletta anche la massa di macchina e telaio</t>
        </is>
      </c>
      <c r="E137" s="10" t="inlineStr">
        <is>
          <t>UNI EN 81-20:2020, 5.2.1.8.1 e appendice E.1 (informativa: l’effetto dinamico delle masse in moto con un fattore 2); il DPR 1497/1963, art. 5.1, per gli impianti costruiti secondo esso chiedeva 1,5 volte il carico statico delle funi</t>
        </is>
      </c>
      <c r="F137" s="10" t="inlineStr">
        <is>
          <t>UNI EN 81-20:2020, testo della norma, letto il 2026-10-06, pp. 26, 148</t>
        </is>
      </c>
      <c r="G137" s="10" t="inlineStr">
        <is>
          <t>confermato</t>
        </is>
      </c>
      <c r="H137" s="10" t="inlineStr">
        <is>
          <t>—</t>
        </is>
      </c>
      <c r="I137" s="11" t="n"/>
      <c r="J137" s="11" t="n"/>
      <c r="K137" s="11" t="n"/>
      <c r="L137" s="11" t="n"/>
      <c r="M137" s="11" t="n"/>
      <c r="N137" s="11" t="n"/>
    </row>
    <row r="138" ht="199" customHeight="1">
      <c r="A138" s="10" t="n">
        <v>136</v>
      </c>
      <c r="B138" s="10" t="inlineStr">
        <is>
          <t>Carichi sull’edificio e spinte sulle guide</t>
        </is>
      </c>
      <c r="C138" s="10" t="inlineStr">
        <is>
          <t>Arcata esistente sotto la cabina nuova o la portata nuova: verifica per i nuovi carichi — la UNI 10411-11:2024 (6.1) esclude la 6.9 quando aumenta solo il carico lato contrappeso; con l’arcata sostituita la verifica non si fa</t>
        </is>
      </c>
      <c r="D138"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38" s="10" t="inlineStr">
        <is>
          <t>UNI 10411-1:2024, 6.1 e 6.9; UNI 10411-11:2024, 6.1, 6.9 e 22</t>
        </is>
      </c>
      <c r="F138" s="10" t="inlineStr">
        <is>
          <t>UNI 10411-1:2024, testo della norma, letto il 2026-10-06, pp. 7–8; UNI 10411-11:2024, testo della norma, letto il 2026-10-06, pp. 7–8 e 15</t>
        </is>
      </c>
      <c r="G138" s="10" t="inlineStr">
        <is>
          <t>confermato</t>
        </is>
      </c>
      <c r="H138" s="10" t="inlineStr">
        <is>
          <t>modifica: arcata esistente con carichi oltre i limiti (T* o portata) o non documentati, da verificare per i nuovi carichi</t>
        </is>
      </c>
      <c r="I138" s="11" t="n"/>
      <c r="J138" s="11" t="n"/>
      <c r="K138" s="11" t="n"/>
      <c r="L138" s="11" t="n"/>
      <c r="M138" s="11" t="n"/>
      <c r="N138" s="11" t="n"/>
    </row>
    <row r="139" ht="43" customHeight="1">
      <c r="A139" s="10" t="n">
        <v>137</v>
      </c>
      <c r="B139" s="10" t="inlineStr">
        <is>
          <t>Carichi sull’edificio e spinte sulle guide</t>
        </is>
      </c>
      <c r="C139" s="10" t="inlineStr">
        <is>
          <t>Massa dei cavi flessibili</t>
        </is>
      </c>
      <c r="D139" s="10" t="inlineStr">
        <is>
          <t>0,5 kg/m per metà della corsa più 3 m (cavo piatto 24G0,75), sul basamento dell’argano, nella relazione e nel foglio 1</t>
        </is>
      </c>
      <c r="E139" s="10" t="inlineStr">
        <is>
          <t>—</t>
        </is>
      </c>
      <c r="F139" s="10" t="inlineStr">
        <is>
          <t>schede dei costruttori di cavi piatti (0,48–0,57 kg/m)</t>
        </is>
      </c>
      <c r="G139" s="10" t="inlineStr">
        <is>
          <t>stima</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0" s="10" t="inlineStr">
        <is>
          <t>regola di montaggio indicata dal committente</t>
        </is>
      </c>
      <c r="F140" s="10" t="inlineStr">
        <is>
          <t>scelta del committente</t>
        </is>
      </c>
      <c r="G140" s="10" t="inlineStr">
        <is>
          <t>scelta del software</t>
        </is>
      </c>
      <c r="H140" s="10" t="inlineStr">
        <is>
          <t>—</t>
        </is>
      </c>
      <c r="I140" s="11" t="n"/>
      <c r="J140" s="11" t="n"/>
      <c r="K140" s="11" t="n"/>
      <c r="L140" s="11" t="n"/>
      <c r="M140" s="11" t="n"/>
      <c r="N140" s="11" t="n"/>
    </row>
    <row r="141" ht="82" customHeight="1">
      <c r="A141" s="10" t="n">
        <v>139</v>
      </c>
      <c r="B141" s="10" t="inlineStr">
        <is>
          <t>Carichi sull’edificio e spinte sulle guide</t>
        </is>
      </c>
      <c r="C141" s="10" t="inlineStr">
        <is>
          <t>Lunghezze stimate nel foglio dei dati</t>
        </is>
      </c>
      <c r="D141"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1" s="10" t="inlineStr">
        <is>
          <t>—</t>
        </is>
      </c>
      <c r="F141" s="10" t="inlineStr">
        <is>
          <t>stima del software, da sostituire con le misure di cantiere</t>
        </is>
      </c>
      <c r="G141" s="10" t="inlineStr">
        <is>
          <t>stima</t>
        </is>
      </c>
      <c r="H141" s="10" t="inlineStr">
        <is>
          <t>—</t>
        </is>
      </c>
      <c r="I141" s="11" t="n"/>
      <c r="J141" s="11" t="n"/>
      <c r="K141" s="11" t="n"/>
      <c r="L141" s="11" t="n"/>
      <c r="M141" s="11" t="n"/>
      <c r="N141" s="11" t="n"/>
    </row>
    <row r="142" ht="186" customHeight="1">
      <c r="A142" s="10" t="n">
        <v>140</v>
      </c>
      <c r="B142" s="10" t="inlineStr">
        <is>
          <t>Carichi sull’edificio e spinte sulle guide</t>
        </is>
      </c>
      <c r="C142" s="10" t="inlineStr">
        <is>
          <t>Reazioni sugli appoggi del basamento (R1…Rn) — P1 resta il carico totale sul basamento; le reazioni non sono simultanee ai carichi P2…P8; la verifica della soletta e dei muri è del tecnico strutturale</t>
        </is>
      </c>
      <c r="D142"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2" s="10" t="inlineStr">
        <is>
          <t>UNI EN 81-20:2020, 5.2.1.8 (carichi sull’edificio); ripartizione scelta del software</t>
        </is>
      </c>
      <c r="F142" s="10" t="inlineStr">
        <is>
          <t>statica elementare (corpo rigido su appoggi elastici uguali; trave appoggiata); per il punzonamento della soletta sotto gambe e antivibranti, dati per il tecnico strutturale</t>
        </is>
      </c>
      <c r="G142" s="10" t="inlineStr">
        <is>
          <t>scelta del software</t>
        </is>
      </c>
      <c r="H142" s="10" t="inlineStr">
        <is>
          <t>—</t>
        </is>
      </c>
      <c r="I142" s="11" t="n"/>
      <c r="J142" s="11" t="n"/>
      <c r="K142" s="11" t="n"/>
      <c r="L142" s="11" t="n"/>
      <c r="M142" s="11" t="n"/>
      <c r="N142" s="11" t="n"/>
    </row>
    <row r="143" ht="329" customHeight="1">
      <c r="A143" s="10" t="n">
        <v>141</v>
      </c>
      <c r="B143" s="10" t="inlineStr">
        <is>
          <t>Carichi sull’edificio e spinte sulle guide</t>
        </is>
      </c>
      <c r="C143"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3"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3" s="10" t="inlineStr">
        <is>
          <t>UNI EN 81-50:2020, 5.10.2–5.10.6; UNI EN 81-20:2020, 5.7.2.3.5, 5.7.2.3.6, 5.7.4.5 (Prospetto 15), 5.7.4.6 e Prospetto 14; UNI EN 81-1:2008, G.2.5 (l’uso non indicato)</t>
        </is>
      </c>
      <c r="F143" s="10" t="inlineStr">
        <is>
          <t>UNI EN 81-50:2020, testo della norma, letto il 2026-10-06, pp. 35–39; UNI EN 81-20:2020, testo della norma, letto il 2026-10-06, pp. 94–97; Rm 370 è scelta del software (il valore più basso)</t>
        </is>
      </c>
      <c r="G143" s="10" t="inlineStr">
        <is>
          <t>confermato</t>
        </is>
      </c>
      <c r="H143" s="10" t="inlineStr">
        <is>
          <t>tensioni nelle guide di cabina; flessione della suola delle guide di cabina; frecce delle guide di cabina</t>
        </is>
      </c>
      <c r="I143" s="11" t="n"/>
      <c r="J143" s="11" t="n"/>
      <c r="K143" s="11" t="n"/>
      <c r="L143" s="11" t="n"/>
      <c r="M143" s="11" t="n"/>
      <c r="N143" s="11" t="n"/>
    </row>
    <row r="144" ht="147" customHeight="1">
      <c r="A144" s="10" t="n">
        <v>142</v>
      </c>
      <c r="B144" s="10" t="inlineStr">
        <is>
          <t>Carichi sull’edificio e spinte sulle guide</t>
        </is>
      </c>
      <c r="C144" s="10" t="inlineStr">
        <is>
          <t>Sezioni delle guide di cabina</t>
        </is>
      </c>
      <c r="D144" s="10" t="inlineStr">
        <is>
          <t>area, momenti d’inerzia e moduli di resistenza minimi attorno all’asse parallelo alla suola (x) e all’asse di simmetria (y), spessore c del collo tra lama e suola, per ogni profilo del software; raggi d’inerzia calcolati come √(I/A)</t>
        </is>
      </c>
      <c r="E144" s="10" t="inlineStr">
        <is>
          <t>ISO 7465:2007 (ora ISO 8100-33:2022); EN 10055:1995 per il T 70×70×8 laminato</t>
        </is>
      </c>
      <c r="F144"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4" s="10" t="inlineStr">
        <is>
          <t>da verificare</t>
        </is>
      </c>
      <c r="H144" s="10" t="inlineStr">
        <is>
          <t>—</t>
        </is>
      </c>
      <c r="I144" s="11" t="n"/>
      <c r="J144" s="11" t="n"/>
      <c r="K144" s="11" t="n"/>
      <c r="L144" s="11" t="n"/>
      <c r="M144" s="11" t="n"/>
      <c r="N144" s="11" t="n"/>
    </row>
    <row r="145" ht="69" customHeight="1">
      <c r="A145" s="10" t="n">
        <v>143</v>
      </c>
      <c r="B145" s="10" t="inlineStr">
        <is>
          <t>Carichi sull’edificio e spinte sulle guide</t>
        </is>
      </c>
      <c r="C145" s="10" t="inlineStr">
        <is>
          <t>Tipo di paracadute per la velocità nominale</t>
        </is>
      </c>
      <c r="D145" s="10" t="inlineStr">
        <is>
          <t>istantaneo (anche a rulli imprigionati) fino a 0,63 m/s; oltre, progressivo (la UNI EN 81-20 non ha più l’istantaneo con effetto ammortizzato fino a 1 m/s); il tipo viene dai dati dell’impianto (se manca: progressivo, con la nota sul foglio)</t>
        </is>
      </c>
      <c r="E145" s="10" t="inlineStr">
        <is>
          <t>UNI EN 81-20:2020, 5.6.2.1.2.1; la regola precedente in UNI EN 81-1 (1999, 2008), 9.8.2.1</t>
        </is>
      </c>
      <c r="F145" s="10" t="inlineStr">
        <is>
          <t>UNI EN 81-20:2020, testo della norma, letto il 2026-10-06, p. 81; UNI EN 81-1:2008, testo della norma, letto il 2026-10-06, p. 58</t>
        </is>
      </c>
      <c r="G145" s="10" t="inlineStr">
        <is>
          <t>confermato</t>
        </is>
      </c>
      <c r="H145" s="10" t="inlineStr">
        <is>
          <t>tipo di paracadute per la velocità</t>
        </is>
      </c>
      <c r="I145" s="11" t="n"/>
      <c r="J145" s="11" t="n"/>
      <c r="K145" s="11" t="n"/>
      <c r="L145" s="11" t="n"/>
      <c r="M145" s="11" t="n"/>
      <c r="N145" s="11" t="n"/>
    </row>
    <row r="146" ht="264" customHeight="1">
      <c r="A146" s="10" t="n">
        <v>144</v>
      </c>
      <c r="B146" s="10" t="inlineStr">
        <is>
          <t>Carichi sull’edificio e spinte sulle guide</t>
        </is>
      </c>
      <c r="C146"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6"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6" s="10" t="inlineStr">
        <is>
          <t>UNI EN 81-20:2020, 5.2.5.4, 5.2.1.8.4, 5.6.2.1.2.3, prospetto 11 (5.6.1.2), 5.6.2.2.2 e 5.6.2.2.3; UNI EN 81-50:2020, 5.10</t>
        </is>
      </c>
      <c r="F146" s="10" t="inlineStr">
        <is>
          <t>UNI EN 81-20:2020, testo della norma, letto il 2026-10-06, pp. 27, 35, 79, 81</t>
        </is>
      </c>
      <c r="G146" s="10" t="inlineStr">
        <is>
          <t>confermato</t>
        </is>
      </c>
      <c r="H146" s="10" t="inlineStr">
        <is>
          <t>paracadute del contrappeso con spazi accessibili sotto il vano</t>
        </is>
      </c>
      <c r="I146" s="11" t="n"/>
      <c r="J146" s="11" t="n"/>
      <c r="K146" s="11" t="n"/>
      <c r="L146" s="11" t="n"/>
      <c r="M146" s="11" t="n"/>
      <c r="N146" s="11" t="n"/>
    </row>
    <row r="147" ht="225" customHeight="1">
      <c r="A147" s="10" t="n">
        <v>145</v>
      </c>
      <c r="B147" s="10" t="inlineStr">
        <is>
          <t>Carichi sull’edificio e spinte sulle guide</t>
        </is>
      </c>
      <c r="C147"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47"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47" s="10" t="inlineStr">
        <is>
          <t>UNI EN 81-20:2020, 5.7.2.3.3, 5.7.2.3.5, Prospetto 14 e 5.7.4.5; UNI EN 81-50:2020, 5.10.2–5.10.4</t>
        </is>
      </c>
      <c r="F147" s="10" t="inlineStr">
        <is>
          <t>UNI EN 81-20:2020, testo della norma, letto il 2026-10-06, pp. 94–97; UNI EN 81-50:2020, testo della norma, letto il 2026-10-06, pp. 35–38; la distanza fra i pattini è scelta del software</t>
        </is>
      </c>
      <c r="G147" s="10" t="inlineStr">
        <is>
          <t>confermato</t>
        </is>
      </c>
      <c r="H147" s="10" t="inlineStr">
        <is>
          <t>guide del contrappeso alla presa del suo paracadute</t>
        </is>
      </c>
      <c r="I147" s="11" t="n"/>
      <c r="J147" s="11" t="n"/>
      <c r="K147" s="11" t="n"/>
      <c r="L147" s="11" t="n"/>
      <c r="M147" s="11" t="n"/>
      <c r="N147" s="11" t="n"/>
    </row>
    <row r="148" ht="43" customHeight="1">
      <c r="A148" s="10" t="n">
        <v>146</v>
      </c>
      <c r="B148" s="10" t="inlineStr">
        <is>
          <t>Vano: limiti del progetto</t>
        </is>
      </c>
      <c r="C148" s="10" t="inlineStr">
        <is>
          <t>Dimensioni proposte della cabina</t>
        </is>
      </c>
      <c r="D148" s="10" t="inlineStr">
        <is>
          <t>la cabina più grande che entra nel vano, a passi di 10 mm, con superficie entro il limite della portata; a parità di superficie, la più profonda</t>
        </is>
      </c>
      <c r="E148" s="10" t="inlineStr">
        <is>
          <t>—</t>
        </is>
      </c>
      <c r="F148" s="10" t="inlineStr">
        <is>
          <t>scelta del software</t>
        </is>
      </c>
      <c r="G148" s="10" t="inlineStr">
        <is>
          <t>scelta del software</t>
        </is>
      </c>
      <c r="H148" s="10" t="inlineStr">
        <is>
          <t>—</t>
        </is>
      </c>
      <c r="I148" s="11" t="n"/>
      <c r="J148" s="11" t="n"/>
      <c r="K148" s="11" t="n"/>
      <c r="L148" s="11" t="n"/>
      <c r="M148" s="11" t="n"/>
      <c r="N148" s="11" t="n"/>
    </row>
    <row r="149" ht="225" customHeight="1">
      <c r="A149" s="10" t="n">
        <v>147</v>
      </c>
      <c r="B149" s="10" t="inlineStr">
        <is>
          <t>Vano: limiti del progetto</t>
        </is>
      </c>
      <c r="C149" s="10" t="inlineStr">
        <is>
          <t>Quote della pianta fissate a mano</t>
        </is>
      </c>
      <c r="D149"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49" s="10" t="inlineStr">
        <is>
          <t>—</t>
        </is>
      </c>
      <c r="F149" s="10" t="inlineStr">
        <is>
          <t>scelta del software</t>
        </is>
      </c>
      <c r="G149" s="10" t="inlineStr">
        <is>
          <t>scelta del software</t>
        </is>
      </c>
      <c r="H149" s="10" t="inlineStr">
        <is>
          <t>quote fissate a mano: ingombri al loro posto; quote fissate a mano: porte dentro la cabina; ammortizzatori fissati a mano: sotto cabina e contrappeso, fuori dal rifugio</t>
        </is>
      </c>
      <c r="I149" s="11" t="n"/>
      <c r="J149" s="11" t="n"/>
      <c r="K149" s="11" t="n"/>
      <c r="L149" s="11" t="n"/>
      <c r="M149" s="11" t="n"/>
      <c r="N149" s="11" t="n"/>
    </row>
    <row r="150" ht="82" customHeight="1">
      <c r="A150" s="10" t="n">
        <v>148</v>
      </c>
      <c r="B150" s="10" t="inlineStr">
        <is>
          <t>Vano: limiti del progetto</t>
        </is>
      </c>
      <c r="C150" s="10" t="inlineStr">
        <is>
          <t>Limiti del modello del vano</t>
        </is>
      </c>
      <c r="D150" s="10" t="inlineStr">
        <is>
          <t>pianta, sezione A-A e locale macchina da un modello semplificato: arcata, operatori delle porte, ammortizzatori e macchina hanno posizioni e ingombri tipici, da sostituire con i dati dei fornitori; il rilievo dal disegno CAD va controllato in cantiere</t>
        </is>
      </c>
      <c r="E150" s="10" t="inlineStr">
        <is>
          <t>—</t>
        </is>
      </c>
      <c r="F150" s="10" t="inlineStr">
        <is>
          <t>limite del modello attuale</t>
        </is>
      </c>
      <c r="G150" s="10" t="inlineStr">
        <is>
          <t>scelta del software</t>
        </is>
      </c>
      <c r="H150" s="10" t="inlineStr">
        <is>
          <t>—</t>
        </is>
      </c>
      <c r="I150" s="11" t="n"/>
      <c r="J150" s="11" t="n"/>
      <c r="K150" s="11" t="n"/>
      <c r="L150" s="11" t="n"/>
      <c r="M150" s="11" t="n"/>
      <c r="N150" s="11" t="n"/>
    </row>
    <row r="151" ht="550" customHeight="1">
      <c r="A151" s="10" t="n">
        <v>149</v>
      </c>
      <c r="B151" s="10" t="inlineStr">
        <is>
          <t>Vano: limiti del progetto</t>
        </is>
      </c>
      <c r="C151" s="10" t="inlineStr">
        <is>
          <t>Verifiche che il software non calcola</t>
        </is>
      </c>
      <c r="D151"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nuova macchina;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1"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1" s="10" t="inlineStr">
        <is>
          <t>UNI EN 81-20:2020, testo della norma, letto il 2026-10-06, pp. 31–43, 89–97; analisi delle lacune del 2026-10-03</t>
        </is>
      </c>
      <c r="G151" s="10" t="inlineStr">
        <is>
          <t>scelta del software</t>
        </is>
      </c>
      <c r="H151" s="10" t="inlineStr">
        <is>
          <t>—</t>
        </is>
      </c>
      <c r="I151" s="11" t="n"/>
      <c r="J151" s="11" t="n"/>
      <c r="K151" s="11" t="n"/>
      <c r="L151" s="11" t="n"/>
      <c r="M151" s="11" t="n"/>
      <c r="N151" s="11" t="n"/>
    </row>
    <row r="152" ht="56" customHeight="1">
      <c r="A152" s="10" t="n">
        <v>150</v>
      </c>
      <c r="B152" s="10" t="inlineStr">
        <is>
          <t>Impianto: valori calcolati dai dati inseriti una volta</t>
        </is>
      </c>
      <c r="C152" s="10" t="inlineStr">
        <is>
          <t>Corsa</t>
        </is>
      </c>
      <c r="D152" s="10" t="inlineStr">
        <is>
          <t>somma delle altezze tra i piani, dal più basso al più alto</t>
        </is>
      </c>
      <c r="E152" s="10" t="inlineStr">
        <is>
          <t>—</t>
        </is>
      </c>
      <c r="F152" s="10" t="inlineStr">
        <is>
          <t>dati dei piani inseriti</t>
        </is>
      </c>
      <c r="G152" s="10" t="inlineStr">
        <is>
          <t>derivazione</t>
        </is>
      </c>
      <c r="H152" s="10" t="inlineStr">
        <is>
          <t>—</t>
        </is>
      </c>
      <c r="I152" s="11" t="n"/>
      <c r="J152" s="11" t="n"/>
      <c r="K152" s="11" t="n"/>
      <c r="L152" s="11" t="n"/>
      <c r="M152" s="11" t="n"/>
      <c r="N152" s="11" t="n"/>
    </row>
    <row r="153" ht="56" customHeight="1">
      <c r="A153" s="10" t="n">
        <v>151</v>
      </c>
      <c r="B153" s="10" t="inlineStr">
        <is>
          <t>Impianto: valori calcolati dai dati inseriti una volta</t>
        </is>
      </c>
      <c r="C153" s="10" t="inlineStr">
        <is>
          <t>Portata e velocità — In una modifica il confronto con i carichi documentati è nella voce impianto.variazione.carico.</t>
        </is>
      </c>
      <c r="D153" s="10" t="inlineStr">
        <is>
          <t>la portata inserita, oppure quella della cabina più grande che entra nel vano (Tabella 6); la velocità è una sola per il vano e per la macchina</t>
        </is>
      </c>
      <c r="E153" s="10" t="inlineStr">
        <is>
          <t>UNI EN 81-20:2020, 5.4.2.1</t>
        </is>
      </c>
      <c r="F153" s="10" t="inlineStr">
        <is>
          <t>progetto del vano</t>
        </is>
      </c>
      <c r="G153" s="10" t="inlineStr">
        <is>
          <t>derivazione</t>
        </is>
      </c>
      <c r="H153" s="10" t="inlineStr">
        <is>
          <t>—</t>
        </is>
      </c>
      <c r="I153" s="11" t="n"/>
      <c r="J153" s="11" t="n"/>
      <c r="K153" s="11" t="n"/>
      <c r="L153" s="11" t="n"/>
      <c r="M153" s="11" t="n"/>
      <c r="N153" s="11" t="n"/>
    </row>
    <row r="154" ht="212" customHeight="1">
      <c r="A154" s="10" t="n">
        <v>152</v>
      </c>
      <c r="B154" s="10" t="inlineStr">
        <is>
          <t>Impianto: valori calcolati dai dati inseriti una volta</t>
        </is>
      </c>
      <c r="C154"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54"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4" s="10" t="inlineStr">
        <is>
          <t>UNI 10411-1:2024, 6.1 (prospetti 1 e 2); UNI 10411-11:2024, 6.1 e 6.2</t>
        </is>
      </c>
      <c r="F154" s="10" t="inlineStr">
        <is>
          <t>UNI 10411-1:2024, testo della norma, letto il 2026-10-06, p. 7; UNI 10411-11:2024, testo della norma, letto il 2026-10-06, pp. 7–8</t>
        </is>
      </c>
      <c r="G154" s="10" t="inlineStr">
        <is>
          <t>confermato</t>
        </is>
      </c>
      <c r="H154" s="10" t="inlineStr">
        <is>
          <t>—</t>
        </is>
      </c>
      <c r="I154" s="11" t="n"/>
      <c r="J154" s="11" t="n"/>
      <c r="K154" s="11" t="n"/>
      <c r="L154" s="11" t="n"/>
      <c r="M154" s="11" t="n"/>
      <c r="N154" s="11" t="n"/>
    </row>
    <row r="155" ht="108" customHeight="1">
      <c r="A155" s="10" t="n">
        <v>153</v>
      </c>
      <c r="B155" s="10" t="inlineStr">
        <is>
          <t>Impianto: valori calcolati dai dati inseriti una volta</t>
        </is>
      </c>
      <c r="C155" s="10" t="inlineStr">
        <is>
          <t>Modifica: UNI 10411-1 o UNI 10411-11 — la data dal DPR 162/1999 è una lettura dell’articolo 19 (messa in servizio secondo le regole precedenti fino al 30 giugno 1999)</t>
        </is>
      </c>
      <c r="D155"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55" s="10" t="inlineStr">
        <is>
          <t>UNI 10411-11:2024, 1 e 3.3–3.4; UNI 10411-1:2024, 1; DPR 162/1999, art. 7 c.2, art. 16 c.1 e c.3, art. 19 c.1</t>
        </is>
      </c>
      <c r="F155" s="10" t="inlineStr">
        <is>
          <t>UNI 10411-1:2024, testo della norma, letto il 2026-10-06, p. 5; UNI 10411-11:2024, testo della norma, letto il 2026-10-06, pp. 5–6; DPR 162/1999 (testo su Normattiva)</t>
        </is>
      </c>
      <c r="G155" s="10" t="inlineStr">
        <is>
          <t>confermato</t>
        </is>
      </c>
      <c r="H155" s="10" t="inlineStr">
        <is>
          <t>—</t>
        </is>
      </c>
      <c r="I155" s="11" t="n"/>
      <c r="J155" s="11" t="n"/>
      <c r="K155" s="11" t="n"/>
      <c r="L155" s="11" t="n"/>
      <c r="M155" s="11" t="n"/>
      <c r="N155" s="11" t="n"/>
    </row>
    <row r="156" ht="316" customHeight="1">
      <c r="A156" s="10" t="n">
        <v>154</v>
      </c>
      <c r="B156" s="10" t="inlineStr">
        <is>
          <t>Impianto: valori calcolati dai dati inseriti una volta</t>
        </is>
      </c>
      <c r="C156"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56"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56" s="10" t="inlineStr">
        <is>
          <t>DPR 162/1999 e s.m.i.; UNI 10411-1:2024; UNI 10411-11:2024; UNI EN 81-20:2020; UNI EN 81-50:2020</t>
        </is>
      </c>
      <c r="F156" s="10" t="inlineStr">
        <is>
          <t>UNI 10411-1:2024, testo della norma, letto il 2026-10-06, pp. 5, 13–14; UNI 10411-11:2024, testo della norma, letto il 2026-10-06, pp. 5, 12; schema ICIM delle verifiche (la verifica straordinaria si limita di norma alle modifiche); ricerca, capitoli 2.4 e 6.6</t>
        </is>
      </c>
      <c r="G156" s="10" t="inlineStr">
        <is>
          <t>scelta del software</t>
        </is>
      </c>
      <c r="H156" s="10" t="inlineStr">
        <is>
          <t>—</t>
        </is>
      </c>
      <c r="I156" s="11" t="n"/>
      <c r="J156" s="11" t="n"/>
      <c r="K156" s="11" t="n"/>
      <c r="L156" s="11" t="n"/>
      <c r="M156" s="11" t="n"/>
      <c r="N156" s="11" t="n"/>
    </row>
    <row r="157" ht="238" customHeight="1">
      <c r="A157" s="10" t="n">
        <v>155</v>
      </c>
      <c r="B157" s="10" t="inlineStr">
        <is>
          <t>Impianto: valori calcolati dai dati inseriti una volta</t>
        </is>
      </c>
      <c r="C157" s="10" t="inlineStr">
        <is>
          <t>Tipo di intervento: solo argano, ammodernamento, trasformazione completa — velocità, portata e corsa variate si indicano tra le parti (la portata entra anche dai carichi documentati); quando l’insieme delle modifiche diventa una sostituzione completa lo conferma il tecnico incaricato con il soggetto che esegue la verifica straordinaria</t>
        </is>
      </c>
      <c r="D157"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57" s="10" t="inlineStr">
        <is>
          <t>DPR 162/1999 e s.m.i., art. 2 c.1 lett. cc), art. 12 c.4–5, art. 14 c.3; UNI 10411-1:2024, 15.1, 16 e 21.1; UNI 10411-11:2024, 15, 16 e 21.1; UNI EN 81-20:2020; UNI EN 81-50:2020</t>
        </is>
      </c>
      <c r="F157" s="10" t="inlineStr">
        <is>
          <t>DPR 162/1999 (testo su Normattiva); UNI 10411-1:2024 e UNI 10411-11:2024, punti citati (il 21.1 come nella voce impianto.rifacimento); ricerca, capitolo 16 §5.3</t>
        </is>
      </c>
      <c r="G157" s="10" t="inlineStr">
        <is>
          <t>scelta del software</t>
        </is>
      </c>
      <c r="H157" s="10" t="inlineStr">
        <is>
          <t>—</t>
        </is>
      </c>
      <c r="I157" s="11" t="n"/>
      <c r="J157" s="11" t="n"/>
      <c r="K157" s="11" t="n"/>
      <c r="L157" s="11" t="n"/>
      <c r="M157" s="11" t="n"/>
      <c r="N157" s="11" t="n"/>
    </row>
    <row r="158" ht="264" customHeight="1">
      <c r="A158" s="10" t="n">
        <v>156</v>
      </c>
      <c r="B158" s="10" t="inlineStr">
        <is>
          <t>Impianto: valori calcolati dai dati inseriti una volta</t>
        </is>
      </c>
      <c r="C158"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58"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58" s="10" t="inlineStr">
        <is>
          <t>DPR 162/1999 e s.m.i., art. 2 c.1 lett. cc), art. 12 c.4, art. 14 c.3; UNI 10411-1:2024; UNI 10411-11:2024; UNI EN 81-21:2022 (scopo)</t>
        </is>
      </c>
      <c r="F158" s="10" t="inlineStr">
        <is>
          <t>indicazione del cliente (5 ottobre 2026): prassi di lasciare l’arcata; ricerca, capitolo 16 §3.2 e §5.3</t>
        </is>
      </c>
      <c r="G158" s="10" t="inlineStr">
        <is>
          <t>prassi di cantiere</t>
        </is>
      </c>
      <c r="H158" s="10" t="inlineStr">
        <is>
          <t>—</t>
        </is>
      </c>
      <c r="I158" s="11" t="n"/>
      <c r="J158" s="11" t="n"/>
      <c r="K158" s="11" t="n"/>
      <c r="L158" s="11" t="n"/>
      <c r="M158" s="11" t="n"/>
      <c r="N158" s="11" t="n"/>
    </row>
    <row r="159" ht="69" customHeight="1">
      <c r="A159" s="10" t="n">
        <v>157</v>
      </c>
      <c r="B159" s="10" t="inlineStr">
        <is>
          <t>Impianto: valori calcolati dai dati inseriti una volta</t>
        </is>
      </c>
      <c r="C159" s="10" t="inlineStr">
        <is>
          <t>Massa della cabina non inserita — va sostituita con la massa del libretto o con quella ricavata dalla prova di bilanciamento; la sensibilità ±10% ne mostra l’effetto</t>
        </is>
      </c>
      <c r="D159" s="10" t="inlineStr">
        <is>
          <t>P = 1,1·Q arrotondata per eccesso a 10 kg: valore di partenza per far girare il calcolo</t>
        </is>
      </c>
      <c r="E159" s="10" t="inlineStr">
        <is>
          <t>ricerca, capitoli 3 e 6 (origine della massa della cabina)</t>
        </is>
      </c>
      <c r="F159" s="10" t="inlineStr">
        <is>
          <t>scelta del software, senza fonte</t>
        </is>
      </c>
      <c r="G159" s="10" t="inlineStr">
        <is>
          <t>stima</t>
        </is>
      </c>
      <c r="H159" s="10" t="inlineStr">
        <is>
          <t>—</t>
        </is>
      </c>
      <c r="I159" s="11" t="n"/>
      <c r="J159" s="11" t="n"/>
      <c r="K159" s="11" t="n"/>
      <c r="L159" s="11" t="n"/>
      <c r="M159" s="11" t="n"/>
      <c r="N159" s="11" t="n"/>
    </row>
    <row r="160" ht="368" customHeight="1">
      <c r="A160" s="10" t="n">
        <v>158</v>
      </c>
      <c r="B160" s="10" t="inlineStr">
        <is>
          <t>Impianto: valori calcolati dai dati inseriti una volta</t>
        </is>
      </c>
      <c r="C160"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0"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0" s="10" t="inlineStr">
        <is>
          <t>UNI EN 81-20:2020, 5.2.1.8.1 (carichi della macchina sulla struttura)</t>
        </is>
      </c>
      <c r="F160"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0" s="10" t="inlineStr">
        <is>
          <t>stima</t>
        </is>
      </c>
      <c r="H160" s="10" t="inlineStr">
        <is>
          <t>—</t>
        </is>
      </c>
      <c r="I160" s="11" t="n"/>
      <c r="J160" s="11" t="n"/>
      <c r="K160" s="11" t="n"/>
      <c r="L160" s="11" t="n"/>
      <c r="M160" s="11" t="n"/>
      <c r="N160" s="11" t="n"/>
    </row>
    <row r="161" ht="264" customHeight="1">
      <c r="A161" s="10" t="n">
        <v>159</v>
      </c>
      <c r="B161" s="10" t="inlineStr">
        <is>
          <t>Impianto: valori calcolati dai dati inseriti una volta</t>
        </is>
      </c>
      <c r="C161"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1"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1" s="10" t="inlineStr">
        <is>
          <t>UNI EN 81-20:2020, 5.2.1.8.1</t>
        </is>
      </c>
      <c r="F161" s="10" t="inlineStr">
        <is>
          <t>masse dei profilati EN 10365 (catalogo del software); calcestruzzo armato 25 kN/m³; geometria dei disegni del software</t>
        </is>
      </c>
      <c r="G161" s="10" t="inlineStr">
        <is>
          <t>scelta del software</t>
        </is>
      </c>
      <c r="H161" s="10" t="inlineStr">
        <is>
          <t>—</t>
        </is>
      </c>
      <c r="I161" s="11" t="n"/>
      <c r="J161" s="11" t="n"/>
      <c r="K161" s="11" t="n"/>
      <c r="L161" s="11" t="n"/>
      <c r="M161" s="11" t="n"/>
      <c r="N161" s="11" t="n"/>
    </row>
    <row r="162" ht="134" customHeight="1">
      <c r="A162" s="10" t="n">
        <v>160</v>
      </c>
      <c r="B162" s="10" t="inlineStr">
        <is>
          <t>Impianto: valori calcolati dai dati inseriti una volta</t>
        </is>
      </c>
      <c r="C162"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2"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2" s="10" t="inlineStr">
        <is>
          <t>—</t>
        </is>
      </c>
      <c r="F162" s="10" t="inlineStr">
        <is>
          <t>dati verticali del vano; altezza dell’asse scelta dal software</t>
        </is>
      </c>
      <c r="G162" s="10" t="inlineStr">
        <is>
          <t>scelta del software</t>
        </is>
      </c>
      <c r="H162" s="10" t="inlineStr">
        <is>
          <t>—</t>
        </is>
      </c>
      <c r="I162" s="11" t="n"/>
      <c r="J162" s="11" t="n"/>
      <c r="K162" s="11" t="n"/>
      <c r="L162" s="11" t="n"/>
      <c r="M162" s="11" t="n"/>
      <c r="N162" s="11" t="n"/>
    </row>
    <row r="163" ht="251" customHeight="1">
      <c r="A163" s="10" t="n">
        <v>161</v>
      </c>
      <c r="B163" s="10" t="inlineStr">
        <is>
          <t>Impianto: valori calcolati dai dati inseriti una volta</t>
        </is>
      </c>
      <c r="C163"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63"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63" s="10" t="inlineStr">
        <is>
          <t>ricerca, capitolo 5.3</t>
        </is>
      </c>
      <c r="F163" s="10" t="inlineStr">
        <is>
          <t>pianta del vano</t>
        </is>
      </c>
      <c r="G163" s="10" t="inlineStr">
        <is>
          <t>derivazione</t>
        </is>
      </c>
      <c r="H163" s="10" t="inlineStr">
        <is>
          <t>—</t>
        </is>
      </c>
      <c r="I163" s="11" t="n"/>
      <c r="J163" s="11" t="n"/>
      <c r="K163" s="11" t="n"/>
      <c r="L163" s="11" t="n"/>
      <c r="M163" s="11" t="n"/>
      <c r="N163" s="11" t="n"/>
    </row>
    <row r="164" ht="173" customHeight="1">
      <c r="A164" s="10" t="n">
        <v>162</v>
      </c>
      <c r="B164" s="10" t="inlineStr">
        <is>
          <t>Impianto: valori calcolati dai dati inseriti una volta</t>
        </is>
      </c>
      <c r="C164"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64"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64" s="10" t="inlineStr">
        <is>
          <t>ricerca, capitolo 5.3 (angolo di avvolgimento del tiro diretto)</t>
        </is>
      </c>
      <c r="F164" s="10" t="inlineStr">
        <is>
          <t>geometria delle funi</t>
        </is>
      </c>
      <c r="G164" s="10" t="inlineStr">
        <is>
          <t>derivazione</t>
        </is>
      </c>
      <c r="H164" s="10" t="inlineStr">
        <is>
          <t>—</t>
        </is>
      </c>
      <c r="I164" s="11" t="n"/>
      <c r="J164" s="11" t="n"/>
      <c r="K164" s="11" t="n"/>
      <c r="L164" s="11" t="n"/>
      <c r="M164" s="11" t="n"/>
      <c r="N164" s="11" t="n"/>
    </row>
    <row r="165" ht="212" customHeight="1">
      <c r="A165" s="10" t="n">
        <v>163</v>
      </c>
      <c r="B165" s="10" t="inlineStr">
        <is>
          <t>Impianto: valori calcolati dai dati inseriti una volta</t>
        </is>
      </c>
      <c r="C165"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65" s="10" t="inlineStr">
        <is>
          <t>dall’asse dei rinvii in testata all’asse della puleggia di frizione, secondo lo schema delle funi (impianto.basso.schema); la puleggia ha l’asse a 0,9·D sul pavimento del suo locale</t>
        </is>
      </c>
      <c r="E165" s="10" t="inlineStr">
        <is>
          <t>ricerca, capitolo 5; funi con la macchina in basso, capitolo 2.6</t>
        </is>
      </c>
      <c r="F165" s="10" t="inlineStr">
        <is>
          <t>dati verticali del vano</t>
        </is>
      </c>
      <c r="G165" s="10" t="inlineStr">
        <is>
          <t>derivazione</t>
        </is>
      </c>
      <c r="H165" s="10" t="inlineStr">
        <is>
          <t>—</t>
        </is>
      </c>
      <c r="I165" s="11" t="n"/>
      <c r="J165" s="11" t="n"/>
      <c r="K165" s="11" t="n"/>
      <c r="L165" s="11" t="n"/>
      <c r="M165" s="11" t="n"/>
      <c r="N165" s="11" t="n"/>
    </row>
    <row r="166" ht="446" customHeight="1">
      <c r="A166" s="10" t="n">
        <v>164</v>
      </c>
      <c r="B166" s="10" t="inlineStr">
        <is>
          <t>Impianto: valori calcolati dai dati inseriti una volta</t>
        </is>
      </c>
      <c r="C166"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66"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66" s="10" t="inlineStr">
        <is>
          <t>ricerca, funi con la macchina in basso, capitoli 2–5; DPR 1497/1963 artt. 5–9, 33</t>
        </is>
      </c>
      <c r="F166" s="10" t="inlineStr">
        <is>
          <t>geometria ricostruita dal software</t>
        </is>
      </c>
      <c r="G166" s="10" t="inlineStr">
        <is>
          <t>scelta del software</t>
        </is>
      </c>
      <c r="H166" s="10" t="inlineStr">
        <is>
          <t>—</t>
        </is>
      </c>
      <c r="I166" s="11" t="n"/>
      <c r="J166" s="11" t="n"/>
      <c r="K166" s="11" t="n"/>
      <c r="L166" s="11" t="n"/>
      <c r="M166" s="11" t="n"/>
      <c r="N166" s="11" t="n"/>
    </row>
    <row r="167" ht="498" customHeight="1">
      <c r="A167" s="10" t="n">
        <v>165</v>
      </c>
      <c r="B167" s="10" t="inlineStr">
        <is>
          <t>Impianto: valori calcolati dai dati inseriti una volta</t>
        </is>
      </c>
      <c r="C167"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67"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67" s="10" t="inlineStr">
        <is>
          <t>ricerca, capitolo 12 (catalogo degli argani)</t>
        </is>
      </c>
      <c r="F167" s="10" t="inlineStr">
        <is>
          <t>SICOR: schede tecniche 2025 e modelli CAD scaricati da sicoritaly.com il 2 ottobre 2026 (solo le quote); Sassi, Montanari, GEM, FAER: estratti delle pagine dei costruttori e dei rivenditori, 1° ottobre 2026</t>
        </is>
      </c>
      <c r="G167" s="10" t="inlineStr">
        <is>
          <t>scelta del software</t>
        </is>
      </c>
      <c r="H167" s="10" t="inlineStr">
        <is>
          <t>—</t>
        </is>
      </c>
      <c r="I167" s="11" t="n"/>
      <c r="J167" s="11" t="n"/>
      <c r="K167" s="11" t="n"/>
      <c r="L167" s="11" t="n"/>
      <c r="M167" s="11" t="n"/>
      <c r="N167" s="11" t="n"/>
    </row>
    <row r="168" ht="134" customHeight="1">
      <c r="A168" s="10" t="n">
        <v>166</v>
      </c>
      <c r="B168" s="10" t="inlineStr">
        <is>
          <t>Impianto: valori calcolati dai dati inseriti una volta</t>
        </is>
      </c>
      <c r="C168"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68" s="10" t="inlineStr">
        <is>
          <t>la prima opzione del dimensionamento (capitolo 8): puleggia, funi, rapporto, gola, motore e freno che passano ogni verifica; con le ipotesi del gruppo (poli, giri, rendimenti, inerzie) inserite</t>
        </is>
      </c>
      <c r="E168" s="10" t="inlineStr">
        <is>
          <t>ricerca, capitolo 8</t>
        </is>
      </c>
      <c r="F168" s="10" t="inlineStr">
        <is>
          <t>motore di calcolo</t>
        </is>
      </c>
      <c r="G168" s="10" t="inlineStr">
        <is>
          <t>scelta del software</t>
        </is>
      </c>
      <c r="H168" s="10" t="inlineStr">
        <is>
          <t>—</t>
        </is>
      </c>
      <c r="I168" s="11" t="n"/>
      <c r="J168" s="11" t="n"/>
      <c r="K168" s="11" t="n"/>
      <c r="L168" s="11" t="n"/>
      <c r="M168" s="11" t="n"/>
      <c r="N168" s="11" t="n"/>
    </row>
    <row r="169" ht="95" customHeight="1">
      <c r="A169" s="10" t="n">
        <v>167</v>
      </c>
      <c r="B169" s="10" t="inlineStr">
        <is>
          <t>Impianto: valori calcolati dai dati inseriti una volta</t>
        </is>
      </c>
      <c r="C169" s="10" t="inlineStr">
        <is>
          <t>Altezza minima delle scritte dei disegni — prima i nomi che non stavano si rimpicciolivano sotto i 2,5 mm di corpo, fino a non leggersi in stampa</t>
        </is>
      </c>
      <c r="D169"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69" s="10" t="inlineStr">
        <is>
          <t>UNI EN ISO 3098-1 (serie delle altezze nominali della scrittura: 1,8 – 2,5 – 3,5 mm …)</t>
        </is>
      </c>
      <c r="F169" s="10" t="inlineStr">
        <is>
          <t>scelta del software sulla serie della norma; misura del carattere DejaVu Sans (maiuscole 0,73 del corpo)</t>
        </is>
      </c>
      <c r="G169" s="10" t="inlineStr">
        <is>
          <t>scelta del software</t>
        </is>
      </c>
      <c r="H169" s="10" t="inlineStr">
        <is>
          <t>—</t>
        </is>
      </c>
      <c r="I169" s="11" t="n"/>
      <c r="J169" s="11" t="n"/>
      <c r="K169" s="11" t="n"/>
      <c r="L169" s="11" t="n"/>
      <c r="M169" s="11" t="n"/>
      <c r="N169" s="11" t="n"/>
    </row>
    <row r="170" ht="82" customHeight="1">
      <c r="A170" s="10" t="n">
        <v>168</v>
      </c>
      <c r="B170" s="10" t="inlineStr">
        <is>
          <t>Impianto: valori calcolati dai dati inseriti una volta</t>
        </is>
      </c>
      <c r="C170" s="10" t="inlineStr">
        <is>
          <t>Numero di matricola nel cartiglio e nella striscia</t>
        </is>
      </c>
      <c r="D170"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0" s="10" t="inlineStr">
        <is>
          <t>DPR 162/1999 e s.m.i., art. 12 c.1–3 (matricola entro 30 giorni dalla comunicazione), c.4–5 (modifica)</t>
        </is>
      </c>
      <c r="F170" s="10" t="inlineStr">
        <is>
          <t>DPR 162/1999 (testo su Normattiva)</t>
        </is>
      </c>
      <c r="G170" s="10" t="inlineStr">
        <is>
          <t>confermato</t>
        </is>
      </c>
      <c r="H170" s="10" t="inlineStr">
        <is>
          <t>—</t>
        </is>
      </c>
      <c r="I170" s="11" t="n"/>
      <c r="J170" s="11" t="n"/>
      <c r="K170" s="11" t="n"/>
      <c r="L170" s="11" t="n"/>
      <c r="M170" s="11" t="n"/>
      <c r="N170" s="11" t="n"/>
    </row>
    <row r="171" ht="108" customHeight="1">
      <c r="A171" s="10" t="n">
        <v>169</v>
      </c>
      <c r="B171" s="10" t="inlineStr">
        <is>
          <t>Impianto: valori calcolati dai dati inseriti una volta</t>
        </is>
      </c>
      <c r="C171" s="10" t="inlineStr">
        <is>
          <t>Revisioni nel cartiglio</t>
        </is>
      </c>
      <c r="D171"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1" s="10" t="inlineStr">
        <is>
          <t>ISO 7200 (campi del cartiglio: numero del disegno, indice di revisione, data)</t>
        </is>
      </c>
      <c r="F171" s="10" t="inlineStr">
        <is>
          <t>prassi dei disegni tecnici</t>
        </is>
      </c>
      <c r="G171" s="10" t="inlineStr">
        <is>
          <t>prassi di cantiere</t>
        </is>
      </c>
      <c r="H171" s="10" t="inlineStr">
        <is>
          <t>—</t>
        </is>
      </c>
      <c r="I171" s="11" t="n"/>
      <c r="J171" s="11" t="n"/>
      <c r="K171" s="11" t="n"/>
      <c r="L171" s="11" t="n"/>
      <c r="M171" s="11" t="n"/>
      <c r="N171" s="11" t="n"/>
    </row>
    <row r="172" ht="134" customHeight="1">
      <c r="A172" s="10" t="n">
        <v>170</v>
      </c>
      <c r="B172" s="10" t="inlineStr">
        <is>
          <t>Impianto: valori calcolati dai dati inseriti una volta</t>
        </is>
      </c>
      <c r="C172" s="10" t="inlineStr">
        <is>
          <t>Nome dell’argano nei disegni</t>
        </is>
      </c>
      <c r="D172"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2" s="10" t="inlineStr">
        <is>
          <t>relazione di calcolo e tavole dello stesso impianto: un solo argano</t>
        </is>
      </c>
      <c r="F172" s="10" t="inlineStr">
        <is>
          <t>scelta del software</t>
        </is>
      </c>
      <c r="G172" s="10" t="inlineStr">
        <is>
          <t>scelta del software</t>
        </is>
      </c>
      <c r="H172" s="10" t="inlineStr">
        <is>
          <t>—</t>
        </is>
      </c>
      <c r="I172" s="11" t="n"/>
      <c r="J172" s="11" t="n"/>
      <c r="K172" s="11" t="n"/>
      <c r="L172" s="11" t="n"/>
      <c r="M172" s="11" t="n"/>
      <c r="N172" s="11" t="n"/>
    </row>
    <row r="173" ht="121" customHeight="1">
      <c r="A173" s="10" t="n">
        <v>171</v>
      </c>
      <c r="B173" s="10" t="inlineStr">
        <is>
          <t>Impianto: valori calcolati dai dati inseriti una volta</t>
        </is>
      </c>
      <c r="C173" s="10" t="inlineStr">
        <is>
          <t>Richiami dei carichi P1…P8 sulle tavole</t>
        </is>
      </c>
      <c r="D173"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73" s="10" t="inlineStr">
        <is>
          <t>UNI EN 81-20:2020, 5.2.1.8 (carichi sulla struttura dell’edificio: voci carichi.macchina e carichi.fossa)</t>
        </is>
      </c>
      <c r="F173" s="10" t="inlineStr">
        <is>
          <t>scelta del software</t>
        </is>
      </c>
      <c r="G173" s="10" t="inlineStr">
        <is>
          <t>scelta del software</t>
        </is>
      </c>
      <c r="H173" s="10" t="inlineStr">
        <is>
          <t>—</t>
        </is>
      </c>
      <c r="I173" s="11" t="n"/>
      <c r="J173" s="11" t="n"/>
      <c r="K173" s="11" t="n"/>
      <c r="L173" s="11" t="n"/>
      <c r="M173" s="11" t="n"/>
      <c r="N173" s="11" t="n"/>
    </row>
    <row r="174" ht="56" customHeight="1">
      <c r="A174" s="10" t="n">
        <v>172</v>
      </c>
      <c r="B174" s="10" t="inlineStr">
        <is>
          <t>Impianto: valori calcolati dai dati inseriti una volta</t>
        </is>
      </c>
      <c r="C174" s="10" t="inlineStr">
        <is>
          <t>Carico del limitatore (P4) non noto</t>
        </is>
      </c>
      <c r="D174" s="10" t="inlineStr">
        <is>
          <t>senza il carico del limitatore nei dati dell’impianto il foglio 1 scrive «DA FORNITORE» e non lo somma: lo dà il costruttore del limitatore (massa e tiro della fune all’intervento)</t>
        </is>
      </c>
      <c r="E174" s="10" t="inlineStr">
        <is>
          <t>UNI EN 81-20:2020, 5.6.2.2 (limitatore di velocità)</t>
        </is>
      </c>
      <c r="F174" s="10" t="inlineStr">
        <is>
          <t>scelta del software</t>
        </is>
      </c>
      <c r="G174" s="10" t="inlineStr">
        <is>
          <t>scelta del software</t>
        </is>
      </c>
      <c r="H174" s="10" t="inlineStr">
        <is>
          <t>—</t>
        </is>
      </c>
      <c r="I174" s="11" t="n"/>
      <c r="J174" s="11" t="n"/>
      <c r="K174" s="11" t="n"/>
      <c r="L174" s="11" t="n"/>
      <c r="M174" s="11" t="n"/>
      <c r="N174" s="11" t="n"/>
    </row>
    <row r="175" ht="108" customHeight="1">
      <c r="A175" s="10" t="n">
        <v>173</v>
      </c>
      <c r="B175" s="10" t="inlineStr">
        <is>
          <t>Impianto: valori calcolati dai dati inseriti una volta</t>
        </is>
      </c>
      <c r="C175" s="10" t="inlineStr">
        <is>
          <t>Elaborati collegati sul foglio 1</t>
        </is>
      </c>
      <c r="D175"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75" s="10" t="inlineStr">
        <is>
          <t>UNI 10411-1:2024, App. C (documenti della modifica)</t>
        </is>
      </c>
      <c r="F175" s="10" t="inlineStr">
        <is>
          <t>scelta del software</t>
        </is>
      </c>
      <c r="G175" s="10" t="inlineStr">
        <is>
          <t>scelta del software</t>
        </is>
      </c>
      <c r="H175" s="10" t="inlineStr">
        <is>
          <t>—</t>
        </is>
      </c>
      <c r="I175" s="11" t="n"/>
      <c r="J175" s="11" t="n"/>
      <c r="K175" s="11" t="n"/>
      <c r="L175" s="11" t="n"/>
      <c r="M175" s="11" t="n"/>
      <c r="N175" s="11" t="n"/>
    </row>
    <row r="176" ht="238" customHeight="1">
      <c r="A176" s="10" t="n">
        <v>174</v>
      </c>
      <c r="B176" s="10" t="inlineStr">
        <is>
          <t>Impianto: valori calcolati dai dati inseriti una volta</t>
        </is>
      </c>
      <c r="C176" s="10" t="inlineStr">
        <is>
          <t>File CAD della serie emessa</t>
        </is>
      </c>
      <c r="D176"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76" s="10" t="inlineStr">
        <is>
          <t>prassi dello scambio dei disegni (blocco del cartiglio con attributi)</t>
        </is>
      </c>
      <c r="F176" s="10" t="inlineStr">
        <is>
          <t>scelta del software</t>
        </is>
      </c>
      <c r="G176" s="10" t="inlineStr">
        <is>
          <t>scelta del software</t>
        </is>
      </c>
      <c r="H176" s="10" t="inlineStr">
        <is>
          <t>—</t>
        </is>
      </c>
      <c r="I176" s="11" t="n"/>
      <c r="J176" s="11" t="n"/>
      <c r="K176" s="11" t="n"/>
      <c r="L176" s="11" t="n"/>
      <c r="M176" s="11" t="n"/>
      <c r="N176" s="11" t="n"/>
    </row>
    <row r="177" ht="238" customHeight="1">
      <c r="A177" s="10" t="n">
        <v>175</v>
      </c>
      <c r="B177" s="10" t="inlineStr">
        <is>
          <t>Impianto: valori calcolati dai dati inseriti una volta</t>
        </is>
      </c>
      <c r="C177"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77"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77" s="10" t="inlineStr">
        <is>
          <t>—</t>
        </is>
      </c>
      <c r="F177" s="10" t="inlineStr">
        <is>
          <t>prassi di cantiere: la fune si taglia più lunga e si accorcia all’attacco; da misurare in sito prima del taglio</t>
        </is>
      </c>
      <c r="G177" s="10" t="inlineStr">
        <is>
          <t>prassi di cantiere</t>
        </is>
      </c>
      <c r="H177" s="10" t="inlineStr">
        <is>
          <t>—</t>
        </is>
      </c>
      <c r="I177" s="11" t="n"/>
      <c r="J177" s="11" t="n"/>
      <c r="K177" s="11" t="n"/>
      <c r="L177" s="11" t="n"/>
      <c r="M177" s="11" t="n"/>
      <c r="N177" s="11" t="n"/>
    </row>
    <row r="178" ht="316" customHeight="1">
      <c r="A178" s="10" t="n">
        <v>176</v>
      </c>
      <c r="B178" s="10" t="inlineStr">
        <is>
          <t>Impianto: valori calcolati dai dati inseriti una volta</t>
        </is>
      </c>
      <c r="C178"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78"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78" s="10" t="inlineStr">
        <is>
          <t>ricerca, capitolo 17 §2.1 (SICOR LS: carico statico per lunghezza dell’albero A e quota B) e §3 (Montanari AL e S)</t>
        </is>
      </c>
      <c r="F178" s="10" t="inlineStr">
        <is>
          <t>brochure SICOR Geared 2026, pp. 59 e 69; schede Montanari M73, M75, M93 e M98 (documenti del costruttore); scelta del software</t>
        </is>
      </c>
      <c r="G178" s="10" t="inlineStr">
        <is>
          <t>da verificare</t>
        </is>
      </c>
      <c r="H178" s="10" t="inlineStr">
        <is>
          <t>—</t>
        </is>
      </c>
      <c r="I178" s="11" t="n"/>
      <c r="J178" s="11" t="n"/>
      <c r="K178" s="11" t="n"/>
      <c r="L178" s="11" t="n"/>
      <c r="M178" s="11" t="n"/>
      <c r="N178" s="11" t="n"/>
    </row>
    <row r="179" ht="251" customHeight="1">
      <c r="A179" s="10" t="n">
        <v>177</v>
      </c>
      <c r="B179" s="10" t="inlineStr">
        <is>
          <t>Impianto: valori calcolati dai dati inseriti una volta</t>
        </is>
      </c>
      <c r="C179" s="10" t="inlineStr">
        <is>
          <t>Protezioni ACOP e UCM nella bozza d’ordine e nella distinta — la soluzione la sceglie il progettista con il costruttore: il software non verifica l’organo d’arresto né lo spazio d’arresto</t>
        </is>
      </c>
      <c r="D179"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79" s="10" t="inlineStr">
        <is>
          <t>UNI EN 81-20:2020, 5.6.6.2, 5.6.6.4, 5.6.6.11, 5.6.7.3, 5.6.7.4, 5.6.7.13 e 6.3.11–6.3.13; UNI 10411-1:2024, 14.4 c), d) e g); UNI 10411-11:2024, 14.3 a) e b), appendice A (14)</t>
        </is>
      </c>
      <c r="F179" s="10" t="inlineStr">
        <is>
          <t>UNI EN 81-20:2020, testo della norma, letto il 2026-10-06, pp. 89–93; UNI 10411-1:2024, testo della norma, letto il 2026-10-06, p. 14; UNI 10411-11:2024, testo della norma, letto il 2026-10-06, p. 12; scelta del software (le righe dell’ordine e della distinta)</t>
        </is>
      </c>
      <c r="G179" s="10" t="inlineStr">
        <is>
          <t>scelta del software</t>
        </is>
      </c>
      <c r="H179" s="10" t="inlineStr">
        <is>
          <t>—</t>
        </is>
      </c>
      <c r="I179" s="11" t="n"/>
      <c r="J179" s="11" t="n"/>
      <c r="K179" s="11" t="n"/>
      <c r="L179" s="11" t="n"/>
      <c r="M179" s="11" t="n"/>
      <c r="N179" s="11" t="n"/>
    </row>
    <row r="180" ht="160" customHeight="1">
      <c r="A180" s="10" t="n">
        <v>178</v>
      </c>
      <c r="B180" s="10" t="inlineStr">
        <is>
          <t>Impianto: valori calcolati dai dati inseriti una volta</t>
        </is>
      </c>
      <c r="C180" s="10" t="inlineStr">
        <is>
          <t>Esecuzione dell’argano (destra o sinistra) nella bozza d’ordine — la mano segnata va confermata con lo schema di esecuzione del costruttore prima dell’ordine</t>
        </is>
      </c>
      <c r="D180"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0" s="10" t="inlineStr">
        <is>
          <t>—</t>
        </is>
      </c>
      <c r="F180" s="10" t="inlineStr">
        <is>
          <t>scelta del software: la convenzione di destra e sinistra cambia tra i costruttori</t>
        </is>
      </c>
      <c r="G180" s="10" t="inlineStr">
        <is>
          <t>scelta del software</t>
        </is>
      </c>
      <c r="H180" s="10" t="inlineStr">
        <is>
          <t>—</t>
        </is>
      </c>
      <c r="I180" s="11" t="n"/>
      <c r="J180" s="11" t="n"/>
      <c r="K180" s="11" t="n"/>
      <c r="L180" s="11" t="n"/>
      <c r="M180" s="11" t="n"/>
      <c r="N180" s="11" t="n"/>
    </row>
    <row r="181" ht="264" customHeight="1">
      <c r="A181" s="10" t="n">
        <v>179</v>
      </c>
      <c r="B181" s="10" t="inlineStr">
        <is>
          <t>Impianto: valori calcolati dai dati inseriti una volta</t>
        </is>
      </c>
      <c r="C181" s="10" t="inlineStr">
        <is>
          <t>Distinta dei materiali del progetto</t>
        </is>
      </c>
      <c r="D181"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1" s="10" t="inlineStr">
        <is>
          <t>UNI EN 81-20:2020, 5.5.5.1 (uguagliamento automatico delle tensioni almeno a un’estremità delle funi)</t>
        </is>
      </c>
      <c r="F181" s="10" t="inlineStr">
        <is>
          <t>UNI EN 81-20:2020, testo della norma, letto il 2026-10-06, p. 75; scelta del software (le quantità)</t>
        </is>
      </c>
      <c r="G181" s="10" t="inlineStr">
        <is>
          <t>scelta del software</t>
        </is>
      </c>
      <c r="H181" s="10" t="inlineStr">
        <is>
          <t>—</t>
        </is>
      </c>
      <c r="I181" s="11" t="n"/>
      <c r="J181" s="11" t="n"/>
      <c r="K181" s="11" t="n"/>
      <c r="L181" s="11" t="n"/>
      <c r="M181" s="11" t="n"/>
      <c r="N181" s="11" t="n"/>
    </row>
    <row r="182" ht="69" customHeight="1">
      <c r="A182" s="10" t="n">
        <v>180</v>
      </c>
      <c r="B182" s="10" t="inlineStr">
        <is>
          <t>Simulazione nel tempo (3D e grafici)</t>
        </is>
      </c>
      <c r="C182" s="10" t="inlineStr">
        <is>
          <t>Forze nella simulazione — agli estremi della corsa e alle accelerazioni della verifica i valori coincidono con quelli della verifica (test automatico)</t>
        </is>
      </c>
      <c r="D182" s="10" t="inlineStr">
        <is>
          <t>tiri delle funi, T1/T2, e^(f·α), coppie e decelerazione del freno con le stesse funzioni della verifica (modello delle funi del motore di calcolo), valutate istante per istante con la posizione e l’accelerazione della cabina</t>
        </is>
      </c>
      <c r="E182" s="10" t="inlineStr">
        <is>
          <t>UNI EN 81-50:2020, 5.11 (aderenza); ricerca, capitolo 4</t>
        </is>
      </c>
      <c r="F182" s="10" t="inlineStr">
        <is>
          <t>motore di calcolo (src/calc/model.ts)</t>
        </is>
      </c>
      <c r="G182" s="10" t="inlineStr">
        <is>
          <t>derivazione</t>
        </is>
      </c>
      <c r="H182" s="10" t="inlineStr">
        <is>
          <t>—</t>
        </is>
      </c>
      <c r="I182" s="11" t="n"/>
      <c r="J182" s="11" t="n"/>
      <c r="K182" s="11" t="n"/>
      <c r="L182" s="11" t="n"/>
      <c r="M182" s="11" t="n"/>
      <c r="N182" s="11" t="n"/>
    </row>
    <row r="183" ht="56" customHeight="1">
      <c r="A183" s="10" t="n">
        <v>181</v>
      </c>
      <c r="B183" s="10" t="inlineStr">
        <is>
          <t>Simulazione nel tempo (3D e grafici)</t>
        </is>
      </c>
      <c r="C183" s="10" t="inlineStr">
        <is>
          <t>Profilo del moto tra i piani — accelerazione e strappo sono dati di progetto dell’azionamento, non limiti normativi</t>
        </is>
      </c>
      <c r="D183" s="10" t="inlineStr">
        <is>
          <t>profilo a strappo limitato: velocità nominale, accelerazione di progetto e strappo 1 m/s³; se il tragitto è corto, la velocità più alta che ci sta</t>
        </is>
      </c>
      <c r="E183" s="10" t="inlineStr">
        <is>
          <t>ISO 18738-1:2012 (misura della qualità di marcia, nessun limite)</t>
        </is>
      </c>
      <c r="F183" s="10" t="inlineStr">
        <is>
          <t>scelta del software</t>
        </is>
      </c>
      <c r="G183" s="10" t="inlineStr">
        <is>
          <t>scelta del software</t>
        </is>
      </c>
      <c r="H183" s="10" t="inlineStr">
        <is>
          <t>—</t>
        </is>
      </c>
      <c r="I183" s="11" t="n"/>
      <c r="J183" s="11" t="n"/>
      <c r="K183" s="11" t="n"/>
      <c r="L183" s="11" t="n"/>
      <c r="M183" s="11" t="n"/>
      <c r="N183" s="11" t="n"/>
    </row>
    <row r="184" ht="69" customHeight="1">
      <c r="A184" s="10" t="n">
        <v>182</v>
      </c>
      <c r="B184" s="10" t="inlineStr">
        <is>
          <t>Simulazione nel tempo (3D e grafici)</t>
        </is>
      </c>
      <c r="C184" s="10" t="inlineStr">
        <is>
          <t>Limite di aderenza mostrato durante la marcia</t>
        </is>
      </c>
      <c r="D184" s="10" t="inlineStr">
        <is>
          <t>e^(f·α) con il coefficiente d’attrito della frenatura (μ ridotto con la velocità delle funi): il confronto è indicativo (oltre il limite: avviso, non verifica fallita), la verifica resta quella dei casi della norma</t>
        </is>
      </c>
      <c r="E184" s="10" t="inlineStr">
        <is>
          <t>UNI EN 81-50:2020, 5.11.1 e 5.11.2.3.2 (μ della frenatura)</t>
        </is>
      </c>
      <c r="F184" s="10" t="inlineStr">
        <is>
          <t>scelta del software</t>
        </is>
      </c>
      <c r="G184" s="10" t="inlineStr">
        <is>
          <t>scelta del software</t>
        </is>
      </c>
      <c r="H184" s="10" t="inlineStr">
        <is>
          <t>—</t>
        </is>
      </c>
      <c r="I184" s="11" t="n"/>
      <c r="J184" s="11" t="n"/>
      <c r="K184" s="11" t="n"/>
      <c r="L184" s="11" t="n"/>
      <c r="M184" s="11" t="n"/>
      <c r="N184" s="11" t="n"/>
    </row>
    <row r="185" ht="108" customHeight="1">
      <c r="A185" s="10" t="n">
        <v>183</v>
      </c>
      <c r="B185" s="10" t="inlineStr">
        <is>
          <t>Simulazione nel tempo (3D e grafici)</t>
        </is>
      </c>
      <c r="C185" s="10" t="inlineStr">
        <is>
          <t>Tempi delle porte — La norma non dà tempi: per le porte automatiche orizzontali dà l’energia cinetica (≤ 10 J, ≤ 4 J con il dispositivo di protezione escluso) e la forza contro la chiusura (≤ 150 N) (UNI EN 81-20:2020, 5.3.6.2.2.1), dati del fornitore delle porte.</t>
        </is>
      </c>
      <c r="D185" s="10" t="inlineStr">
        <is>
          <t>apertura 2,5 s, chiusura 3 s, sosta a porte aperte 3 s, partenza 0,5 s dopo la chiusura</t>
        </is>
      </c>
      <c r="E185" s="10" t="inlineStr">
        <is>
          <t>—</t>
        </is>
      </c>
      <c r="F185" s="10" t="inlineStr">
        <is>
          <t>scelta del software (solo animazione)</t>
        </is>
      </c>
      <c r="G185" s="10" t="inlineStr">
        <is>
          <t>scelta del software</t>
        </is>
      </c>
      <c r="H185" s="10" t="inlineStr">
        <is>
          <t>—</t>
        </is>
      </c>
      <c r="I185" s="11" t="n"/>
      <c r="J185" s="11" t="n"/>
      <c r="K185" s="11" t="n"/>
      <c r="L185" s="11" t="n"/>
      <c r="M185" s="11" t="n"/>
      <c r="N185" s="11" t="n"/>
    </row>
    <row r="186" ht="329" customHeight="1">
      <c r="A186" s="10" t="n">
        <v>184</v>
      </c>
      <c r="B186" s="10" t="inlineStr">
        <is>
          <t>Simulazione nel tempo (3D e grafici)</t>
        </is>
      </c>
      <c r="C186"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86"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86" s="10" t="inlineStr">
        <is>
          <t>UNI EN 81-20:2020, 5.8.2.1.1.1–5.8.2.1.1.2 (urto al 115 %; corsa piena con un carico statico tra 2,5 e 4 volte: il software prende 4), 5.8.2.1.2.2 (90 %), 5.8.2.2.1 e 5.8.2.2.3 a)</t>
        </is>
      </c>
      <c r="F186" s="10" t="inlineStr">
        <is>
          <t>UNI EN 81-20:2020, testo della norma, letto il 2026-10-06, pp. 98–99</t>
        </is>
      </c>
      <c r="G186" s="10" t="inlineStr">
        <is>
          <t>scelta del software</t>
        </is>
      </c>
      <c r="H186" s="10" t="inlineStr">
        <is>
          <t>—</t>
        </is>
      </c>
      <c r="I186" s="11" t="n"/>
      <c r="J186" s="11" t="n"/>
      <c r="K186" s="11" t="n"/>
      <c r="L186" s="11" t="n"/>
      <c r="M186" s="11" t="n"/>
      <c r="N186" s="11" t="n"/>
    </row>
    <row r="187" ht="82" customHeight="1">
      <c r="A187" s="10" t="n">
        <v>185</v>
      </c>
      <c r="B187" s="10" t="inlineStr">
        <is>
          <t>Simulazione nel tempo (3D e grafici)</t>
        </is>
      </c>
      <c r="C187" s="10" t="inlineStr">
        <is>
          <t>Cabina bloccata: rotazione in salita — La simulazione mostra il contrappeso sugli ammortizzatori con la cabina in alto; la norma chiede anche la cabina vuota in basso, che il calcolo verifica (tr_stall).</t>
        </is>
      </c>
      <c r="D187" s="10" t="inlineStr">
        <is>
          <t>la macchina gira in salita a 0,3 m/s finché il contrappeso poggia sui suoi ammortizzatori; poi le funi devono slittare (T1/T2 ≥ e^(f·α), μ della cabina bloccata)</t>
        </is>
      </c>
      <c r="E187" s="10" t="inlineStr">
        <is>
          <t>UNI EN 81-50:2020, 5.11.2.2.3</t>
        </is>
      </c>
      <c r="F187" s="10" t="inlineStr">
        <is>
          <t>motore di calcolo; velocità scelta dal software</t>
        </is>
      </c>
      <c r="G187" s="10" t="inlineStr">
        <is>
          <t>scelta del software</t>
        </is>
      </c>
      <c r="H187" s="10" t="inlineStr">
        <is>
          <t>—</t>
        </is>
      </c>
      <c r="I187" s="11" t="n"/>
      <c r="J187" s="11" t="n"/>
      <c r="K187" s="11" t="n"/>
      <c r="L187" s="11" t="n"/>
      <c r="M187" s="11" t="n"/>
      <c r="N187" s="11" t="n"/>
    </row>
    <row r="188" ht="43" customHeight="1">
      <c r="A188" s="10" t="n">
        <v>186</v>
      </c>
      <c r="B188" s="10" t="inlineStr">
        <is>
          <t>Simulazione nel tempo (3D e grafici)</t>
        </is>
      </c>
      <c r="C188" s="10" t="inlineStr">
        <is>
          <t>Passo di campionamento</t>
        </is>
      </c>
      <c r="D188" s="10" t="inlineStr">
        <is>
          <t>0,02 s; tra due campioni i valori sono interpolati linearmente</t>
        </is>
      </c>
      <c r="E188" s="10" t="inlineStr">
        <is>
          <t>—</t>
        </is>
      </c>
      <c r="F188" s="10" t="inlineStr">
        <is>
          <t>scelta del software</t>
        </is>
      </c>
      <c r="G188" s="10" t="inlineStr">
        <is>
          <t>scelta del software</t>
        </is>
      </c>
      <c r="H188" s="10" t="inlineStr">
        <is>
          <t>—</t>
        </is>
      </c>
      <c r="I188" s="11" t="n"/>
      <c r="J188" s="11" t="n"/>
      <c r="K188" s="11" t="n"/>
      <c r="L188" s="11" t="n"/>
      <c r="M188" s="11" t="n"/>
      <c r="N188" s="11" t="n"/>
    </row>
    <row r="189" ht="56" customHeight="1">
      <c r="A189" s="10" t="n">
        <v>187</v>
      </c>
      <c r="B189" s="10" t="inlineStr">
        <is>
          <t>Collaudo: adempimenti del DPR 162/1999 (impianto nuovo)</t>
        </is>
      </c>
      <c r="C189" s="10" t="inlineStr">
        <is>
          <t>DPR 162/1999, art. 4-bis</t>
        </is>
      </c>
      <c r="D189" s="10" t="inlineStr">
        <is>
          <t>progetto, fabbricazione, installazione e prove conformi all’All. I; documentazione tecnica e dichiarazione di conformità conservate per 10 anni</t>
        </is>
      </c>
      <c r="E189" s="10" t="inlineStr">
        <is>
          <t>DPR 162/1999, art. 4-bis</t>
        </is>
      </c>
      <c r="F189" s="10" t="inlineStr">
        <is>
          <t>ricerca, cap. 16 (testi ufficiali e schede UNI, 2026-10-02)</t>
        </is>
      </c>
      <c r="G189" s="10" t="inlineStr">
        <is>
          <t>confermato</t>
        </is>
      </c>
      <c r="H189" s="10" t="inlineStr">
        <is>
          <t>—</t>
        </is>
      </c>
      <c r="I189" s="11" t="n"/>
      <c r="J189" s="11" t="n"/>
      <c r="K189" s="11" t="n"/>
      <c r="L189" s="11" t="n"/>
      <c r="M189" s="11" t="n"/>
      <c r="N189" s="11" t="n"/>
    </row>
    <row r="190" ht="56" customHeight="1">
      <c r="A190" s="10" t="n">
        <v>188</v>
      </c>
      <c r="B190" s="10" t="inlineStr">
        <is>
          <t>Collaudo: adempimenti del DPR 162/1999 (impianto nuovo)</t>
        </is>
      </c>
      <c r="C190" s="10" t="inlineStr">
        <is>
          <t>DPR 162/1999 e s.m.i., artt. 6-bis e 7 c.3</t>
        </is>
      </c>
      <c r="D190" s="10" t="inlineStr">
        <is>
          <t>procedura con un organismo notificato (ascensore modello con esame UE del tipo, All. IV B, più All. V, X o XII; oppure All. VIII o XI); marcatura CE in cabina con il numero dell’organismo</t>
        </is>
      </c>
      <c r="E190" s="10" t="inlineStr">
        <is>
          <t>DPR 162/1999 e s.m.i., artt. 6-bis e 7 c.3</t>
        </is>
      </c>
      <c r="F190" s="10" t="inlineStr">
        <is>
          <t>ricerca, cap. 16 (testi ufficiali e schede UNI, 2026-10-02)</t>
        </is>
      </c>
      <c r="G190" s="10" t="inlineStr">
        <is>
          <t>confermato</t>
        </is>
      </c>
      <c r="H190" s="10" t="inlineStr">
        <is>
          <t>—</t>
        </is>
      </c>
      <c r="I190" s="11" t="n"/>
      <c r="J190" s="11" t="n"/>
      <c r="K190" s="11" t="n"/>
      <c r="L190" s="11" t="n"/>
      <c r="M190" s="11" t="n"/>
      <c r="N190" s="11" t="n"/>
    </row>
    <row r="191" ht="56" customHeight="1">
      <c r="A191" s="10" t="n">
        <v>189</v>
      </c>
      <c r="B191" s="10" t="inlineStr">
        <is>
          <t>Collaudo: adempimenti del DPR 162/1999 (impianto nuovo)</t>
        </is>
      </c>
      <c r="C191" s="10" t="inlineStr">
        <is>
          <t>DPR 162/1999 e s.m.i., art. 12 c.1–3</t>
        </is>
      </c>
      <c r="D191" s="10" t="inlineStr">
        <is>
          <t>comunicazione al Comune entro 60 giorni dalla dichiarazione di conformità (oltre: con il verbale di una verifica straordinaria di attivazione); matricola entro 30 giorni</t>
        </is>
      </c>
      <c r="E191" s="10" t="inlineStr">
        <is>
          <t>DPR 162/1999 e s.m.i., art. 12 c.1–3</t>
        </is>
      </c>
      <c r="F191" s="10" t="inlineStr">
        <is>
          <t>ricerca, cap. 16 (testi ufficiali e schede UNI, 2026-10-02)</t>
        </is>
      </c>
      <c r="G191" s="10" t="inlineStr">
        <is>
          <t>confermato</t>
        </is>
      </c>
      <c r="H191" s="10" t="inlineStr">
        <is>
          <t>—</t>
        </is>
      </c>
      <c r="I191" s="11" t="n"/>
      <c r="J191" s="11" t="n"/>
      <c r="K191" s="11" t="n"/>
      <c r="L191" s="11" t="n"/>
      <c r="M191" s="11" t="n"/>
      <c r="N191" s="11" t="n"/>
    </row>
    <row r="192" ht="56" customHeight="1">
      <c r="A192" s="10" t="n">
        <v>190</v>
      </c>
      <c r="B192" s="10" t="inlineStr">
        <is>
          <t>Collaudo: adempimenti del DPR 162/1999 (impianto nuovo)</t>
        </is>
      </c>
      <c r="C192" s="10" t="inlineStr">
        <is>
          <t>DPR 162/1999, artt. 13, 15 c.4 e 16 c.3</t>
        </is>
      </c>
      <c r="D192" s="10" t="inlineStr">
        <is>
          <t>verifiche periodiche ogni 2 anni; controllo dei dispositivi di sicurezza, delle funi e dell’isolamento almeno ogni 6 mesi; targa in cabina</t>
        </is>
      </c>
      <c r="E192" s="10" t="inlineStr">
        <is>
          <t>DPR 162/1999, artt. 13, 15 c.4 e 16 c.3</t>
        </is>
      </c>
      <c r="F192" s="10" t="inlineStr">
        <is>
          <t>ricerca, cap. 16 (testi ufficiali e schede UNI, 2026-10-02)</t>
        </is>
      </c>
      <c r="G192" s="10" t="inlineStr">
        <is>
          <t>confermato</t>
        </is>
      </c>
      <c r="H192" s="10" t="inlineStr">
        <is>
          <t>—</t>
        </is>
      </c>
      <c r="I192" s="11" t="n"/>
      <c r="J192" s="11" t="n"/>
      <c r="K192" s="11" t="n"/>
      <c r="L192" s="11" t="n"/>
      <c r="M192" s="11" t="n"/>
      <c r="N192" s="11" t="n"/>
    </row>
    <row r="193" ht="43" customHeight="1">
      <c r="A193" s="10" t="n">
        <v>191</v>
      </c>
      <c r="B193" s="10" t="inlineStr">
        <is>
          <t>Collaudo: adempimenti del DPR 162/1999 (modifica)</t>
        </is>
      </c>
      <c r="C193" s="10" t="inlineStr">
        <is>
          <t>DPR 162/1999, art. 2 c.1 lett. cc)</t>
        </is>
      </c>
      <c r="D193" s="10" t="inlineStr">
        <is>
          <t>la modifica è costruttiva: la sostituzione del macchinario ne è il caso n. 5)</t>
        </is>
      </c>
      <c r="E193" s="10" t="inlineStr">
        <is>
          <t>DPR 162/1999, art. 2 c.1 lett. cc)</t>
        </is>
      </c>
      <c r="F193" s="10" t="inlineStr">
        <is>
          <t>ricerca, cap. 16 (testi ufficiali e schede UNI, 2026-10-02)</t>
        </is>
      </c>
      <c r="G193" s="10" t="inlineStr">
        <is>
          <t>confermato</t>
        </is>
      </c>
      <c r="H193" s="10" t="inlineStr">
        <is>
          <t>—</t>
        </is>
      </c>
      <c r="I193" s="11" t="n"/>
      <c r="J193" s="11" t="n"/>
      <c r="K193" s="11" t="n"/>
      <c r="L193" s="11" t="n"/>
      <c r="M193" s="11" t="n"/>
      <c r="N193" s="11" t="n"/>
    </row>
    <row r="194" ht="43" customHeight="1">
      <c r="A194" s="10" t="n">
        <v>192</v>
      </c>
      <c r="B194" s="10" t="inlineStr">
        <is>
          <t>Collaudo: adempimenti del DPR 162/1999 (modifica)</t>
        </is>
      </c>
      <c r="C194" s="10" t="inlineStr">
        <is>
          <t>DPR 162/1999, art. 12 c.4</t>
        </is>
      </c>
      <c r="D194" s="10" t="inlineStr">
        <is>
          <t>prima della comunicazione, adeguamento della parte modificata o sostituita e delle altre parti interessate</t>
        </is>
      </c>
      <c r="E194" s="10" t="inlineStr">
        <is>
          <t>DPR 162/1999, art. 12 c.4</t>
        </is>
      </c>
      <c r="F194" s="10" t="inlineStr">
        <is>
          <t>ricerca, cap. 16 (testi ufficiali e schede UNI, 2026-10-02)</t>
        </is>
      </c>
      <c r="G194" s="10" t="inlineStr">
        <is>
          <t>confermato</t>
        </is>
      </c>
      <c r="H194" s="10" t="inlineStr">
        <is>
          <t>—</t>
        </is>
      </c>
      <c r="I194" s="11" t="n"/>
      <c r="J194" s="11" t="n"/>
      <c r="K194" s="11" t="n"/>
      <c r="L194" s="11" t="n"/>
      <c r="M194" s="11" t="n"/>
      <c r="N194" s="11" t="n"/>
    </row>
    <row r="195" ht="43" customHeight="1">
      <c r="A195" s="10" t="n">
        <v>193</v>
      </c>
      <c r="B195" s="10" t="inlineStr">
        <is>
          <t>Collaudo: adempimenti del DPR 162/1999 (modifica)</t>
        </is>
      </c>
      <c r="C195" s="10" t="inlineStr">
        <is>
          <t>DPR 162/1999, art. 12 c.4–5</t>
        </is>
      </c>
      <c r="D195" s="10" t="inlineStr">
        <is>
          <t>comunicazione al Comune e al soggetto delle verifiche periodiche; l’impianto non resta in esercizio senza le comunicazioni aggiornate</t>
        </is>
      </c>
      <c r="E195" s="10" t="inlineStr">
        <is>
          <t>DPR 162/1999, art. 12 c.4–5</t>
        </is>
      </c>
      <c r="F195" s="10" t="inlineStr">
        <is>
          <t>ricerca, cap. 16 (testi ufficiali e schede UNI, 2026-10-02)</t>
        </is>
      </c>
      <c r="G195" s="10" t="inlineStr">
        <is>
          <t>confermato</t>
        </is>
      </c>
      <c r="H195" s="10" t="inlineStr">
        <is>
          <t>—</t>
        </is>
      </c>
      <c r="I195" s="11" t="n"/>
      <c r="J195" s="11" t="n"/>
      <c r="K195" s="11" t="n"/>
      <c r="L195" s="11" t="n"/>
      <c r="M195" s="11" t="n"/>
      <c r="N195" s="11" t="n"/>
    </row>
    <row r="196" ht="69" customHeight="1">
      <c r="A196" s="10" t="n">
        <v>194</v>
      </c>
      <c r="B196" s="10" t="inlineStr">
        <is>
          <t>Collaudo: adempimenti del DPR 162/1999 (modifica)</t>
        </is>
      </c>
      <c r="C196" s="10" t="inlineStr">
        <is>
          <t>DPR 162/1999 e s.m.i., art. 14 c.3; schema ICIM SCI 162 rev. 02</t>
        </is>
      </c>
      <c r="D196" s="10" t="inlineStr">
        <is>
          <t>verifica straordinaria da uno dei soggetti dell’art. 13 c.1 (la legge); secondo lo schema ICIM è di norma limitata ai controlli sulle modifiche, con la documentazione delle modifiche e dei componenti sostituiti</t>
        </is>
      </c>
      <c r="E196" s="10" t="inlineStr">
        <is>
          <t>DPR 162/1999 e s.m.i., art. 14 c.3; schema ICIM SCI 162 rev. 02</t>
        </is>
      </c>
      <c r="F196" s="10" t="inlineStr">
        <is>
          <t>ricerca, cap. 16 (testi ufficiali e schede UNI, 2026-10-02)</t>
        </is>
      </c>
      <c r="G196" s="10" t="inlineStr">
        <is>
          <t>confermato</t>
        </is>
      </c>
      <c r="H196" s="10" t="inlineStr">
        <is>
          <t>—</t>
        </is>
      </c>
      <c r="I196" s="11" t="n"/>
      <c r="J196" s="11" t="n"/>
      <c r="K196" s="11" t="n"/>
      <c r="L196" s="11" t="n"/>
      <c r="M196" s="11" t="n"/>
      <c r="N196" s="11" t="n"/>
    </row>
    <row r="197" ht="82" customHeight="1">
      <c r="A197" s="10" t="n">
        <v>195</v>
      </c>
      <c r="B197" s="10" t="inlineStr">
        <is>
          <t>Collaudo: adempimenti del DPR 162/1999 (modifica)</t>
        </is>
      </c>
      <c r="C197" s="10" t="inlineStr">
        <is>
          <t>UNI 10411-1:2024 e UNI 10411-11:2024, 25</t>
        </is>
      </c>
      <c r="D197"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97" s="10" t="inlineStr">
        <is>
          <t>UNI 10411-1:2024 e UNI 10411-11:2024, 25</t>
        </is>
      </c>
      <c r="F197" s="10" t="inlineStr">
        <is>
          <t>testo della norma, letto il 2026-10-06 (punti e valori con parole nostre)</t>
        </is>
      </c>
      <c r="G197" s="10" t="inlineStr">
        <is>
          <t>confermato</t>
        </is>
      </c>
      <c r="H197" s="10" t="inlineStr">
        <is>
          <t>—</t>
        </is>
      </c>
      <c r="I197" s="11" t="n"/>
      <c r="J197" s="11" t="n"/>
      <c r="K197" s="11" t="n"/>
      <c r="L197" s="11" t="n"/>
      <c r="M197" s="11" t="n"/>
      <c r="N197" s="11" t="n"/>
    </row>
    <row r="198" ht="56" customHeight="1">
      <c r="A198" s="10" t="n">
        <v>196</v>
      </c>
      <c r="B198" s="10" t="inlineStr">
        <is>
          <t>Collaudo: UNI EN 81-20:2020 e UNI EN 81-50:2020</t>
        </is>
      </c>
      <c r="C198" s="10" t="inlineStr">
        <is>
          <t>DPR 162/1999, All. V 3.3 (All. VIII 4)</t>
        </is>
      </c>
      <c r="D198" s="10" t="inlineStr">
        <is>
          <t>prove dell’organismo notificato: funzionamento a vuoto e a pieno carico, in mancanza di energia, prova statica a 1,25 volte la portata e controllo che non restino deformazioni</t>
        </is>
      </c>
      <c r="E198" s="10" t="inlineStr">
        <is>
          <t>DPR 162/1999, All. V 3.3 (All. VIII 4)</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UNI EN 81-20:2020 e UNI EN 81-50:2020</t>
        </is>
      </c>
      <c r="C199" s="10" t="inlineStr">
        <is>
          <t>DPR 162/1999, All. VIII 3 e), g), h)</t>
        </is>
      </c>
      <c r="D199" s="10" t="inlineStr">
        <is>
          <t>documentazione tecnica con i risultati dei calcoli di progetto, le relazioni sulle prove e l’elenco delle norme armonizzate applicate, anche in parte</t>
        </is>
      </c>
      <c r="E199" s="10" t="inlineStr">
        <is>
          <t>DPR 162/1999, All. VIII 3 e), g), h)</t>
        </is>
      </c>
      <c r="F199" s="10" t="inlineStr">
        <is>
          <t>ricerca, cap. 16 (testi ufficiali e schede UNI, 2026-10-02)</t>
        </is>
      </c>
      <c r="G199" s="10" t="inlineStr">
        <is>
          <t>confermato</t>
        </is>
      </c>
      <c r="H199" s="10" t="inlineStr">
        <is>
          <t>—</t>
        </is>
      </c>
      <c r="I199" s="11" t="n"/>
      <c r="J199" s="11" t="n"/>
      <c r="K199" s="11" t="n"/>
      <c r="L199" s="11" t="n"/>
      <c r="M199" s="11" t="n"/>
      <c r="N199" s="11" t="n"/>
    </row>
    <row r="200" ht="56" customHeight="1">
      <c r="A200" s="10" t="n">
        <v>198</v>
      </c>
      <c r="B200" s="10" t="inlineStr">
        <is>
          <t>Collaudo: UNI EN 81-20:2020 e UNI EN 81-50:2020</t>
        </is>
      </c>
      <c r="C200" s="10" t="inlineStr">
        <is>
          <t>Regolamento (UE) 2023/1230, art. 51 par. 2</t>
        </is>
      </c>
      <c r="D200" s="10" t="inlineStr">
        <is>
          <t>per gli ascensori dichiarati conformi dal 20/01/2027: requisiti dell’All. III del Regolamento macchine (tra cui 1.1.9 e 1.2.1), con una valutazione aggiuntiva per i requisiti nuovi o cambiati</t>
        </is>
      </c>
      <c r="E200" s="10" t="inlineStr">
        <is>
          <t>Regolamento (UE) 2023/1230, art. 51 par. 2</t>
        </is>
      </c>
      <c r="F200" s="10" t="inlineStr">
        <is>
          <t>ricerca, cap. 16 (testi ufficiali e schede UNI, 2026-10-02)</t>
        </is>
      </c>
      <c r="G200" s="10" t="inlineStr">
        <is>
          <t>confermato</t>
        </is>
      </c>
      <c r="H200" s="10" t="inlineStr">
        <is>
          <t>—</t>
        </is>
      </c>
      <c r="I200" s="11" t="n"/>
      <c r="J200" s="11" t="n"/>
      <c r="K200" s="11" t="n"/>
      <c r="L200" s="11" t="n"/>
      <c r="M200" s="11" t="n"/>
      <c r="N200" s="11" t="n"/>
    </row>
    <row r="201" ht="82" customHeight="1">
      <c r="A201" s="10" t="n">
        <v>199</v>
      </c>
      <c r="B201" s="10" t="inlineStr">
        <is>
          <t>Collaudo: UNI EN 81-20:2020 e UNI EN 81-50:2020</t>
        </is>
      </c>
      <c r="C201" s="10" t="inlineStr">
        <is>
          <t>UNI EN 81-50:2020, 5.12.1 e 5.12.2.1</t>
        </is>
      </c>
      <c r="D201"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1" s="10" t="inlineStr">
        <is>
          <t>UNI EN 81-50:2020, 5.12.1 e 5.12.2.1</t>
        </is>
      </c>
      <c r="F201" s="10" t="inlineStr">
        <is>
          <t>testo della norma, letto il 2026-10-06 (punti e valori con parole nostre)</t>
        </is>
      </c>
      <c r="G201" s="10" t="inlineStr">
        <is>
          <t>confermato</t>
        </is>
      </c>
      <c r="H201" s="10" t="inlineStr">
        <is>
          <t>—</t>
        </is>
      </c>
      <c r="I201" s="11" t="n"/>
      <c r="J201" s="11" t="n"/>
      <c r="K201" s="11" t="n"/>
      <c r="L201" s="11" t="n"/>
      <c r="M201" s="11" t="n"/>
      <c r="N201" s="11" t="n"/>
    </row>
    <row r="202" ht="43" customHeight="1">
      <c r="A202" s="10" t="n">
        <v>200</v>
      </c>
      <c r="B202" s="10" t="inlineStr">
        <is>
          <t>Collaudo: UNI EN 81-20:2020 e UNI EN 81-50:2020</t>
        </is>
      </c>
      <c r="C202" s="10" t="inlineStr">
        <is>
          <t>UNI EN 81-20:2020, 5.6.2.2.1.2</t>
        </is>
      </c>
      <c r="D202" s="10" t="inlineStr">
        <is>
          <t>tempo di risposta del limitatore di velocità: i suoi punti d’intervento distano al massimo 250 mm di corsa della fune del limitatore</t>
        </is>
      </c>
      <c r="E202" s="10" t="inlineStr">
        <is>
          <t>UNI EN 81-20:2020, 5.6.2.2.1.2</t>
        </is>
      </c>
      <c r="F202" s="10" t="inlineStr">
        <is>
          <t>testo della norma, letto il 2026-10-06 (punti e valori con parole nostre)</t>
        </is>
      </c>
      <c r="G202" s="10" t="inlineStr">
        <is>
          <t>confermato</t>
        </is>
      </c>
      <c r="H202" s="10" t="inlineStr">
        <is>
          <t>—</t>
        </is>
      </c>
      <c r="I202" s="11" t="n"/>
      <c r="J202" s="11" t="n"/>
      <c r="K202" s="11" t="n"/>
      <c r="L202" s="11" t="n"/>
      <c r="M202" s="11" t="n"/>
      <c r="N202" s="11" t="n"/>
    </row>
    <row r="203" ht="56" customHeight="1">
      <c r="A203" s="10" t="n">
        <v>201</v>
      </c>
      <c r="B203" s="10" t="inlineStr">
        <is>
          <t>Collaudo: UNI EN 81-20:2020 e UNI EN 81-50:2020</t>
        </is>
      </c>
      <c r="C203" s="10" t="inlineStr">
        <is>
          <t>UNI EN 81-20:2020, 5.8.2.1.2.1 e 5.8.2.2.3</t>
        </is>
      </c>
      <c r="D203" s="10" t="inlineStr">
        <is>
          <t>ammortizzatori (dato del fornitore): decelerazione non oltre 1 gn, sopra 2,5 gn al massimo per 0,04 s; per quelli ad accumulo non lineari anche picco non oltre 6 gn e rimbalzo non oltre 1 m/s</t>
        </is>
      </c>
      <c r="E203" s="10" t="inlineStr">
        <is>
          <t>UNI EN 81-20:2020, 5.8.2.1.2.1 e 5.8.2.2.3</t>
        </is>
      </c>
      <c r="F203" s="10" t="inlineStr">
        <is>
          <t>testo della norma, letto il 2026-10-06 (punti e valori con parole nostre)</t>
        </is>
      </c>
      <c r="G203" s="10" t="inlineStr">
        <is>
          <t>confermato</t>
        </is>
      </c>
      <c r="H203" s="10" t="inlineStr">
        <is>
          <t>—</t>
        </is>
      </c>
      <c r="I203" s="11" t="n"/>
      <c r="J203" s="11" t="n"/>
      <c r="K203" s="11" t="n"/>
      <c r="L203" s="11" t="n"/>
      <c r="M203" s="11" t="n"/>
      <c r="N203" s="11" t="n"/>
    </row>
    <row r="204" ht="69" customHeight="1">
      <c r="A204" s="10" t="n">
        <v>202</v>
      </c>
      <c r="B204" s="10" t="inlineStr">
        <is>
          <t>Collaudo: UNI EN 81-20:2020 e UNI EN 81-50:2020</t>
        </is>
      </c>
      <c r="C204" s="10" t="inlineStr">
        <is>
          <t>UNI EN 81-20:2020, 5.2.5.7.1</t>
        </is>
      </c>
      <c r="D204" s="10" t="inlineStr">
        <is>
          <t>cartello sopra o accanto allo schermo del contrappeso (5.2.5.5.1) con il gioco massimo ammesso tra contrappeso e ammortizzatore con la cabina al piano più alto, per conservare gli spazi in testata</t>
        </is>
      </c>
      <c r="E204" s="10" t="inlineStr">
        <is>
          <t>UNI EN 81-20:2020, 5.2.5.7.1</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43" customHeight="1">
      <c r="A205" s="10" t="n">
        <v>203</v>
      </c>
      <c r="B205" s="10" t="inlineStr">
        <is>
          <t>Collaudo: UNI EN 81-20:2020 e UNI EN 81-50:2020</t>
        </is>
      </c>
      <c r="C205" s="10" t="inlineStr">
        <is>
          <t>UNI EN 81-20:2020, 5.2.2.4</t>
        </is>
      </c>
      <c r="D205" s="10" t="inlineStr">
        <is>
          <t>fossa più profonda di 2,50 m: porta di accesso; fino a 2,50 m porta di accesso oppure scala dentro il vano (appendice F)</t>
        </is>
      </c>
      <c r="E205" s="10" t="inlineStr">
        <is>
          <t>UNI EN 81-20:2020, 5.2.2.4</t>
        </is>
      </c>
      <c r="F205" s="10" t="inlineStr">
        <is>
          <t>testo della norma, letto il 2026-10-06 (punti e valori con parole nostre)</t>
        </is>
      </c>
      <c r="G205" s="10" t="inlineStr">
        <is>
          <t>confermato</t>
        </is>
      </c>
      <c r="H205" s="10" t="inlineStr">
        <is>
          <t>—</t>
        </is>
      </c>
      <c r="I205" s="11" t="n"/>
      <c r="J205" s="11" t="n"/>
      <c r="K205" s="11" t="n"/>
      <c r="L205" s="11" t="n"/>
      <c r="M205" s="11" t="n"/>
      <c r="N205" s="11" t="n"/>
    </row>
    <row r="206" ht="43" customHeight="1">
      <c r="A206" s="10" t="n">
        <v>204</v>
      </c>
      <c r="B206" s="10" t="inlineStr">
        <is>
          <t>Collaudo: UNI EN 81-20:2020 e UNI EN 81-50:2020</t>
        </is>
      </c>
      <c r="C206" s="10" t="inlineStr">
        <is>
          <t>UNI EN 81-20:2020, 5.2.1.5.1 b)</t>
        </is>
      </c>
      <c r="D206" s="10" t="inlineStr">
        <is>
          <t>in fossa un commutatore di ispezione fisso, manovrabile da non oltre 0,30 m da uno spazio di rifugio</t>
        </is>
      </c>
      <c r="E206" s="10" t="inlineStr">
        <is>
          <t>UNI EN 81-20:2020, 5.2.1.5.1 b)</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69" customHeight="1">
      <c r="A207" s="10" t="n">
        <v>205</v>
      </c>
      <c r="B207" s="10" t="inlineStr">
        <is>
          <t>Collaudo: UNI EN 81-20:2020 e UNI EN 81-50:2020</t>
        </is>
      </c>
      <c r="C207" s="10" t="inlineStr">
        <is>
          <t>UNI EN 81-20:2020, 5.12.1.5.2.1 f)</t>
        </is>
      </c>
      <c r="D207" s="10" t="inlineStr">
        <is>
          <t>velocità in manovra d’ispezione non oltre 0,30 m/s quando sopra un posto in piedi sul tetto della cabina o in fossa l’altezza libera è di 2,0 m o meno (spazi di rifugio di tipo 2 o 3): da impostare nel quadro</t>
        </is>
      </c>
      <c r="E207" s="10" t="inlineStr">
        <is>
          <t>UNI EN 81-20:2020, 5.12.1.5.2.1 f)</t>
        </is>
      </c>
      <c r="F207" s="10" t="inlineStr">
        <is>
          <t>testo della norma, letto il 2026-10-06 (punti e valori con parole nostre)</t>
        </is>
      </c>
      <c r="G207" s="10" t="inlineStr">
        <is>
          <t>confermato</t>
        </is>
      </c>
      <c r="H207" s="10" t="inlineStr">
        <is>
          <t>—</t>
        </is>
      </c>
      <c r="I207" s="11" t="n"/>
      <c r="J207" s="11" t="n"/>
      <c r="K207" s="11" t="n"/>
      <c r="L207" s="11" t="n"/>
      <c r="M207" s="11" t="n"/>
      <c r="N207" s="11" t="n"/>
    </row>
    <row r="208" ht="43" customHeight="1">
      <c r="A208" s="10" t="n">
        <v>206</v>
      </c>
      <c r="B208" s="10" t="inlineStr">
        <is>
          <t>Collaudo: UNI EN 81-20:2020 e UNI EN 81-50:2020</t>
        </is>
      </c>
      <c r="C208" s="10" t="inlineStr">
        <is>
          <t>UNI EN 81-20:2020, 5.2.5.7.1 e 5.2.5.8.1</t>
        </is>
      </c>
      <c r="D208" s="10" t="inlineStr">
        <is>
          <t>uno spazio di rifugio per ogni persona, tutti dello stesso tipo e senza sovrapposizioni; cartello con il numero di persone ammesse e la postura</t>
        </is>
      </c>
      <c r="E208" s="10" t="inlineStr">
        <is>
          <t>UNI EN 81-20:2020, 5.2.5.7.1 e 5.2.5.8.1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69" customHeight="1">
      <c r="A209" s="10" t="n">
        <v>207</v>
      </c>
      <c r="B209" s="10" t="inlineStr">
        <is>
          <t>Collaudo: UNI EN 81-20:2020 e UNI EN 81-50:2020</t>
        </is>
      </c>
      <c r="C209" s="10" t="inlineStr">
        <is>
          <t>UNI EN 81-20:2020, 5.2.1.4.1</t>
        </is>
      </c>
      <c r="D209" s="10" t="inlineStr">
        <is>
          <t>illuminazione del vano: almeno 50 lux a 1 m sopra il tetto della cabina nella sua proiezione e a 1 m sopra il fondo della fossa dove si sta, si lavora o si passa tra le zone di lavoro; almeno 20 lux altrove</t>
        </is>
      </c>
      <c r="E209" s="10" t="inlineStr">
        <is>
          <t>UNI EN 81-20:2020, 5.2.1.4.1</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5.4.10.1 e 5.4.10.4</t>
        </is>
      </c>
      <c r="D210" s="10" t="inlineStr">
        <is>
          <t>luce in cabina almeno 100 lux sui comandi e a 1 m dal pavimento; luce di emergenza di almeno 5 lux per un’ora presso gli allarmi in cabina e sul tetto e al centro di cabina e tetto, a 1 m</t>
        </is>
      </c>
      <c r="E210" s="10" t="inlineStr">
        <is>
          <t>UNI EN 81-20:2020, 5.4.10.1 e 5.4.10.4</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43" customHeight="1">
      <c r="A211" s="10" t="n">
        <v>209</v>
      </c>
      <c r="B211" s="10" t="inlineStr">
        <is>
          <t>Collaudo: UNI EN 81-20:2020 e UNI EN 81-50:2020</t>
        </is>
      </c>
      <c r="C211" s="10" t="inlineStr">
        <is>
          <t>UNI EN 81-20:2020, 5.4.4</t>
        </is>
      </c>
      <c r="D211" s="10" t="inlineStr">
        <is>
          <t>materiali della cabina secondo EN 13501-1: pavimento Cfl-s2, pareti C-s2,d1, soffitto C-s2,d0</t>
        </is>
      </c>
      <c r="E211" s="10" t="inlineStr">
        <is>
          <t>UNI EN 81-20:2020, 5.4.4</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95" customHeight="1">
      <c r="A212" s="10" t="n">
        <v>210</v>
      </c>
      <c r="B212" s="10" t="inlineStr">
        <is>
          <t>Collaudo: UNI EN 81-20:2020 e UNI EN 81-50:2020</t>
        </is>
      </c>
      <c r="C212" s="10" t="inlineStr">
        <is>
          <t>UNI EN 81-20:2020, 6.3.1</t>
        </is>
      </c>
      <c r="D212"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2" s="10" t="inlineStr">
        <is>
          <t>UNI EN 81-20:2020, 6.3.1</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69" customHeight="1">
      <c r="A213" s="10" t="n">
        <v>211</v>
      </c>
      <c r="B213" s="10" t="inlineStr">
        <is>
          <t>Collaudo: UNI EN 81-20:2020 e UNI EN 81-50:2020</t>
        </is>
      </c>
      <c r="C213" s="10" t="inlineStr">
        <is>
          <t>UNI EN 81-20:2020, 6.3.2</t>
        </is>
      </c>
      <c r="D213" s="10" t="inlineStr">
        <is>
          <t>impianto elettrico: esame a vista, continuità dei conduttori di protezione, isolamento circuito per circuito con l’elettronica scollegata, efficacia dell’interruzione automatica in caso di guasto</t>
        </is>
      </c>
      <c r="E213" s="10" t="inlineStr">
        <is>
          <t>UNI EN 81-20:2020, 6.3.2</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82" customHeight="1">
      <c r="A214" s="10" t="n">
        <v>212</v>
      </c>
      <c r="B214" s="10" t="inlineStr">
        <is>
          <t>Collaudo: UNI EN 81-20:2020 e UNI EN 81-50:2020</t>
        </is>
      </c>
      <c r="C214" s="10" t="inlineStr">
        <is>
          <t>UNI EN 81-20:2020, 6.3.3</t>
        </is>
      </c>
      <c r="D214"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14" s="10" t="inlineStr">
        <is>
          <t>UNI EN 81-20:2020, 6.3.3</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121" customHeight="1">
      <c r="A215" s="10" t="n">
        <v>213</v>
      </c>
      <c r="B215" s="10" t="inlineStr">
        <is>
          <t>Collaudo: UNI EN 81-20:2020 e UNI EN 81-50:2020</t>
        </is>
      </c>
      <c r="C215" s="10" t="inlineStr">
        <is>
          <t>UNI EN 81-20:2020, 6.3.4, 6.3.5 e 6.3.7</t>
        </is>
      </c>
      <c r="D215"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15" s="10" t="inlineStr">
        <is>
          <t>UNI EN 81-20:2020, 6.3.4, 6.3.5 e 6.3.7</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108" customHeight="1">
      <c r="A216" s="10" t="n">
        <v>214</v>
      </c>
      <c r="B216" s="10" t="inlineStr">
        <is>
          <t>Collaudo: UNI EN 81-20:2020 e UNI EN 81-50:2020</t>
        </is>
      </c>
      <c r="C216" s="10" t="inlineStr">
        <is>
          <t>UNI EN 81-20:2020, 6.3.11, 6.3.12 e 6.3.13</t>
        </is>
      </c>
      <c r="D216"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16" s="10" t="inlineStr">
        <is>
          <t>UNI EN 81-20:2020, 6.3.11, 6.3.12 e 6.3.13</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43" customHeight="1">
      <c r="A217" s="10" t="n">
        <v>215</v>
      </c>
      <c r="B217" s="10" t="inlineStr">
        <is>
          <t>Collaudo: UNI EN 81-20:2020 e UNI EN 81-50:2020</t>
        </is>
      </c>
      <c r="C217" s="10" t="inlineStr">
        <is>
          <t>UNI EN 81-20:2020, 6.3.14</t>
        </is>
      </c>
      <c r="D217" s="10" t="inlineStr">
        <is>
          <t>cabina fuori dalla zona di sbloccaggio e porta di piano tenuta aperta di 100 mm: lasciata, la porta si richiude e si blocca</t>
        </is>
      </c>
      <c r="E217" s="10" t="inlineStr">
        <is>
          <t>UNI EN 81-20:2020, 6.3.14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C.2 e 7.3.2</t>
        </is>
      </c>
      <c r="D218" s="10" t="inlineStr">
        <is>
          <t>la sostituzione della macchina o della puleggia di frizione è una trasformazione importante: si annota nel registro dell’impianto, da aggiornare</t>
        </is>
      </c>
      <c r="E218" s="10" t="inlineStr">
        <is>
          <t>UNI EN 81-20:2020, C.2 e 7.3.2</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108" customHeight="1">
      <c r="A219" s="10" t="n">
        <v>217</v>
      </c>
      <c r="B219" s="10" t="inlineStr">
        <is>
          <t>Collaudo: UNI EN 81-20:2020 e UNI EN 81-50:2020</t>
        </is>
      </c>
      <c r="C219" s="10" t="inlineStr">
        <is>
          <t>UNI EN 81-20:2020, 5.3.5.3.2, 5.3.5.3.4, 5.3.6.2.2.1 b) e 5.3.15.2 b)</t>
        </is>
      </c>
      <c r="D219"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19" s="10" t="inlineStr">
        <is>
          <t>UNI EN 81-20:2020, 5.3.5.3.2, 5.3.5.3.4, 5.3.6.2.2.1 b) e 5.3.15.2 b)</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121" customHeight="1">
      <c r="A220" s="10" t="n">
        <v>218</v>
      </c>
      <c r="B220" s="10" t="inlineStr">
        <is>
          <t>Collaudo: UNI EN 81-20:2020 e UNI EN 81-50:2020</t>
        </is>
      </c>
      <c r="C220" s="10" t="inlineStr">
        <is>
          <t>UNI EN 81-20:2020, 5.3.6.2.2.1 a)–d)</t>
        </is>
      </c>
      <c r="D220"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0" s="10" t="inlineStr">
        <is>
          <t>UNI EN 81-20:2020, 5.3.6.2.2.1 a)–d)</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56" customHeight="1">
      <c r="A221" s="10" t="n">
        <v>219</v>
      </c>
      <c r="B221" s="10" t="inlineStr">
        <is>
          <t>Collaudo: UNI 10411-1:2024</t>
        </is>
      </c>
      <c r="C221" s="10" t="inlineStr">
        <is>
          <t>UNI 10411-1:2024, scopo</t>
        </is>
      </c>
      <c r="D221" s="10" t="inlineStr">
        <is>
          <t>impianti elettrici a frizione fuori dalla 95/16/CE e dalla 2014/33/UE; esclude le modifiche che cambiano le misure antincendio (per queste, a nostro giudizio, il DM 15/09/2005 o il Codice V.3)</t>
        </is>
      </c>
      <c r="E221" s="10" t="inlineStr">
        <is>
          <t>UNI 10411-1:2024, scopo</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34" customHeight="1">
      <c r="A222" s="10" t="n">
        <v>220</v>
      </c>
      <c r="B222" s="10" t="inlineStr">
        <is>
          <t>Collaudo: UNI 10411-1:2024</t>
        </is>
      </c>
      <c r="C222" s="10" t="inlineStr">
        <is>
          <t>UNI 10411-1:2024, 9.1–9.2</t>
        </is>
      </c>
      <c r="D222"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2" s="10" t="inlineStr">
        <is>
          <t>UNI 10411-1:2024, 9.1–9.2</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21" customHeight="1">
      <c r="A223" s="10" t="n">
        <v>221</v>
      </c>
      <c r="B223" s="10" t="inlineStr">
        <is>
          <t>Collaudo: UNI 10411-1:2024</t>
        </is>
      </c>
      <c r="C223" s="10" t="inlineStr">
        <is>
          <t>UNI 10411-1:2024, 5 e App. C (5, 9 e 14)</t>
        </is>
      </c>
      <c r="D223"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23" s="10" t="inlineStr">
        <is>
          <t>UNI 10411-1:2024, 5 e App. C (5, 9 e 14)</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121" customHeight="1">
      <c r="A224" s="10" t="n">
        <v>222</v>
      </c>
      <c r="B224" s="10" t="inlineStr">
        <is>
          <t>Collaudo: UNI 10411-1:2024</t>
        </is>
      </c>
      <c r="C224" s="10" t="inlineStr">
        <is>
          <t>UNI 10411-1:2024, 14.4 a)–g)</t>
        </is>
      </c>
      <c r="D224"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24" s="10" t="inlineStr">
        <is>
          <t>UNI 10411-1:2024, 14.4 a)–g)</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56" customHeight="1">
      <c r="A225" s="10" t="n">
        <v>223</v>
      </c>
      <c r="B225" s="10" t="inlineStr">
        <is>
          <t>Collaudo: UNI 10411-11:2024</t>
        </is>
      </c>
      <c r="C225" s="10" t="inlineStr">
        <is>
          <t>UNI 10411-11:2024, scopo</t>
        </is>
      </c>
      <c r="D225" s="10" t="inlineStr">
        <is>
          <t>impianti elettrici a frizione marcati CE secondo la Direttiva; esclude le modifiche che cambiano le misure antincendio (per queste, a nostro giudizio, il DM 15/09/2005 o il Codice V.3)</t>
        </is>
      </c>
      <c r="E225" s="10" t="inlineStr">
        <is>
          <t>UNI 10411-11:2024, scopo</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10411-11:2024</t>
        </is>
      </c>
      <c r="C226" s="10" t="inlineStr">
        <is>
          <t>UNI 10411-11:2024, 14.3 a) e App. A (14); UNI EN 81-20:2020, 5.6.6.2 e 5.6.7.3</t>
        </is>
      </c>
      <c r="D226"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26" s="10" t="inlineStr">
        <is>
          <t>UNI 10411-11:2024, 14.3 a) e App. A (14); UNI EN 81-20:2020, 5.6.6.2 e 5.6.7.3</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95" customHeight="1">
      <c r="A227" s="10" t="n">
        <v>225</v>
      </c>
      <c r="B227" s="10" t="inlineStr">
        <is>
          <t>Collaudo: UNI 10411-11:2024</t>
        </is>
      </c>
      <c r="C227" s="10" t="inlineStr">
        <is>
          <t>UNI 10411-11:2024, 5 e 9.2</t>
        </is>
      </c>
      <c r="D227"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27" s="10" t="inlineStr">
        <is>
          <t>UNI 10411-11:2024, 5 e 9.2</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10411-11:2024</t>
        </is>
      </c>
      <c r="C228" s="10" t="inlineStr">
        <is>
          <t>UNI 10411-11:2024, 14.3 b)</t>
        </is>
      </c>
      <c r="D228" s="10" t="inlineStr">
        <is>
          <t>senza UCM conforme alla 5.6.7 e con il rallentamento controllato: macchinario senza alimentazione se il freno non si apre, al più tardi all’arrivo al piano, con ripristino solo manuale</t>
        </is>
      </c>
      <c r="E228" s="10" t="inlineStr">
        <is>
          <t>UNI 10411-11:2024, 14.3 b)</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56" customHeight="1">
      <c r="A229" s="10" t="n">
        <v>227</v>
      </c>
      <c r="B229" s="10" t="inlineStr">
        <is>
          <t>Collaudo: UNI EN 81-21:2022 (ascensori nuovi in edifici esistenti)</t>
        </is>
      </c>
      <c r="C229" s="10" t="inlineStr">
        <is>
          <t>UNI EN 81-21:2022, 1</t>
        </is>
      </c>
      <c r="D229" s="10" t="inlineStr">
        <is>
          <t>ascensori nuovi in un edificio esistente, dove l’edificio non permette di rispettare tutta la UNI EN 81-20:2020; esclusi gli impianti montati prima della sua pubblicazione</t>
        </is>
      </c>
      <c r="E229" s="10" t="inlineStr">
        <is>
          <t>UNI EN 81-21:2022, 1</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95" customHeight="1">
      <c r="A230" s="10" t="n">
        <v>228</v>
      </c>
      <c r="B230" s="10" t="inlineStr">
        <is>
          <t>Collaudo: UNI EN 81-21:2022 (ascensori nuovi in edifici esistenti)</t>
        </is>
      </c>
      <c r="C230" s="10" t="inlineStr">
        <is>
          <t>UNI EN 81-21:2022, 6.2 e 7.1</t>
        </is>
      </c>
      <c r="D230"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0" s="10" t="inlineStr">
        <is>
          <t>UNI EN 81-21:2022, 6.2 e 7.1</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82" customHeight="1">
      <c r="A231" s="10" t="n">
        <v>229</v>
      </c>
      <c r="B231" s="10" t="inlineStr">
        <is>
          <t>Collaudo: UNI EN 81-21:2022 (ascensori nuovi in edifici esistenti)</t>
        </is>
      </c>
      <c r="C231" s="10" t="inlineStr">
        <is>
          <t>DPR 162/1999, art. 17-bis; DM 19/03/2015; linee guida MIMIT 2022</t>
        </is>
      </c>
      <c r="D231"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1" s="10" t="inlineStr">
        <is>
          <t>DPR 162/1999, art. 17-bis; DM 19/03/2015; linee guida MIMIT 2022</t>
        </is>
      </c>
      <c r="F231" s="10" t="inlineStr">
        <is>
          <t>ricerca, cap. 16 (testi ufficiali e schede UNI, 2026-10-02)</t>
        </is>
      </c>
      <c r="G231" s="10" t="inlineStr">
        <is>
          <t>confermato</t>
        </is>
      </c>
      <c r="H231" s="10" t="inlineStr">
        <is>
          <t>—</t>
        </is>
      </c>
      <c r="I231" s="11" t="n"/>
      <c r="J231" s="11" t="n"/>
      <c r="K231" s="11" t="n"/>
      <c r="L231" s="11" t="n"/>
      <c r="M231" s="11" t="n"/>
      <c r="N231" s="11" t="n"/>
    </row>
    <row r="232" ht="82" customHeight="1">
      <c r="A232" s="10" t="n">
        <v>230</v>
      </c>
      <c r="B232" s="10" t="inlineStr">
        <is>
          <t>Collaudo: UNI EN 81-28:2022 (teleallarme)</t>
        </is>
      </c>
      <c r="C232" s="10" t="inlineStr">
        <is>
          <t>UNI EN 81-20:2020, 5.12.3.1; UNI EN 81-28:2004, 4.1.3, 4.2.1 e 7</t>
        </is>
      </c>
      <c r="D232"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2" s="10" t="inlineStr">
        <is>
          <t>UNI EN 81-20:2020, 5.12.3.1; UNI EN 81-28:2004, 4.1.3, 4.2.1 e 7</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56" customHeight="1">
      <c r="A233" s="10" t="n">
        <v>231</v>
      </c>
      <c r="B233" s="10" t="inlineStr">
        <is>
          <t>Collaudo: UNI EN 81-28:2022 (teleallarme)</t>
        </is>
      </c>
      <c r="C233" s="10" t="inlineStr">
        <is>
          <t>UNI EN 81-28:2022</t>
        </is>
      </c>
      <c r="D233" s="10" t="inlineStr">
        <is>
          <t>requisiti dell’edizione citata in GUUE da verificare sul testo; nelle modifiche la UNI 10411-1/-11:2024 (punto 23) ammette l’allarme nuovo secondo la EN 81-20 5.12.3.1 o la UNI EN 81-28:2022</t>
        </is>
      </c>
      <c r="E233" s="10" t="inlineStr">
        <is>
          <t>UNI EN 81-28:2022</t>
        </is>
      </c>
      <c r="F233" s="10" t="inlineStr">
        <is>
          <t>ricerca, cap. 16 (testi ufficiali e schede UNI, 2026-10-02)</t>
        </is>
      </c>
      <c r="G233" s="10" t="inlineStr">
        <is>
          <t>da verificare</t>
        </is>
      </c>
      <c r="H233" s="10" t="inlineStr">
        <is>
          <t>—</t>
        </is>
      </c>
      <c r="I233" s="11" t="n"/>
      <c r="J233" s="11" t="n"/>
      <c r="K233" s="11" t="n"/>
      <c r="L233" s="11" t="n"/>
      <c r="M233" s="11" t="n"/>
      <c r="N233" s="11" t="n"/>
    </row>
    <row r="234" ht="95" customHeight="1">
      <c r="A234" s="10" t="n">
        <v>232</v>
      </c>
      <c r="B234" s="10" t="inlineStr">
        <is>
          <t>Collaudo: UNI EN 81-58:2022 (resistenza al fuoco delle porte di piano)</t>
        </is>
      </c>
      <c r="C234" s="10" t="inlineStr">
        <is>
          <t>UNI EN 81-58:2022; DM 15/09/2005, 3.2–3.3 e art. 1 c.2 lett. c)</t>
        </is>
      </c>
      <c r="D234"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34" s="10" t="inlineStr">
        <is>
          <t>UNI EN 81-58:2022; DM 15/09/2005, 3.2–3.3 e art. 1 c.2 lett. c)</t>
        </is>
      </c>
      <c r="F234" s="10" t="inlineStr">
        <is>
          <t>ricerca, cap. 16 (testi ufficiali e schede UNI, 2026-10-02)</t>
        </is>
      </c>
      <c r="G234" s="10" t="inlineStr">
        <is>
          <t>confermato</t>
        </is>
      </c>
      <c r="H234" s="10" t="inlineStr">
        <is>
          <t>—</t>
        </is>
      </c>
      <c r="I234" s="11" t="n"/>
      <c r="J234" s="11" t="n"/>
      <c r="K234" s="11" t="n"/>
      <c r="L234" s="11" t="n"/>
      <c r="M234" s="11" t="n"/>
      <c r="N234" s="11" t="n"/>
    </row>
    <row r="235" ht="95" customHeight="1">
      <c r="A235" s="10" t="n">
        <v>233</v>
      </c>
      <c r="B235" s="10" t="inlineStr">
        <is>
          <t>Collaudo: UNI EN 81-70:2022 (accessibilità)</t>
        </is>
      </c>
      <c r="C235" s="10" t="inlineStr">
        <is>
          <t>UNI EN 81-70:2022, 5.3.1</t>
        </is>
      </c>
      <c r="D235"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35" s="10" t="inlineStr">
        <is>
          <t>UNI EN 81-70:2022, 5.3.1</t>
        </is>
      </c>
      <c r="F235" s="10" t="inlineStr">
        <is>
          <t>ricerca, cap. 16 (testi ufficiali e schede UNI, 2026-10-02)</t>
        </is>
      </c>
      <c r="G235" s="10" t="inlineStr">
        <is>
          <t>da verificare</t>
        </is>
      </c>
      <c r="H235" s="10" t="inlineStr">
        <is>
          <t>—</t>
        </is>
      </c>
      <c r="I235" s="11" t="n"/>
      <c r="J235" s="11" t="n"/>
      <c r="K235" s="11" t="n"/>
      <c r="L235" s="11" t="n"/>
      <c r="M235" s="11" t="n"/>
      <c r="N235" s="11" t="n"/>
    </row>
    <row r="236" ht="95" customHeight="1">
      <c r="A236" s="10" t="n">
        <v>234</v>
      </c>
      <c r="B236" s="10" t="inlineStr">
        <is>
          <t>Collaudo: UNI EN 81-70:2022 (accessibilità)</t>
        </is>
      </c>
      <c r="C236" s="10" t="inlineStr">
        <is>
          <t>UNI EN 81-70:2022, 5.3.2 e 5.4</t>
        </is>
      </c>
      <c r="D236"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36" s="10" t="inlineStr">
        <is>
          <t>UNI EN 81-70:2022, 5.3.2 e 5.4</t>
        </is>
      </c>
      <c r="F236" s="10" t="inlineStr">
        <is>
          <t>ricerca, cap. 16 (testi ufficiali e schede UNI, 2026-10-02)</t>
        </is>
      </c>
      <c r="G236" s="10" t="inlineStr">
        <is>
          <t>da verificare</t>
        </is>
      </c>
      <c r="H236" s="10" t="inlineStr">
        <is>
          <t>—</t>
        </is>
      </c>
      <c r="I236" s="11" t="n"/>
      <c r="J236" s="11" t="n"/>
      <c r="K236" s="11" t="n"/>
      <c r="L236" s="11" t="n"/>
      <c r="M236" s="11" t="n"/>
      <c r="N236" s="11" t="n"/>
    </row>
    <row r="237" ht="43" customHeight="1">
      <c r="A237" s="10" t="n">
        <v>235</v>
      </c>
      <c r="B237" s="10" t="inlineStr">
        <is>
          <t>Collaudo: UNI EN 81-70:2022 (accessibilità)</t>
        </is>
      </c>
      <c r="C237" s="10" t="inlineStr">
        <is>
          <t>UNI EN 81-70:2022, scopo</t>
        </is>
      </c>
      <c r="D237" s="10" t="inlineStr">
        <is>
          <t>si usa con la UNI EN 81-20:2020; per gli impianti esistenti vale la UNI EN 81-82</t>
        </is>
      </c>
      <c r="E237" s="10" t="inlineStr">
        <is>
          <t>UNI EN 81-70:2022, scopo</t>
        </is>
      </c>
      <c r="F237" s="10" t="inlineStr">
        <is>
          <t>ricerca, cap. 16 (testi ufficiali e schede UNI, 2026-10-02)</t>
        </is>
      </c>
      <c r="G237" s="10" t="inlineStr">
        <is>
          <t>confermato</t>
        </is>
      </c>
      <c r="H237" s="10" t="inlineStr">
        <is>
          <t>—</t>
        </is>
      </c>
      <c r="I237" s="11" t="n"/>
      <c r="J237" s="11" t="n"/>
      <c r="K237" s="11" t="n"/>
      <c r="L237" s="11" t="n"/>
      <c r="M237" s="11" t="n"/>
      <c r="N237" s="11" t="n"/>
    </row>
    <row r="238" ht="43" customHeight="1">
      <c r="A238" s="10" t="n">
        <v>236</v>
      </c>
      <c r="B238" s="10" t="inlineStr">
        <is>
          <t>Collaudo: UNI EN 81-71 (ascensori antivandalo)</t>
        </is>
      </c>
      <c r="C238" s="10" t="inlineStr">
        <is>
          <t>UNI EN 81-71</t>
        </is>
      </c>
      <c r="D238" s="10" t="inlineStr">
        <is>
          <t>categoria antivandalo da concordare con il committente; per la presunzione di conformità vale l’edizione 2005+A1:2006</t>
        </is>
      </c>
      <c r="E238" s="10" t="inlineStr">
        <is>
          <t>UNI EN 81-71</t>
        </is>
      </c>
      <c r="F238" s="10" t="inlineStr">
        <is>
          <t>ricerca, cap. 16 (testi ufficiali e schede UNI, 2026-10-02)</t>
        </is>
      </c>
      <c r="G238" s="10" t="inlineStr">
        <is>
          <t>da verificare</t>
        </is>
      </c>
      <c r="H238" s="10" t="inlineStr">
        <is>
          <t>—</t>
        </is>
      </c>
      <c r="I238" s="11" t="n"/>
      <c r="J238" s="11" t="n"/>
      <c r="K238" s="11" t="n"/>
      <c r="L238" s="11" t="n"/>
      <c r="M238" s="11" t="n"/>
      <c r="N238" s="11" t="n"/>
    </row>
    <row r="239" ht="108" customHeight="1">
      <c r="A239" s="10" t="n">
        <v>237</v>
      </c>
      <c r="B239" s="10" t="inlineStr">
        <is>
          <t>Collaudo: UNI EN 81-72:2020 (ascensori antincendio)</t>
        </is>
      </c>
      <c r="C239" s="10" t="inlineStr">
        <is>
          <t>DM 15/09/2005, punto 7 (valori); Codice V.3.3.4</t>
        </is>
      </c>
      <c r="D239"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39" s="10" t="inlineStr">
        <is>
          <t>DM 15/09/2005, punto 7 (valori); Codice V.3.3.4</t>
        </is>
      </c>
      <c r="F239" s="10" t="inlineStr">
        <is>
          <t>ricerca, cap. 16 (testi ufficiali e schede UNI, 2026-10-02)</t>
        </is>
      </c>
      <c r="G239" s="10" t="inlineStr">
        <is>
          <t>confermato</t>
        </is>
      </c>
      <c r="H239" s="10" t="inlineStr">
        <is>
          <t>—</t>
        </is>
      </c>
      <c r="I239" s="11" t="n"/>
      <c r="J239" s="11" t="n"/>
      <c r="K239" s="11" t="n"/>
      <c r="L239" s="11" t="n"/>
      <c r="M239" s="11" t="n"/>
      <c r="N239" s="11" t="n"/>
    </row>
    <row r="240" ht="56" customHeight="1">
      <c r="A240" s="10" t="n">
        <v>238</v>
      </c>
      <c r="B240" s="10" t="inlineStr">
        <is>
          <t>Collaudo: UNI EN 81-72:2020 (ascensori antincendio)</t>
        </is>
      </c>
      <c r="C240" s="10" t="inlineStr">
        <is>
          <t>Codice S.10, Tab. S.10-2</t>
        </is>
      </c>
      <c r="D240" s="10" t="inlineStr">
        <is>
          <t>alimentazione di sicurezza dell’ascensore antincendio: interruzione al massimo 15 s, autonomia oltre 30 min</t>
        </is>
      </c>
      <c r="E240" s="10" t="inlineStr">
        <is>
          <t>Codice S.10, Tab. S.10-2</t>
        </is>
      </c>
      <c r="F240" s="10" t="inlineStr">
        <is>
          <t>ricerca, cap. 16 (testi ufficiali e schede UNI, 2026-10-02)</t>
        </is>
      </c>
      <c r="G240" s="10" t="inlineStr">
        <is>
          <t>confermato</t>
        </is>
      </c>
      <c r="H240" s="10" t="inlineStr">
        <is>
          <t>—</t>
        </is>
      </c>
      <c r="I240" s="11" t="n"/>
      <c r="J240" s="11" t="n"/>
      <c r="K240" s="11" t="n"/>
      <c r="L240" s="11" t="n"/>
      <c r="M240" s="11" t="n"/>
      <c r="N240" s="11" t="n"/>
    </row>
    <row r="241" ht="56" customHeight="1">
      <c r="A241" s="10" t="n">
        <v>239</v>
      </c>
      <c r="B241" s="10" t="inlineStr">
        <is>
          <t>Collaudo: UNI EN 81-72:2020 (ascensori antincendio)</t>
        </is>
      </c>
      <c r="C241" s="10" t="inlineStr">
        <is>
          <t>UNI EN 81-72:2020</t>
        </is>
      </c>
      <c r="D241" s="10" t="inlineStr">
        <is>
          <t>requisiti propri della norma (cabina, tempi, protezione dall’acqua) da verificare sul testo</t>
        </is>
      </c>
      <c r="E241" s="10" t="inlineStr">
        <is>
          <t>UNI EN 81-72:2020</t>
        </is>
      </c>
      <c r="F241" s="10" t="inlineStr">
        <is>
          <t>ricerca, cap. 16 (testi ufficiali e schede UNI, 2026-10-02)</t>
        </is>
      </c>
      <c r="G241" s="10" t="inlineStr">
        <is>
          <t>da verificare</t>
        </is>
      </c>
      <c r="H241" s="10" t="inlineStr">
        <is>
          <t>—</t>
        </is>
      </c>
      <c r="I241" s="11" t="n"/>
      <c r="J241" s="11" t="n"/>
      <c r="K241" s="11" t="n"/>
      <c r="L241" s="11" t="n"/>
      <c r="M241" s="11" t="n"/>
      <c r="N241" s="11" t="n"/>
    </row>
    <row r="242" ht="69" customHeight="1">
      <c r="A242" s="10" t="n">
        <v>240</v>
      </c>
      <c r="B242" s="10" t="inlineStr">
        <is>
          <t>Collaudo: UNI EN 81-73:2020 (comportamento in caso d’incendio)</t>
        </is>
      </c>
      <c r="C242" s="10" t="inlineStr">
        <is>
          <t>DM 15/09/2005, punto 6; Codice V.3.3.1</t>
        </is>
      </c>
      <c r="D242" s="10" t="inlineStr">
        <is>
          <t>quando la compartimentazione lo richiede, su comando della rivelazione incendio la cabina va al piano prestabilito e lascia uscire i passeggeri; con il Codice l’ascensore «dovrebbe» essere conforme alla UNI EN 81-73</t>
        </is>
      </c>
      <c r="E242" s="10" t="inlineStr">
        <is>
          <t>DM 15/09/2005, punto 6; Codice V.3.3.1</t>
        </is>
      </c>
      <c r="F242" s="10" t="inlineStr">
        <is>
          <t>ricerca, cap. 16 (testi ufficiali e schede UNI, 2026-10-02)</t>
        </is>
      </c>
      <c r="G242" s="10" t="inlineStr">
        <is>
          <t>confermato</t>
        </is>
      </c>
      <c r="H242" s="10" t="inlineStr">
        <is>
          <t>—</t>
        </is>
      </c>
      <c r="I242" s="11" t="n"/>
      <c r="J242" s="11" t="n"/>
      <c r="K242" s="11" t="n"/>
      <c r="L242" s="11" t="n"/>
      <c r="M242" s="11" t="n"/>
      <c r="N242" s="11" t="n"/>
    </row>
    <row r="243" ht="56" customHeight="1">
      <c r="A243" s="10" t="n">
        <v>241</v>
      </c>
      <c r="B243" s="10" t="inlineStr">
        <is>
          <t>Collaudo: UNI EN 81-73:2020 (comportamento in caso d’incendio)</t>
        </is>
      </c>
      <c r="C243" s="10" t="inlineStr">
        <is>
          <t>UNI EN 81-73:2020</t>
        </is>
      </c>
      <c r="D243" s="10" t="inlineStr">
        <is>
          <t>segnali e comportamento della manovra da verificare sul testo; la norma serve anche da base per migliorare gli esistenti (così la UNI EN 81-73:2005 letta, punto 1)</t>
        </is>
      </c>
      <c r="E243" s="10" t="inlineStr">
        <is>
          <t>UNI EN 81-73:2020</t>
        </is>
      </c>
      <c r="F243" s="10" t="inlineStr">
        <is>
          <t>ricerca, cap. 16 (testi ufficiali e schede UNI, 2026-10-02)</t>
        </is>
      </c>
      <c r="G243" s="10" t="inlineStr">
        <is>
          <t>da verificare</t>
        </is>
      </c>
      <c r="H243" s="10" t="inlineStr">
        <is>
          <t>—</t>
        </is>
      </c>
      <c r="I243" s="11" t="n"/>
      <c r="J243" s="11" t="n"/>
      <c r="K243" s="11" t="n"/>
      <c r="L243" s="11" t="n"/>
      <c r="M243" s="11" t="n"/>
      <c r="N243" s="11" t="n"/>
    </row>
    <row r="244" ht="69" customHeight="1">
      <c r="A244" s="10" t="n">
        <v>242</v>
      </c>
      <c r="B244" s="10" t="inlineStr">
        <is>
          <t>Collaudo: UNI EN 81-76:2025 (evacuazione delle persone con disabilità)</t>
        </is>
      </c>
      <c r="C244" s="10" t="inlineStr">
        <is>
          <t>UNI EN 81-76:2025</t>
        </is>
      </c>
      <c r="D244" s="10" t="inlineStr">
        <is>
          <t>evacuazione delle persone con disabilità con l’ascensore: requisiti aggiuntivi alla EN 81-20 (manovra, alimentazione) da verificare sul testo</t>
        </is>
      </c>
      <c r="E244" s="10" t="inlineStr">
        <is>
          <t>UNI EN 81-76:2025</t>
        </is>
      </c>
      <c r="F244" s="10" t="inlineStr">
        <is>
          <t>ricerca, cap. 16 (testi ufficiali e schede UNI, 2026-10-02)</t>
        </is>
      </c>
      <c r="G244" s="10" t="inlineStr">
        <is>
          <t>da verificare</t>
        </is>
      </c>
      <c r="H244" s="10" t="inlineStr">
        <is>
          <t>—</t>
        </is>
      </c>
      <c r="I244" s="11" t="n"/>
      <c r="J244" s="11" t="n"/>
      <c r="K244" s="11" t="n"/>
      <c r="L244" s="11" t="n"/>
      <c r="M244" s="11" t="n"/>
      <c r="N244" s="11" t="n"/>
    </row>
    <row r="245" ht="56" customHeight="1">
      <c r="A245" s="10" t="n">
        <v>243</v>
      </c>
      <c r="B245" s="10" t="inlineStr">
        <is>
          <t>Collaudo: UNI EN 81-77:2022 (azioni sismiche)</t>
        </is>
      </c>
      <c r="C245" s="10" t="inlineStr">
        <is>
          <t>UNI EN 81-77:2022, 1</t>
        </is>
      </c>
      <c r="D245" s="10" t="inlineStr">
        <is>
          <t>con accelerazione di progetto a_d fino a 1 m/s² nessuna prescrizione specifica; a_d e la posizione dei rilevatori si concordano con il progettista dell’edificio</t>
        </is>
      </c>
      <c r="E245" s="10" t="inlineStr">
        <is>
          <t>UNI EN 81-77:2022, 1</t>
        </is>
      </c>
      <c r="F245" s="10" t="inlineStr">
        <is>
          <t>ricerca, cap. 16 (testi ufficiali e schede UNI, 2026-10-02)</t>
        </is>
      </c>
      <c r="G245" s="10" t="inlineStr">
        <is>
          <t>confermato</t>
        </is>
      </c>
      <c r="H245" s="10" t="inlineStr">
        <is>
          <t>—</t>
        </is>
      </c>
      <c r="I245" s="11" t="n"/>
      <c r="J245" s="11" t="n"/>
      <c r="K245" s="11" t="n"/>
      <c r="L245" s="11" t="n"/>
      <c r="M245" s="11" t="n"/>
      <c r="N245" s="11" t="n"/>
    </row>
    <row r="246" ht="95" customHeight="1">
      <c r="A246" s="10" t="n">
        <v>244</v>
      </c>
      <c r="B246" s="10" t="inlineStr">
        <is>
          <t>Collaudo: UNI EN 81-77:2022 (azioni sismiche)</t>
        </is>
      </c>
      <c r="C246" s="10" t="inlineStr">
        <is>
          <t>UNI EN 81-77:2022, 5.4–5.10, All. A, B, D</t>
        </is>
      </c>
      <c r="D246"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46" s="10" t="inlineStr">
        <is>
          <t>UNI EN 81-77:2022, 5.4–5.10, All. A, B, D</t>
        </is>
      </c>
      <c r="F246" s="10" t="inlineStr">
        <is>
          <t>ricerca, cap. 16 (testi ufficiali e schede UNI, 2026-10-02)</t>
        </is>
      </c>
      <c r="G246" s="10" t="inlineStr">
        <is>
          <t>da verificare</t>
        </is>
      </c>
      <c r="H246" s="10" t="inlineStr">
        <is>
          <t>—</t>
        </is>
      </c>
      <c r="I246" s="11" t="n"/>
      <c r="J246" s="11" t="n"/>
      <c r="K246" s="11" t="n"/>
      <c r="L246" s="11" t="n"/>
      <c r="M246" s="11" t="n"/>
      <c r="N246" s="11" t="n"/>
    </row>
    <row r="247" ht="43" customHeight="1">
      <c r="A247" s="10" t="n">
        <v>245</v>
      </c>
      <c r="B247" s="10" t="inlineStr">
        <is>
          <t>Collaudo: UNI EN 81-77:2022 (azioni sismiche)</t>
        </is>
      </c>
      <c r="C247" s="10" t="inlineStr">
        <is>
          <t>UNI EN 81-77:2022, 0.3</t>
        </is>
      </c>
      <c r="D247" s="10" t="inlineStr">
        <is>
          <t>non si applica agli impianti installati prima della sua pubblicazione</t>
        </is>
      </c>
      <c r="E247" s="10" t="inlineStr">
        <is>
          <t>UNI EN 81-77:2022, 0.3</t>
        </is>
      </c>
      <c r="F247" s="10" t="inlineStr">
        <is>
          <t>ricerca, cap. 16 (testi ufficiali e schede UNI, 2026-10-02)</t>
        </is>
      </c>
      <c r="G247" s="10" t="inlineStr">
        <is>
          <t>confermato</t>
        </is>
      </c>
      <c r="H247" s="10" t="inlineStr">
        <is>
          <t>—</t>
        </is>
      </c>
      <c r="I247" s="11" t="n"/>
      <c r="J247" s="11" t="n"/>
      <c r="K247" s="11" t="n"/>
      <c r="L247" s="11" t="n"/>
      <c r="M247" s="11" t="n"/>
      <c r="N247" s="11" t="n"/>
    </row>
    <row r="248" ht="69" customHeight="1">
      <c r="A248" s="10" t="n">
        <v>246</v>
      </c>
      <c r="B248" s="10" t="inlineStr">
        <is>
          <t>Collaudo: UNI EN 81-80:2019 (miglioramento della sicurezza degli esistenti)</t>
        </is>
      </c>
      <c r="C248" s="10" t="inlineStr">
        <is>
          <t>UNI EN 81-80:2004 e 2009, 1 e appendice A</t>
        </is>
      </c>
      <c r="D248" s="10" t="inlineStr">
        <is>
          <t>analisi dei rischi dell’impianto esistente e piano di miglioramento per priorità; quali misure e in che tempi lo decide la legislazione nazionale, non la norma</t>
        </is>
      </c>
      <c r="E248" s="10" t="inlineStr">
        <is>
          <t>UNI EN 81-80:2004 e 2009, 1 e appendice A</t>
        </is>
      </c>
      <c r="F248" s="10" t="inlineStr">
        <is>
          <t>testo della norma, letto il 2026-10-06 (punti e valori con parole nostre)</t>
        </is>
      </c>
      <c r="G248" s="10" t="inlineStr">
        <is>
          <t>confermato</t>
        </is>
      </c>
      <c r="H248" s="10" t="inlineStr">
        <is>
          <t>—</t>
        </is>
      </c>
      <c r="I248" s="11" t="n"/>
      <c r="J248" s="11" t="n"/>
      <c r="K248" s="11" t="n"/>
      <c r="L248" s="11" t="n"/>
      <c r="M248" s="11" t="n"/>
      <c r="N248" s="11" t="n"/>
    </row>
    <row r="249" ht="69" customHeight="1">
      <c r="A249" s="10" t="n">
        <v>247</v>
      </c>
      <c r="B249" s="10" t="inlineStr">
        <is>
          <t>Collaudo: UNI EN 81-80:2019 (miglioramento della sicurezza degli esistenti)</t>
        </is>
      </c>
      <c r="C249" s="10" t="inlineStr">
        <is>
          <t>UNI EN 81-80:2019</t>
        </is>
      </c>
      <c r="D249" s="10" t="inlineStr">
        <is>
          <t>la stessa analisi nell’edizione in vigore, con una struttura diversa: da verificare sul testo</t>
        </is>
      </c>
      <c r="E249" s="10" t="inlineStr">
        <is>
          <t>UNI EN 81-80:2019</t>
        </is>
      </c>
      <c r="F249" s="10" t="inlineStr">
        <is>
          <t>ricerca, cap. 16 (testi ufficiali e schede UNI, 2026-10-02)</t>
        </is>
      </c>
      <c r="G249" s="10" t="inlineStr">
        <is>
          <t>da verificare</t>
        </is>
      </c>
      <c r="H249" s="10" t="inlineStr">
        <is>
          <t>—</t>
        </is>
      </c>
      <c r="I249" s="11" t="n"/>
      <c r="J249" s="11" t="n"/>
      <c r="K249" s="11" t="n"/>
      <c r="L249" s="11" t="n"/>
      <c r="M249" s="11" t="n"/>
      <c r="N249" s="11" t="n"/>
    </row>
    <row r="250" ht="56" customHeight="1">
      <c r="A250" s="10" t="n">
        <v>248</v>
      </c>
      <c r="B250" s="10" t="inlineStr">
        <is>
          <t>Collaudo: UNI EN 81-82:2026 (accessibilità degli esistenti)</t>
        </is>
      </c>
      <c r="C250" s="10" t="inlineStr">
        <is>
          <t>UNI EN 81-82:2026</t>
        </is>
      </c>
      <c r="D250" s="10" t="inlineStr">
        <is>
          <t>miglioramento dell’accessibilità di un impianto esistente secondo i requisiti della EN 81-70</t>
        </is>
      </c>
      <c r="E250" s="10" t="inlineStr">
        <is>
          <t>UNI EN 81-82:2026</t>
        </is>
      </c>
      <c r="F250" s="10" t="inlineStr">
        <is>
          <t>ricerca, cap. 16 (testi ufficiali e schede UNI, 2026-10-02)</t>
        </is>
      </c>
      <c r="G250" s="10" t="inlineStr">
        <is>
          <t>confermato</t>
        </is>
      </c>
      <c r="H250" s="10" t="inlineStr">
        <is>
          <t>—</t>
        </is>
      </c>
      <c r="I250" s="11" t="n"/>
      <c r="J250" s="11" t="n"/>
      <c r="K250" s="11" t="n"/>
      <c r="L250" s="11" t="n"/>
      <c r="M250" s="11" t="n"/>
      <c r="N250" s="11" t="n"/>
    </row>
    <row r="251" ht="56" customHeight="1">
      <c r="A251" s="10" t="n">
        <v>249</v>
      </c>
      <c r="B251" s="10" t="inlineStr">
        <is>
          <t>Collaudo: UNI EN 81-83:2026 (antivandalo degli esistenti)</t>
        </is>
      </c>
      <c r="C251" s="10" t="inlineStr">
        <is>
          <t>UNI EN 81-83:2026</t>
        </is>
      </c>
      <c r="D251" s="10" t="inlineStr">
        <is>
          <t>miglioramento della resistenza agli atti vandalici di un impianto esistente secondo la EN 81-71:2022 (voce 1.2 della Tab. A.1 della EN 81-80)</t>
        </is>
      </c>
      <c r="E251" s="10" t="inlineStr">
        <is>
          <t>UNI EN 81-83:2026</t>
        </is>
      </c>
      <c r="F251" s="10" t="inlineStr">
        <is>
          <t>ricerca, cap. 16 (testi ufficiali e schede UNI, 2026-10-02)</t>
        </is>
      </c>
      <c r="G251" s="10" t="inlineStr">
        <is>
          <t>confermato</t>
        </is>
      </c>
      <c r="H251" s="10" t="inlineStr">
        <is>
          <t>—</t>
        </is>
      </c>
      <c r="I251" s="11" t="n"/>
      <c r="J251" s="11" t="n"/>
      <c r="K251" s="11" t="n"/>
      <c r="L251" s="11" t="n"/>
      <c r="M251" s="11" t="n"/>
      <c r="N251" s="11" t="n"/>
    </row>
    <row r="252" ht="82" customHeight="1">
      <c r="A252" s="10" t="n">
        <v>250</v>
      </c>
      <c r="B252" s="10" t="inlineStr">
        <is>
          <t>Collaudo: DM 236/1989 (barriere architettoniche)</t>
        </is>
      </c>
      <c r="C252" s="10" t="inlineStr">
        <is>
          <t>DM 236/1989, 8.1.12</t>
        </is>
      </c>
      <c r="D252" s="10" t="inlineStr">
        <is>
          <t>piattaforma di distribuzione davanti alla porta di cabina: 1,50 × 1,50 m negli edifici nuovi, 1,40 × 1,40 m nell’adeguamento (fuori dal vano: in sito)</t>
        </is>
      </c>
      <c r="E252" s="10" t="inlineStr">
        <is>
          <t>DM 236/1989, 8.1.12</t>
        </is>
      </c>
      <c r="F252" s="10" t="inlineStr">
        <is>
          <t>testo ufficiale del DM 236/1989</t>
        </is>
      </c>
      <c r="G252" s="10" t="inlineStr">
        <is>
          <t>confermato</t>
        </is>
      </c>
      <c r="H252" s="10" t="inlineStr">
        <is>
          <t>cabina minima (DM 236/1989); porta minima (DM 236/1989); porta sul lato corto; motivazione del caso c) (DM 236/1989); pulsanti più alti delle bottoniere (DM 236/1989)</t>
        </is>
      </c>
      <c r="I252" s="11" t="n"/>
      <c r="J252" s="11" t="n"/>
      <c r="K252" s="11" t="n"/>
      <c r="L252" s="11" t="n"/>
      <c r="M252" s="11" t="n"/>
      <c r="N252" s="11" t="n"/>
    </row>
    <row r="253" ht="82" customHeight="1">
      <c r="A253" s="10" t="n">
        <v>251</v>
      </c>
      <c r="B253" s="10" t="inlineStr">
        <is>
          <t>Collaudo: DM 236/1989 (barriere architettoniche)</t>
        </is>
      </c>
      <c r="C253" s="10" t="inlineStr">
        <is>
          <t>DM 236/1989, 8.1.12</t>
        </is>
      </c>
      <c r="D253" s="10" t="inlineStr">
        <is>
          <t>porte di cabina e di piano a scorrimento automatico (nell’adeguamento la porta di piano può essere a battente se ad apertura automatica); porte aperte almeno 8 s, chiusura in almeno 4 s</t>
        </is>
      </c>
      <c r="E253" s="10" t="inlineStr">
        <is>
          <t>DM 236/1989, 8.1.12</t>
        </is>
      </c>
      <c r="F253" s="10" t="inlineStr">
        <is>
          <t>testo ufficiale del DM 236/1989</t>
        </is>
      </c>
      <c r="G253" s="10" t="inlineStr">
        <is>
          <t>confermato</t>
        </is>
      </c>
      <c r="H253" s="10" t="inlineStr">
        <is>
          <t>cabina minima (DM 236/1989); porta minima (DM 236/1989); porta sul lato corto; motivazione del caso c) (DM 236/1989); pulsanti più alti delle bottoniere (DM 236/1989)</t>
        </is>
      </c>
      <c r="I253" s="11" t="n"/>
      <c r="J253" s="11" t="n"/>
      <c r="K253" s="11" t="n"/>
      <c r="L253" s="11" t="n"/>
      <c r="M253" s="11" t="n"/>
      <c r="N253" s="11" t="n"/>
    </row>
    <row r="254" ht="82" customHeight="1">
      <c r="A254" s="10" t="n">
        <v>252</v>
      </c>
      <c r="B254" s="10" t="inlineStr">
        <is>
          <t>Collaudo: DM 236/1989 (barriere architettoniche)</t>
        </is>
      </c>
      <c r="C254" s="10" t="inlineStr">
        <is>
          <t>DM 236/1989, 8.1.12</t>
        </is>
      </c>
      <c r="D254" s="10" t="inlineStr">
        <is>
          <t>arresto ai piani con autolivellamento entro ± 2 cm; sosta ai piani con le porte chiuse</t>
        </is>
      </c>
      <c r="E254" s="10" t="inlineStr">
        <is>
          <t>DM 236/1989, 8.1.12</t>
        </is>
      </c>
      <c r="F254" s="10" t="inlineStr">
        <is>
          <t>testo ufficiale del DM 236/1989</t>
        </is>
      </c>
      <c r="G254" s="10" t="inlineStr">
        <is>
          <t>confermato</t>
        </is>
      </c>
      <c r="H254" s="10" t="inlineStr">
        <is>
          <t>cabina minima (DM 236/1989); porta minima (DM 236/1989); porta sul lato corto; motivazione del caso c) (DM 236/1989); pulsanti più alti delle bottoniere (DM 236/1989)</t>
        </is>
      </c>
      <c r="I254" s="11" t="n"/>
      <c r="J254" s="11" t="n"/>
      <c r="K254" s="11" t="n"/>
      <c r="L254" s="11" t="n"/>
      <c r="M254" s="11" t="n"/>
      <c r="N254" s="11" t="n"/>
    </row>
    <row r="255" ht="82" customHeight="1">
      <c r="A255" s="10" t="n">
        <v>253</v>
      </c>
      <c r="B255" s="10" t="inlineStr">
        <is>
          <t>Collaudo: DM 236/1989 (barriere architettoniche)</t>
        </is>
      </c>
      <c r="C255" s="10" t="inlineStr">
        <is>
          <t>DM 236/1989, 8.1.12 e 8.0.1</t>
        </is>
      </c>
      <c r="D255" s="10" t="inlineStr">
        <is>
          <t>pulsanti di cabina e di piano: il più alto tra 1,10 e 1,40 m, misurato all’asse del comando; bottoniera di cabina su una parete laterale ad almeno 0,35 m dalla porta</t>
        </is>
      </c>
      <c r="E255" s="10" t="inlineStr">
        <is>
          <t>DM 236/1989, 8.1.12 e 8.0.1</t>
        </is>
      </c>
      <c r="F255" s="10" t="inlineStr">
        <is>
          <t>testo ufficiale del DM 236/1989</t>
        </is>
      </c>
      <c r="G255" s="10" t="inlineStr">
        <is>
          <t>confermato</t>
        </is>
      </c>
      <c r="H255" s="10" t="inlineStr">
        <is>
          <t>cabina minima (DM 236/1989); porta minima (DM 236/1989); porta sul lato corto; motivazione del caso c) (DM 236/1989); pulsanti più alti delle bottoniere (DM 236/1989)</t>
        </is>
      </c>
      <c r="I255" s="11" t="n"/>
      <c r="J255" s="11" t="n"/>
      <c r="K255" s="11" t="n"/>
      <c r="L255" s="11" t="n"/>
      <c r="M255" s="11" t="n"/>
      <c r="N255" s="11" t="n"/>
    </row>
    <row r="256" ht="95" customHeight="1">
      <c r="A256" s="10" t="n">
        <v>254</v>
      </c>
      <c r="B256" s="10" t="inlineStr">
        <is>
          <t>Collaudo: DM 236/1989 (barriere architettoniche)</t>
        </is>
      </c>
      <c r="C256" s="10" t="inlineStr">
        <is>
          <t>DM 236/1989, 8.1.12 e 4.1.12</t>
        </is>
      </c>
      <c r="D256"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56" s="10" t="inlineStr">
        <is>
          <t>DM 236/1989, 8.1.12 e 4.1.12</t>
        </is>
      </c>
      <c r="F256" s="10" t="inlineStr">
        <is>
          <t>testo ufficiale del DM 236/1989</t>
        </is>
      </c>
      <c r="G256" s="10" t="inlineStr">
        <is>
          <t>confermato</t>
        </is>
      </c>
      <c r="H256" s="10" t="inlineStr">
        <is>
          <t>cabina minima (DM 236/1989); porta minima (DM 236/1989); porta sul lato corto; motivazione del caso c) (DM 236/1989); pulsanti più alti delle bottoniere (DM 236/1989)</t>
        </is>
      </c>
      <c r="I256" s="11" t="n"/>
      <c r="J256" s="11" t="n"/>
      <c r="K256" s="11" t="n"/>
      <c r="L256" s="11" t="n"/>
      <c r="M256" s="11" t="n"/>
      <c r="N256" s="11" t="n"/>
    </row>
    <row r="257" ht="82" customHeight="1">
      <c r="A257" s="10" t="n">
        <v>255</v>
      </c>
      <c r="B257" s="10" t="inlineStr">
        <is>
          <t>Collaudo: DM 236/1989 (barriere architettoniche)</t>
        </is>
      </c>
      <c r="C257" s="10" t="inlineStr">
        <is>
          <t>DM 236/1989, 3.2; L. 13/1989, art. 1 c.3 lett. d)</t>
        </is>
      </c>
      <c r="D257" s="10" t="inlineStr">
        <is>
          <t>ascensore obbligatorio oltre il terzo livello (contati interrati e porticati); negli immobili con più di tre livelli fuori terra un ascensore per ogni scala principale</t>
        </is>
      </c>
      <c r="E257" s="10" t="inlineStr">
        <is>
          <t>DM 236/1989, 3.2; L. 13/1989, art. 1 c.3 lett. d)</t>
        </is>
      </c>
      <c r="F257" s="10" t="inlineStr">
        <is>
          <t>testo ufficiale del DM 236/1989; L. 13/1989: ricerca, cap. 16</t>
        </is>
      </c>
      <c r="G257" s="10" t="inlineStr">
        <is>
          <t>confermato</t>
        </is>
      </c>
      <c r="H257" s="10" t="inlineStr">
        <is>
          <t>cabina minima (DM 236/1989); porta minima (DM 236/1989); porta sul lato corto; motivazione del caso c) (DM 236/1989); pulsanti più alti delle bottoniere (DM 236/1989)</t>
        </is>
      </c>
      <c r="I257" s="11" t="n"/>
      <c r="J257" s="11" t="n"/>
      <c r="K257" s="11" t="n"/>
      <c r="L257" s="11" t="n"/>
      <c r="M257" s="11" t="n"/>
      <c r="N257" s="11" t="n"/>
    </row>
    <row r="258" ht="82" customHeight="1">
      <c r="A258" s="10" t="n">
        <v>256</v>
      </c>
      <c r="B258" s="10" t="inlineStr">
        <is>
          <t>Collaudo: DM 236/1989 (barriere architettoniche)</t>
        </is>
      </c>
      <c r="C258" s="10" t="inlineStr">
        <is>
          <t>DM 236/1989, 7.5; DPR 503/1996, art. 19</t>
        </is>
      </c>
      <c r="D258" s="10" t="inlineStr">
        <is>
          <t>nelle ristrutturazioni deroghe per impossibilità tecnica strutturale o impiantistica (privati: concesse dal Sindaco); edifici vincolati: deroga se le opere pregiudicano il bene</t>
        </is>
      </c>
      <c r="E258" s="10" t="inlineStr">
        <is>
          <t>DM 236/1989, 7.5; DPR 503/1996, art. 19</t>
        </is>
      </c>
      <c r="F258" s="10" t="inlineStr">
        <is>
          <t>testo ufficiale del DM 236/1989; DPR 503/1996: ricerca, cap. 16</t>
        </is>
      </c>
      <c r="G258" s="10" t="inlineStr">
        <is>
          <t>confermato</t>
        </is>
      </c>
      <c r="H258" s="10" t="inlineStr">
        <is>
          <t>cabina minima (DM 236/1989); porta minima (DM 236/1989); porta sul lato corto; motivazione del caso c) (DM 236/1989); pulsanti più alti delle bottoniere (DM 236/1989)</t>
        </is>
      </c>
      <c r="I258" s="11" t="n"/>
      <c r="J258" s="11" t="n"/>
      <c r="K258" s="11" t="n"/>
      <c r="L258" s="11" t="n"/>
      <c r="M258" s="11" t="n"/>
      <c r="N258" s="11" t="n"/>
    </row>
    <row r="259" ht="69" customHeight="1">
      <c r="A259" s="10" t="n">
        <v>257</v>
      </c>
      <c r="B259" s="10" t="inlineStr">
        <is>
          <t>Collaudo: DM 15/09/2005 o Codice di prevenzione incendi, RTV V.3 (antincendio)</t>
        </is>
      </c>
      <c r="C259" s="10" t="inlineStr">
        <is>
          <t>DM 3/8/2015, art. 5 c.1-bis lett. e)</t>
        </is>
      </c>
      <c r="D259" s="10" t="inlineStr">
        <is>
          <t>il progettista applica il DM 15/09/2005 oppure la RTV V.3 del Codice: dove si usa il Codice il DM 2005 non si applica</t>
        </is>
      </c>
      <c r="E259" s="10" t="inlineStr">
        <is>
          <t>DM 3/8/2015, art. 5 c.1-bis lett. e)</t>
        </is>
      </c>
      <c r="F259" s="10" t="inlineStr">
        <is>
          <t>ricerca, cap. 16 (testi ufficiali e schede UNI, 2026-10-02)</t>
        </is>
      </c>
      <c r="G259" s="10" t="inlineStr">
        <is>
          <t>confermato</t>
        </is>
      </c>
      <c r="H259" s="10" t="inlineStr">
        <is>
          <t>—</t>
        </is>
      </c>
      <c r="I259" s="11" t="n"/>
      <c r="J259" s="11" t="n"/>
      <c r="K259" s="11" t="n"/>
      <c r="L259" s="11" t="n"/>
      <c r="M259" s="11" t="n"/>
      <c r="N259" s="11" t="n"/>
    </row>
    <row r="260" ht="95" customHeight="1">
      <c r="A260" s="10" t="n">
        <v>258</v>
      </c>
      <c r="B260" s="10" t="inlineStr">
        <is>
          <t>Collaudo: DM 15/09/2005 o Codice di prevenzione incendi, RTV V.3 (antincendio)</t>
        </is>
      </c>
      <c r="C260" s="10" t="inlineStr">
        <is>
          <t>DM 15/09/2005, art. 1 c.2</t>
        </is>
      </c>
      <c r="D260"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0" s="10" t="inlineStr">
        <is>
          <t>DM 15/09/2005, art. 1 c.2</t>
        </is>
      </c>
      <c r="F260" s="10" t="inlineStr">
        <is>
          <t>ricerca, cap. 16 (testi ufficiali e schede UNI, 2026-10-02)</t>
        </is>
      </c>
      <c r="G260" s="10" t="inlineStr">
        <is>
          <t>confermato</t>
        </is>
      </c>
      <c r="H260" s="10" t="inlineStr">
        <is>
          <t>—</t>
        </is>
      </c>
      <c r="I260" s="11" t="n"/>
      <c r="J260" s="11" t="n"/>
      <c r="K260" s="11" t="n"/>
      <c r="L260" s="11" t="n"/>
      <c r="M260" s="11" t="n"/>
      <c r="N260" s="11" t="n"/>
    </row>
    <row r="261" ht="69" customHeight="1">
      <c r="A261" s="10" t="n">
        <v>259</v>
      </c>
      <c r="B261" s="10" t="inlineStr">
        <is>
          <t>Collaudo: DM 15/09/2005 o Codice di prevenzione incendi, RTV V.3 (antincendio)</t>
        </is>
      </c>
      <c r="C261" s="10" t="inlineStr">
        <is>
          <t>DM 15/09/2005, 3.1–3.3; Codice V.3.2</t>
        </is>
      </c>
      <c r="D261" s="10" t="inlineStr">
        <is>
          <t>tipo di vano: aperto, protetto o a prova di fumo (Codice: classi da SA a SE)</t>
        </is>
      </c>
      <c r="E261" s="10" t="inlineStr">
        <is>
          <t>DM 15/09/2005, 3.1–3.3; Codice V.3.2</t>
        </is>
      </c>
      <c r="F261" s="10" t="inlineStr">
        <is>
          <t>ricerca, cap. 16 (testi ufficiali e schede UNI, 2026-10-02)</t>
        </is>
      </c>
      <c r="G261" s="10" t="inlineStr">
        <is>
          <t>confermato</t>
        </is>
      </c>
      <c r="H261" s="10" t="inlineStr">
        <is>
          <t>—</t>
        </is>
      </c>
      <c r="I261" s="11" t="n"/>
      <c r="J261" s="11" t="n"/>
      <c r="K261" s="11" t="n"/>
      <c r="L261" s="11" t="n"/>
      <c r="M261" s="11" t="n"/>
      <c r="N261" s="11" t="n"/>
    </row>
    <row r="262" ht="69" customHeight="1">
      <c r="A262" s="10" t="n">
        <v>260</v>
      </c>
      <c r="B262" s="10" t="inlineStr">
        <is>
          <t>Collaudo: DM 15/09/2005 o Codice di prevenzione incendi, RTV V.3 (antincendio)</t>
        </is>
      </c>
      <c r="C262" s="10" t="inlineStr">
        <is>
          <t>DM 15/09/2005, punto 2</t>
        </is>
      </c>
      <c r="D262" s="10" t="inlineStr">
        <is>
          <t>pareti del vano, locale macchina e pulegge, setti e arcata non combustibili; pareti, pavimento e tetto della cabina in classe di reazione al fuoco non oltre 1</t>
        </is>
      </c>
      <c r="E262" s="10" t="inlineStr">
        <is>
          <t>DM 15/09/2005, punto 2</t>
        </is>
      </c>
      <c r="F262" s="10" t="inlineStr">
        <is>
          <t>ricerca, cap. 16 (testi ufficiali e schede UNI, 2026-10-02)</t>
        </is>
      </c>
      <c r="G262" s="10" t="inlineStr">
        <is>
          <t>confermato</t>
        </is>
      </c>
      <c r="H262" s="10" t="inlineStr">
        <is>
          <t>—</t>
        </is>
      </c>
      <c r="I262" s="11" t="n"/>
      <c r="J262" s="11" t="n"/>
      <c r="K262" s="11" t="n"/>
      <c r="L262" s="11" t="n"/>
      <c r="M262" s="11" t="n"/>
      <c r="N262" s="11" t="n"/>
    </row>
    <row r="263" ht="108" customHeight="1">
      <c r="A263" s="10" t="n">
        <v>261</v>
      </c>
      <c r="B263" s="10" t="inlineStr">
        <is>
          <t>Collaudo: DM 15/09/2005 o Codice di prevenzione incendi, RTV V.3 (antincendio)</t>
        </is>
      </c>
      <c r="C263" s="10" t="inlineStr">
        <is>
          <t>DM 15/03/2005 (tabella di confronto); UNI EN 81-20:2020, 5.4.4</t>
        </is>
      </c>
      <c r="D263"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63" s="10" t="inlineStr">
        <is>
          <t>DM 15/03/2005 (tabella di confronto); UNI EN 81-20:2020, 5.4.4</t>
        </is>
      </c>
      <c r="F263" s="10" t="inlineStr">
        <is>
          <t>ricerca, cap. 16 (testi ufficiali e schede UNI, 2026-10-02)</t>
        </is>
      </c>
      <c r="G263" s="10" t="inlineStr">
        <is>
          <t>da verificare</t>
        </is>
      </c>
      <c r="H263" s="10" t="inlineStr">
        <is>
          <t>—</t>
        </is>
      </c>
      <c r="I263" s="11" t="n"/>
      <c r="J263" s="11" t="n"/>
      <c r="K263" s="11" t="n"/>
      <c r="L263" s="11" t="n"/>
      <c r="M263" s="11" t="n"/>
      <c r="N263" s="11" t="n"/>
    </row>
    <row r="264" ht="82" customHeight="1">
      <c r="A264" s="10" t="n">
        <v>262</v>
      </c>
      <c r="B264" s="10" t="inlineStr">
        <is>
          <t>Collaudo: DM 15/09/2005 o Codice di prevenzione incendi, RTV V.3 (antincendio)</t>
        </is>
      </c>
      <c r="C264" s="10" t="inlineStr">
        <is>
          <t>DM 15/09/2005, punto 5</t>
        </is>
      </c>
      <c r="D264"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64" s="10" t="inlineStr">
        <is>
          <t>DM 15/09/2005, punto 5</t>
        </is>
      </c>
      <c r="F264" s="10" t="inlineStr">
        <is>
          <t>ricerca, cap. 16 (testi ufficiali e schede UNI, 2026-10-02)</t>
        </is>
      </c>
      <c r="G264" s="10" t="inlineStr">
        <is>
          <t>confermato</t>
        </is>
      </c>
      <c r="H264" s="10" t="inlineStr">
        <is>
          <t>—</t>
        </is>
      </c>
      <c r="I264" s="11" t="n"/>
      <c r="J264" s="11" t="n"/>
      <c r="K264" s="11" t="n"/>
      <c r="L264" s="11" t="n"/>
      <c r="M264" s="11" t="n"/>
      <c r="N264" s="11" t="n"/>
    </row>
    <row r="265" ht="69" customHeight="1">
      <c r="A265" s="10" t="n">
        <v>263</v>
      </c>
      <c r="B265" s="10" t="inlineStr">
        <is>
          <t>Collaudo: DM 15/09/2005 o Codice di prevenzione incendi, RTV V.3 (antincendio)</t>
        </is>
      </c>
      <c r="C265" s="10" t="inlineStr">
        <is>
          <t>DM 15/09/2005, punto 6; Codice V.3.3.1 c.5</t>
        </is>
      </c>
      <c r="D265" s="10" t="inlineStr">
        <is>
          <t>estintore 21A89BC vicino all’accesso al macchinario; richiamo della cabina al piano prestabilito su comando della rivelazione quando la compartimentazione lo richiede</t>
        </is>
      </c>
      <c r="E265" s="10" t="inlineStr">
        <is>
          <t>DM 15/09/2005, punto 6; Codice V.3.3.1 c.5</t>
        </is>
      </c>
      <c r="F265" s="10" t="inlineStr">
        <is>
          <t>ricerca, cap. 16 (testi ufficiali e schede UNI, 2026-10-02)</t>
        </is>
      </c>
      <c r="G265" s="10" t="inlineStr">
        <is>
          <t>confermato</t>
        </is>
      </c>
      <c r="H265" s="10" t="inlineStr">
        <is>
          <t>—</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Codice S.9, Tab. S.9-3</t>
        </is>
      </c>
      <c r="D266" s="10" t="inlineStr">
        <is>
          <t>piani tra 32 e 54 m: almeno un ascensore antincendio; oltre 54 m: almeno uno di soccorso; interrati tra −10 e −15 m: antincendio; sotto −15 m: soccorso</t>
        </is>
      </c>
      <c r="E266" s="10" t="inlineStr">
        <is>
          <t>Codice S.9, Tab. S.9-3</t>
        </is>
      </c>
      <c r="F266" s="10" t="inlineStr">
        <is>
          <t>ricerca, cap. 16 (testi ufficiali e schede UNI, 2026-10-02)</t>
        </is>
      </c>
      <c r="G266" s="10" t="inlineStr">
        <is>
          <t>confermato</t>
        </is>
      </c>
      <c r="H266" s="10" t="inlineStr">
        <is>
          <t>—</t>
        </is>
      </c>
      <c r="I266" s="11" t="n"/>
      <c r="J266" s="11" t="n"/>
      <c r="K266" s="11" t="n"/>
      <c r="L266" s="11" t="n"/>
      <c r="M266" s="11" t="n"/>
      <c r="N266" s="11" t="n"/>
    </row>
    <row r="267" ht="82" customHeight="1">
      <c r="A267" s="10" t="n">
        <v>265</v>
      </c>
      <c r="B267" s="10" t="inlineStr">
        <is>
          <t>Collaudo: NTC 2018 (strutture e azioni sismiche)</t>
        </is>
      </c>
      <c r="C267" s="10" t="inlineStr">
        <is>
          <t>NTC 2018, §3.1.4</t>
        </is>
      </c>
      <c r="D267" s="10" t="inlineStr">
        <is>
          <t>carichi del macchinario valutati caso per caso sui massimi prevedibili e riportati nel progetto e nel collaudo statico</t>
        </is>
      </c>
      <c r="E267" s="10" t="inlineStr">
        <is>
          <t>NTC 2018, §3.1.4</t>
        </is>
      </c>
      <c r="F267" s="10" t="inlineStr">
        <is>
          <t>ricerca, cap. 16 (testi ufficiali e schede UNI, 2026-10-02)</t>
        </is>
      </c>
      <c r="G267" s="10" t="inlineStr">
        <is>
          <t>confermato</t>
        </is>
      </c>
      <c r="H267" s="10" t="inlineStr">
        <is>
          <t>tensione nelle putrelle sotto l’argano; freccia delle putrelle sotto l’argano; tensione nelle putrelle HEB sui muri del vano; freccia delle putrelle HEB sui muri del vano</t>
        </is>
      </c>
      <c r="I267" s="11" t="n"/>
      <c r="J267" s="11" t="n"/>
      <c r="K267" s="11" t="n"/>
      <c r="L267" s="11" t="n"/>
      <c r="M267" s="11" t="n"/>
      <c r="N267" s="11" t="n"/>
    </row>
    <row r="268" ht="82" customHeight="1">
      <c r="A268" s="10" t="n">
        <v>266</v>
      </c>
      <c r="B268" s="10" t="inlineStr">
        <is>
          <t>Collaudo: NTC 2018 (strutture e azioni sismiche)</t>
        </is>
      </c>
      <c r="C268" s="10" t="inlineStr">
        <is>
          <t>NTC 2018, §8.4.1</t>
        </is>
      </c>
      <c r="D268" s="10" t="inlineStr">
        <is>
          <t>su un edificio esistente l’intervento è locale: verifica limitata alle parti interessate, senza ridurre la sicurezza preesistente</t>
        </is>
      </c>
      <c r="E268" s="10" t="inlineStr">
        <is>
          <t>NTC 2018, §8.4.1</t>
        </is>
      </c>
      <c r="F268" s="10" t="inlineStr">
        <is>
          <t>ricerca, cap. 16 (testi ufficiali e schede UNI, 2026-10-02)</t>
        </is>
      </c>
      <c r="G268" s="10" t="inlineStr">
        <is>
          <t>confermato</t>
        </is>
      </c>
      <c r="H268" s="10" t="inlineStr">
        <is>
          <t>tensione nelle putrelle sotto l’argano; freccia delle putrelle sotto l’argano; tensione nelle putrelle HEB sui muri del vano; freccia delle putrelle HEB sui muri del vano</t>
        </is>
      </c>
      <c r="I268" s="11" t="n"/>
      <c r="J268" s="11" t="n"/>
      <c r="K268" s="11" t="n"/>
      <c r="L268" s="11" t="n"/>
      <c r="M268" s="11" t="n"/>
      <c r="N268" s="11" t="n"/>
    </row>
    <row r="269" ht="82" customHeight="1">
      <c r="A269" s="10" t="n">
        <v>267</v>
      </c>
      <c r="B269" s="10" t="inlineStr">
        <is>
          <t>Collaudo: NTC 2018 (strutture e azioni sismiche)</t>
        </is>
      </c>
      <c r="C269" s="10" t="inlineStr">
        <is>
          <t>NTC 2018, §11.4.1</t>
        </is>
      </c>
      <c r="D269" s="10" t="inlineStr">
        <is>
          <t>ancoranti per uso strutturale qualificati; con azioni sismiche categoria C2 per tutte le classi d’uso</t>
        </is>
      </c>
      <c r="E269" s="10" t="inlineStr">
        <is>
          <t>NTC 2018, §11.4.1</t>
        </is>
      </c>
      <c r="F269" s="10" t="inlineStr">
        <is>
          <t>ricerca, cap. 16 (testi ufficiali e schede UNI, 2026-10-02)</t>
        </is>
      </c>
      <c r="G269" s="10" t="inlineStr">
        <is>
          <t>confermato</t>
        </is>
      </c>
      <c r="H269" s="10" t="inlineStr">
        <is>
          <t>tensione nelle putrelle sotto l’argano; freccia delle putrelle sotto l’argano; tensione nelle putrelle HEB sui muri del vano; freccia delle putrelle HEB sui muri del vano</t>
        </is>
      </c>
      <c r="I269" s="11" t="n"/>
      <c r="J269" s="11" t="n"/>
      <c r="K269" s="11" t="n"/>
      <c r="L269" s="11" t="n"/>
      <c r="M269" s="11" t="n"/>
      <c r="N269" s="11" t="n"/>
    </row>
    <row r="270" ht="108" customHeight="1">
      <c r="A270" s="10" t="n">
        <v>268</v>
      </c>
      <c r="B270" s="10" t="inlineStr">
        <is>
          <t>Collaudo: NTC 2018 (strutture e azioni sismiche)</t>
        </is>
      </c>
      <c r="C270" s="10" t="inlineStr">
        <is>
          <t>NTC 2018, §7.2.3–7.2.4</t>
        </is>
      </c>
      <c r="D270"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0" s="10" t="inlineStr">
        <is>
          <t>NTC 2018, §7.2.3–7.2.4</t>
        </is>
      </c>
      <c r="F270" s="10" t="inlineStr">
        <is>
          <t>ricerca, cap. 16 (testi ufficiali e schede UNI, 2026-10-02)</t>
        </is>
      </c>
      <c r="G270" s="10" t="inlineStr">
        <is>
          <t>confermato</t>
        </is>
      </c>
      <c r="H270" s="10" t="inlineStr">
        <is>
          <t>tensione nelle putrelle sotto l’argano; freccia delle putrelle sotto l’argano; tensione nelle putrelle HEB sui muri del vano; freccia delle putrelle HEB sui muri del vano</t>
        </is>
      </c>
      <c r="I270" s="11" t="n"/>
      <c r="J270" s="11" t="n"/>
      <c r="K270" s="11" t="n"/>
      <c r="L270" s="11" t="n"/>
      <c r="M270" s="11" t="n"/>
      <c r="N270" s="11" t="n"/>
    </row>
    <row r="271" ht="82" customHeight="1">
      <c r="A271" s="10" t="n">
        <v>269</v>
      </c>
      <c r="B271" s="10" t="inlineStr">
        <is>
          <t>Collaudo: NTC 2018 (strutture e azioni sismiche)</t>
        </is>
      </c>
      <c r="C271" s="10" t="inlineStr">
        <is>
          <t>NTC 2018, Tab. 7.3.III e §7.3.6.3</t>
        </is>
      </c>
      <c r="D271" s="10" t="inlineStr">
        <is>
          <t>impianti: stabilità allo SLV per tutte le classi d’uso; nelle classi III e IV anche funzionamento allo SLO</t>
        </is>
      </c>
      <c r="E271" s="10" t="inlineStr">
        <is>
          <t>NTC 2018, Tab. 7.3.III e §7.3.6.3</t>
        </is>
      </c>
      <c r="F271" s="10" t="inlineStr">
        <is>
          <t>ricerca, cap. 16 (testi ufficiali e schede UNI, 2026-10-02)</t>
        </is>
      </c>
      <c r="G271" s="10" t="inlineStr">
        <is>
          <t>confermato</t>
        </is>
      </c>
      <c r="H271" s="10" t="inlineStr">
        <is>
          <t>tensione nelle putrelle sotto l’argano; freccia delle putrelle sotto l’argano; tensione nelle putrelle HEB sui muri del vano; freccia delle putrelle HEB sui muri del vano</t>
        </is>
      </c>
      <c r="I271" s="11" t="n"/>
      <c r="J271" s="11" t="n"/>
      <c r="K271" s="11" t="n"/>
      <c r="L271" s="11" t="n"/>
      <c r="M271" s="11" t="n"/>
      <c r="N271" s="11" t="n"/>
    </row>
    <row r="272" ht="134" customHeight="1">
      <c r="A272" s="10" t="n">
        <v>270</v>
      </c>
      <c r="B272" s="10" t="inlineStr">
        <is>
          <t>Collaudo: UNI 10411-1:2024, parti sostituite oltre la macchina</t>
        </is>
      </c>
      <c r="C272" s="10" t="inlineStr">
        <is>
          <t>UNI 10411-1:2024, 22</t>
        </is>
      </c>
      <c r="D272"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2" s="10" t="inlineStr">
        <is>
          <t>UNI 10411-1:2024, 22</t>
        </is>
      </c>
      <c r="F272" s="10" t="inlineStr">
        <is>
          <t>testo della norma, letto il 2026-10-06 (punti e valori con parole nostre)</t>
        </is>
      </c>
      <c r="G272" s="10" t="inlineStr">
        <is>
          <t>confermato</t>
        </is>
      </c>
      <c r="H272" s="10" t="inlineStr">
        <is>
          <t>—</t>
        </is>
      </c>
      <c r="I272" s="11" t="n"/>
      <c r="J272" s="11" t="n"/>
      <c r="K272" s="11" t="n"/>
      <c r="L272" s="11" t="n"/>
      <c r="M272" s="11" t="n"/>
      <c r="N272" s="11" t="n"/>
    </row>
    <row r="273" ht="56" customHeight="1">
      <c r="A273" s="10" t="n">
        <v>271</v>
      </c>
      <c r="B273" s="10" t="inlineStr">
        <is>
          <t>Collaudo: UNI 10411-1:2024, parti sostituite oltre la macchina</t>
        </is>
      </c>
      <c r="C273" s="10" t="inlineStr">
        <is>
          <t>UNI 10411-1:2024, 12.1 e 12.3</t>
        </is>
      </c>
      <c r="D273" s="10" t="inlineStr">
        <is>
          <t>meccanismi delle porte di cabina nuovi secondo la UNI EN 81-20 5.3.3.2, 5.3.3.3 e da 5.3.8 a 5.3.14; porte motorizzate anche 5.3.6.2 e 5.3.6.3</t>
        </is>
      </c>
      <c r="E273" s="10" t="inlineStr">
        <is>
          <t>UNI 10411-1:2024, 12.1 e 12.3</t>
        </is>
      </c>
      <c r="F273" s="10" t="inlineStr">
        <is>
          <t>testo della norma, letto il 2026-10-06 (punti e valori con parole nostre)</t>
        </is>
      </c>
      <c r="G273" s="10" t="inlineStr">
        <is>
          <t>confermato</t>
        </is>
      </c>
      <c r="H273" s="10" t="inlineStr">
        <is>
          <t>—</t>
        </is>
      </c>
      <c r="I273" s="11" t="n"/>
      <c r="J273" s="11" t="n"/>
      <c r="K273" s="11" t="n"/>
      <c r="L273" s="11" t="n"/>
      <c r="M273" s="11" t="n"/>
      <c r="N273" s="11" t="n"/>
    </row>
    <row r="274" ht="108" customHeight="1">
      <c r="A274" s="10" t="n">
        <v>272</v>
      </c>
      <c r="B274" s="10" t="inlineStr">
        <is>
          <t>Collaudo: UNI 10411-1:2024, parti sostituite oltre la macchina</t>
        </is>
      </c>
      <c r="C274" s="10" t="inlineStr">
        <is>
          <t>UNI 10411-1:2024, 19 e 12.2</t>
        </is>
      </c>
      <c r="D274" s="10" t="inlineStr">
        <is>
          <t>porte di piano nuove secondo la UNI EN 81-20 5.3, mai più basse delle esistenti (sotto 1,9 m la UNI EN 81-21 5.12); resistenza al fuoco non inferiore all’esistente; presenza della cabina segnalata (5.3.7.2); grembiule della soglia di cabina secondo la 5.4.5 (la UNI EN 81-21 5.8 se i luoghi non lo consentono); dispositivi di blocco nuovi con certificato di esame del tipo (12.2)</t>
        </is>
      </c>
      <c r="E274" s="10" t="inlineStr">
        <is>
          <t>UNI 10411-1:2024, 19 e 12.2</t>
        </is>
      </c>
      <c r="F274" s="10" t="inlineStr">
        <is>
          <t>testo della norma, letto il 2026-10-06 (punti e valori con parole nostre)</t>
        </is>
      </c>
      <c r="G274" s="10" t="inlineStr">
        <is>
          <t>confermato</t>
        </is>
      </c>
      <c r="H274" s="10" t="inlineStr">
        <is>
          <t>—</t>
        </is>
      </c>
      <c r="I274" s="11" t="n"/>
      <c r="J274" s="11" t="n"/>
      <c r="K274" s="11" t="n"/>
      <c r="L274" s="11" t="n"/>
      <c r="M274" s="11" t="n"/>
      <c r="N274" s="11" t="n"/>
    </row>
    <row r="275" ht="108" customHeight="1">
      <c r="A275" s="10" t="n">
        <v>273</v>
      </c>
      <c r="B275" s="10" t="inlineStr">
        <is>
          <t>Collaudo: UNI 10411-1:2024, parti sostituite oltre la macchina</t>
        </is>
      </c>
      <c r="C275" s="10" t="inlineStr">
        <is>
          <t>UNI 10411-1:2024, 11.1</t>
        </is>
      </c>
      <c r="D275"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75" s="10" t="inlineStr">
        <is>
          <t>UNI 10411-1:2024, 11.1</t>
        </is>
      </c>
      <c r="F275" s="10" t="inlineStr">
        <is>
          <t>testo della norma, letto il 2026-10-06 (punti e valori con parole nostre)</t>
        </is>
      </c>
      <c r="G275" s="10" t="inlineStr">
        <is>
          <t>confermato</t>
        </is>
      </c>
      <c r="H275" s="10" t="inlineStr">
        <is>
          <t>—</t>
        </is>
      </c>
      <c r="I275" s="11" t="n"/>
      <c r="J275" s="11" t="n"/>
      <c r="K275" s="11" t="n"/>
      <c r="L275" s="11" t="n"/>
      <c r="M275" s="11" t="n"/>
      <c r="N275" s="11" t="n"/>
    </row>
    <row r="276" ht="69" customHeight="1">
      <c r="A276" s="10" t="n">
        <v>274</v>
      </c>
      <c r="B276" s="10" t="inlineStr">
        <is>
          <t>Collaudo: UNI 10411-1:2024, parti sostituite oltre la macchina</t>
        </is>
      </c>
      <c r="C276" s="10" t="inlineStr">
        <is>
          <t>UNI 10411-1:2024, 17</t>
        </is>
      </c>
      <c r="D276" s="10" t="inlineStr">
        <is>
          <t>funi nuove secondo la UNI EN 81-20 5.5.1 e attacchi d’estremità controllati (17.1); diametro o carico di rottura diversi da quelli documentati: verifiche della 14.1 anche con la stessa puleggia (17.2)</t>
        </is>
      </c>
      <c r="E276" s="10" t="inlineStr">
        <is>
          <t>UNI 10411-1:2024, 17</t>
        </is>
      </c>
      <c r="F276" s="10" t="inlineStr">
        <is>
          <t>testo della norma, letto il 2026-10-06 (punti e valori con parole nostre)</t>
        </is>
      </c>
      <c r="G276" s="10" t="inlineStr">
        <is>
          <t>confermato</t>
        </is>
      </c>
      <c r="H276" s="10" t="inlineStr">
        <is>
          <t>—</t>
        </is>
      </c>
      <c r="I276" s="11" t="n"/>
      <c r="J276" s="11" t="n"/>
      <c r="K276" s="11" t="n"/>
      <c r="L276" s="11" t="n"/>
      <c r="M276" s="11" t="n"/>
      <c r="N276" s="11" t="n"/>
    </row>
    <row r="277" ht="56" customHeight="1">
      <c r="A277" s="10" t="n">
        <v>275</v>
      </c>
      <c r="B277" s="10" t="inlineStr">
        <is>
          <t>Collaudo: UNI 10411-1:2024, parti sostituite oltre la macchina</t>
        </is>
      </c>
      <c r="C277" s="10" t="inlineStr">
        <is>
          <t>UNI 10411-1:2024, 18</t>
        </is>
      </c>
      <c r="D277" s="10" t="inlineStr">
        <is>
          <t>limitatore, tenditore, fune e contatti nuovi secondo la UNI EN 81-20 5.6.2.2.1 e 5.5.7.1, con l’intervento del paracadute entro i limiti della norma in vigore all’installazione</t>
        </is>
      </c>
      <c r="E277" s="10" t="inlineStr">
        <is>
          <t>UNI 10411-1:2024, 18</t>
        </is>
      </c>
      <c r="F277" s="10" t="inlineStr">
        <is>
          <t>testo della norma, letto il 2026-10-06 (punti e valori con parole nostre)</t>
        </is>
      </c>
      <c r="G277" s="10" t="inlineStr">
        <is>
          <t>confermato</t>
        </is>
      </c>
      <c r="H277" s="10" t="inlineStr">
        <is>
          <t>—</t>
        </is>
      </c>
      <c r="I277" s="11" t="n"/>
      <c r="J277" s="11" t="n"/>
      <c r="K277" s="11" t="n"/>
      <c r="L277" s="11" t="n"/>
      <c r="M277" s="11" t="n"/>
      <c r="N277" s="11" t="n"/>
    </row>
    <row r="278" ht="108" customHeight="1">
      <c r="A278" s="10" t="n">
        <v>276</v>
      </c>
      <c r="B278" s="10" t="inlineStr">
        <is>
          <t>Collaudo: UNI 10411-11:2024, parti sostituite oltre la macchina</t>
        </is>
      </c>
      <c r="C278" s="10" t="inlineStr">
        <is>
          <t>UNI 10411-11:2024, 22</t>
        </is>
      </c>
      <c r="D278"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78" s="10" t="inlineStr">
        <is>
          <t>UNI 10411-11:2024, 22</t>
        </is>
      </c>
      <c r="F278" s="10" t="inlineStr">
        <is>
          <t>testo della norma, letto il 2026-10-06 (punti e valori con parole nostre)</t>
        </is>
      </c>
      <c r="G278" s="10" t="inlineStr">
        <is>
          <t>confermato</t>
        </is>
      </c>
      <c r="H278" s="10" t="inlineStr">
        <is>
          <t>—</t>
        </is>
      </c>
      <c r="I278" s="11" t="n"/>
      <c r="J278" s="11" t="n"/>
      <c r="K278" s="11" t="n"/>
      <c r="L278" s="11" t="n"/>
      <c r="M278" s="11" t="n"/>
      <c r="N278" s="11" t="n"/>
    </row>
    <row r="279" ht="56" customHeight="1">
      <c r="A279" s="10" t="n">
        <v>277</v>
      </c>
      <c r="B279" s="10" t="inlineStr">
        <is>
          <t>Collaudo: UNI 10411-11:2024, parti sostituite oltre la macchina</t>
        </is>
      </c>
      <c r="C279" s="10" t="inlineStr">
        <is>
          <t>UNI 10411-11:2024, 12.1–12.3</t>
        </is>
      </c>
      <c r="D279" s="10" t="inlineStr">
        <is>
          <t>meccanismi delle porte di cabina nuovi secondo la UNI EN 81-20 5.3.3.2, 5.3.3.3 e da 5.3.8 a 5.3.14; porte motorizzate anche 5.3.6.2 e 5.3.6.3</t>
        </is>
      </c>
      <c r="E279" s="10" t="inlineStr">
        <is>
          <t>UNI 10411-11:2024, 12.1–12.3</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69" customHeight="1">
      <c r="A280" s="10" t="n">
        <v>278</v>
      </c>
      <c r="B280" s="10" t="inlineStr">
        <is>
          <t>Collaudo: UNI 10411-11:2024, parti sostituite oltre la macchina</t>
        </is>
      </c>
      <c r="C280" s="10" t="inlineStr">
        <is>
          <t>UNI 10411-11:2024, 19</t>
        </is>
      </c>
      <c r="D280" s="10" t="inlineStr">
        <is>
          <t>porte di piano nuove come le originali, altrimenti secondo la UNI EN 81-20 5.3 (la UNI EN 81-21 5.12 se i luoghi non consentono la 5.3.2.1), con la valutazione 4.3; resistenza al fuoco non inferiore all’esistente</t>
        </is>
      </c>
      <c r="E280" s="10" t="inlineStr">
        <is>
          <t>UNI 10411-11:2024, 19</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95" customHeight="1">
      <c r="A281" s="10" t="n">
        <v>279</v>
      </c>
      <c r="B281" s="10" t="inlineStr">
        <is>
          <t>Collaudo: UNI 10411-11:2024, parti sostituite oltre la macchina</t>
        </is>
      </c>
      <c r="C281" s="10" t="inlineStr">
        <is>
          <t>UNI 10411-11:2024, 11.1</t>
        </is>
      </c>
      <c r="D281"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81" s="10" t="inlineStr">
        <is>
          <t>UNI 10411-11:2024, 11.1</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10411-11:2024, parti sostituite oltre la macchina</t>
        </is>
      </c>
      <c r="C282" s="10" t="inlineStr">
        <is>
          <t>UNI 10411-11:2024, 17</t>
        </is>
      </c>
      <c r="D282" s="10" t="inlineStr">
        <is>
          <t>funi nuove e attacchi d’estremità come gli originali, altrimenti verificati per l’impianto con la valutazione 4.3</t>
        </is>
      </c>
      <c r="E282" s="10" t="inlineStr">
        <is>
          <t>UNI 10411-11:2024, 17</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56" customHeight="1">
      <c r="A283" s="10" t="n">
        <v>281</v>
      </c>
      <c r="B283" s="10" t="inlineStr">
        <is>
          <t>Collaudo: UNI 10411-11:2024, parti sostituite oltre la macchina</t>
        </is>
      </c>
      <c r="C283" s="10" t="inlineStr">
        <is>
          <t>UNI 10411-11:2024, 18</t>
        </is>
      </c>
      <c r="D283" s="10" t="inlineStr">
        <is>
          <t>limitatore, tenditore, fune e contatti come gli originali, altrimenti verificati per l’impianto con la valutazione 4.3</t>
        </is>
      </c>
      <c r="E283" s="10" t="inlineStr">
        <is>
          <t>UNI 10411-11:2024, 18</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sheetData>
  <autoFilter ref="A1:N283"/>
  <dataValidations count="1">
    <dataValidation sqref="I3:I283"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COUNTIF(Voci!$G$3:$G$283,"da verificare")</f>
        <v/>
      </c>
    </row>
    <row r="5">
      <c r="A5" s="6" t="inlineStr">
        <is>
          <t>confermato</t>
        </is>
      </c>
      <c r="B5" s="6">
        <f>COUNTIF(Voci!$G$3:$G$283,"confermato")</f>
        <v/>
      </c>
    </row>
    <row r="6">
      <c r="A6" s="6" t="inlineStr">
        <is>
          <t>scelta del software</t>
        </is>
      </c>
      <c r="B6" s="6">
        <f>COUNTIF(Voci!$G$3:$G$283,"scelta del software")</f>
        <v/>
      </c>
    </row>
    <row r="7">
      <c r="A7" s="6" t="inlineStr">
        <is>
          <t>stima</t>
        </is>
      </c>
      <c r="B7" s="6">
        <f>COUNTIF(Voci!$G$3:$G$283,"stima")</f>
        <v/>
      </c>
    </row>
    <row r="8">
      <c r="A8" s="6" t="inlineStr">
        <is>
          <t>derivazione</t>
        </is>
      </c>
      <c r="B8" s="6">
        <f>COUNTIF(Voci!$G$3:$G$283,"derivazione")</f>
        <v/>
      </c>
    </row>
    <row r="9">
      <c r="A9" s="6" t="inlineStr">
        <is>
          <t>prassi di cantiere</t>
        </is>
      </c>
      <c r="B9" s="6">
        <f>COUNTIF(Voci!$G$3:$G$283,"prassi di cantiere")</f>
        <v/>
      </c>
    </row>
    <row r="10">
      <c r="A10" s="3" t="inlineStr">
        <is>
          <t>Totale voci</t>
        </is>
      </c>
      <c r="B10" s="3">
        <f>COUNTA(Voci!$A$3:$A$283)</f>
        <v/>
      </c>
    </row>
    <row r="12">
      <c r="A12" s="3" t="inlineStr">
        <is>
          <t>Esito</t>
        </is>
      </c>
    </row>
    <row r="13">
      <c r="A13" s="6" t="inlineStr">
        <is>
          <t>conforme</t>
        </is>
      </c>
      <c r="B13" s="6">
        <f>COUNTIF(Voci!$I$3:$I$283,"conforme")</f>
        <v/>
      </c>
    </row>
    <row r="14">
      <c r="A14" s="6" t="inlineStr">
        <is>
          <t>diverso</t>
        </is>
      </c>
      <c r="B14" s="6">
        <f>COUNTIF(Voci!$I$3:$I$283,"diverso")</f>
        <v/>
      </c>
    </row>
    <row r="15">
      <c r="A15" s="6" t="inlineStr">
        <is>
          <t>non applicabile</t>
        </is>
      </c>
      <c r="B15" s="6">
        <f>COUNTIF(Voci!$I$3:$I$283,"non applicabile")</f>
        <v/>
      </c>
    </row>
    <row r="16">
      <c r="A16" s="6" t="inlineStr">
        <is>
          <t>da compilare</t>
        </is>
      </c>
      <c r="B16" s="6">
        <f>COUNTBLANK(Voci!$I$3:$I$283)</f>
        <v/>
      </c>
    </row>
    <row r="18">
      <c r="A18" s="13" t="inlineStr">
        <is>
          <t>Conteggi sulle righe 3–283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2026-10-14T23:25:33Z</dcterms:created>
  <dcterms:modified xmlns:dcterms="http://purl.org/dc/terms/" xmlns:xsi="http://www.w3.org/2001/XMLSchema-instance" xsi:type="dcterms:W3CDTF">2026-10-14T23:25:33Z</dcterms:modified>
</cp:coreProperties>
</file>