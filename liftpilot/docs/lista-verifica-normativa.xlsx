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struzioni" sheetId="1" state="visible" r:id="rId1"/>
    <sheet name="Voci" sheetId="2" state="visible" r:id="rId2"/>
    <sheet name="Riepilogo" sheetId="3" state="visible" r:id="rId3"/>
  </sheets>
  <definedNames>
    <definedName name="_xlnm._FilterDatabase" localSheetId="1" hidden="1">'Voci'!$A$1:$N$361</definedName>
    <definedName name="_xlnm.Print_Titles" localSheetId="1">'Voci'!$1:$1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4"/>
    </font>
    <font>
      <name val="Arial"/>
      <sz val="11"/>
    </font>
    <font>
      <name val="Arial"/>
      <b val="1"/>
      <sz val="10"/>
    </font>
    <font>
      <name val="Arial"/>
      <sz val="10"/>
    </font>
    <font>
      <name val="Arial"/>
      <b val="1"/>
      <color rgb="00FFFFFF"/>
      <sz val="10"/>
    </font>
    <font>
      <name val="Arial"/>
      <i val="1"/>
      <color rgb="005A6480"/>
      <sz val="10"/>
    </font>
    <font>
      <name val="Arial"/>
      <color rgb="000000FF"/>
      <sz val="10"/>
    </font>
    <font>
      <name val="Arial"/>
      <b val="1"/>
      <sz val="13"/>
    </font>
  </fonts>
  <fills count="5">
    <fill>
      <patternFill/>
    </fill>
    <fill>
      <patternFill patternType="gray125"/>
    </fill>
    <fill>
      <patternFill patternType="solid">
        <fgColor rgb="00FFFF00"/>
      </patternFill>
    </fill>
    <fill>
      <patternFill patternType="solid">
        <fgColor rgb="001D3271"/>
      </patternFill>
    </fill>
    <fill>
      <patternFill patternType="solid">
        <fgColor rgb="00EEF1F6"/>
      </patternFill>
    </fill>
  </fills>
  <borders count="2">
    <border>
      <left/>
      <right/>
      <top/>
      <bottom/>
      <diagonal/>
    </border>
    <border>
      <left style="thin">
        <color rgb="00C9CFDB"/>
      </left>
      <right style="thin">
        <color rgb="00C9CFDB"/>
      </right>
      <top style="thin">
        <color rgb="00C9CFDB"/>
      </top>
      <bottom style="thin">
        <color rgb="00C9CFDB"/>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2" borderId="0" pivotButton="0" quotePrefix="0" xfId="0"/>
    <xf numFmtId="0" fontId="4" fillId="0" borderId="0" pivotButton="0" quotePrefix="0" xfId="0"/>
    <xf numFmtId="0" fontId="0" fillId="2" borderId="1" pivotButton="0" quotePrefix="0" xfId="0"/>
    <xf numFmtId="0" fontId="5" fillId="3" borderId="1" applyAlignment="1" pivotButton="0" quotePrefix="0" xfId="0">
      <alignment vertical="center" wrapText="1"/>
    </xf>
    <xf numFmtId="0" fontId="6" fillId="4" borderId="1" applyAlignment="1" pivotButton="0" quotePrefix="0" xfId="0">
      <alignment vertical="top" wrapText="1"/>
    </xf>
    <xf numFmtId="0" fontId="4" fillId="0" borderId="1" applyAlignment="1" pivotButton="0" quotePrefix="0" xfId="0">
      <alignment vertical="top" wrapText="1"/>
    </xf>
    <xf numFmtId="0" fontId="7" fillId="2" borderId="1" applyAlignment="1" pivotButton="0" quotePrefix="0" xfId="0">
      <alignment vertical="top" wrapText="1"/>
    </xf>
    <xf numFmtId="0" fontId="8"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28"/>
  <sheetViews>
    <sheetView workbookViewId="0">
      <selection activeCell="A1" sqref="A1"/>
    </sheetView>
  </sheetViews>
  <sheetFormatPr baseColWidth="8" defaultRowHeight="15"/>
  <cols>
    <col width="24" customWidth="1" min="1" max="1"/>
    <col width="100" customWidth="1" min="2" max="2"/>
  </cols>
  <sheetData>
    <row r="1">
      <c r="A1" s="1" t="inlineStr">
        <is>
          <t>Lista di verifica normativa — profilo IT-2026.1</t>
        </is>
      </c>
    </row>
    <row r="2">
      <c r="A2" s="2" t="inlineStr">
        <is>
          <t>Italia — calcolo dell’argano e progetto dell’ascensore: solo argano, ammodernamento e trasformazione completa di impianti esistenti, impianto nuovo</t>
        </is>
      </c>
    </row>
    <row r="4">
      <c r="A4" s="3" t="inlineStr">
        <is>
          <t>Documenti del profilo</t>
        </is>
      </c>
    </row>
    <row r="5">
      <c r="A5" s="3" t="inlineStr">
        <is>
          <t>Direttiva 2014/33/UE</t>
        </is>
      </c>
      <c r="B5" s="4" t="inlineStr">
        <is>
          <t>requisiti essenziali di sicurezza (Allegato I)</t>
        </is>
      </c>
    </row>
    <row r="6">
      <c r="A6" s="3" t="inlineStr">
        <is>
          <t>DPR 162/1999 e s.m.i. (DPR 8/2015, DPR 23/2017)</t>
        </is>
      </c>
      <c r="B6" s="4" t="inlineStr">
        <is>
          <t>campo (art. 1); impianto nuovo con organismo notificato (All. V, VIII); modifica costruttiva (art. 2 c.1 cc)) e verifica straordinaria (art. 14)</t>
        </is>
      </c>
    </row>
    <row r="7">
      <c r="A7" s="3" t="inlineStr">
        <is>
          <t>Regolamento (UE) 2023/1230</t>
        </is>
      </c>
      <c r="B7" s="4" t="inlineStr">
        <is>
          <t>art. 51 par. 2: ascensori dichiarati conformi dal 20/01/2027</t>
        </is>
      </c>
    </row>
    <row r="8">
      <c r="A8" s="3" t="inlineStr">
        <is>
          <t>UNI EN 81-20:2020</t>
        </is>
      </c>
      <c r="B8" s="4" t="inlineStr">
        <is>
          <t>funi (5.5), freno (5.9.2.2), distanze nel vano (5.2.5) e superficie della cabina (5.4.2)</t>
        </is>
      </c>
    </row>
    <row r="9">
      <c r="A9" s="3" t="inlineStr">
        <is>
          <t>UNI EN 81-50:2020</t>
        </is>
      </c>
      <c r="B9" s="4" t="inlineStr">
        <is>
          <t>aderenza (5.11) e coefficiente di sicurezza delle funi (5.12)</t>
        </is>
      </c>
    </row>
    <row r="10">
      <c r="A10" s="3" t="inlineStr">
        <is>
          <t>UNI 10411-1:2024</t>
        </is>
      </c>
      <c r="B10" s="4" t="inlineStr">
        <is>
          <t>modifiche e sostituzioni su ascensori elettrici esistenti non conformi alla Direttiva Ascensori: collaudo delle parti modificate</t>
        </is>
      </c>
    </row>
    <row r="11">
      <c r="A11" s="3" t="inlineStr">
        <is>
          <t>UNI 10411-11:2024</t>
        </is>
      </c>
      <c r="B11" s="4" t="inlineStr">
        <is>
          <t>modifiche e sostituzioni su ascensori elettrici esistenti conformi alla 95/16/CE o alla 2014/33/UE: collaudo delle parti modificate</t>
        </is>
      </c>
    </row>
    <row r="12">
      <c r="A12" s="3" t="inlineStr">
        <is>
          <t>DM 236/1989</t>
        </is>
      </c>
      <c r="B12" s="4" t="inlineStr">
        <is>
          <t>accessibilità: cabina e porta minime (8.1.12), per il progetto del vano</t>
        </is>
      </c>
    </row>
    <row r="14">
      <c r="A14" s="3" t="inlineStr">
        <is>
          <t>Come compilare</t>
        </is>
      </c>
    </row>
    <row r="15" ht="32" customHeight="1">
      <c r="B15" s="4" t="inlineStr">
        <is>
          <t>Nel foglio «Voci», per ogni riga confrontare il «Valore nel software» con il testo vigente del documento in «Dove verificare».</t>
        </is>
      </c>
    </row>
    <row r="16" ht="32" customHeight="1">
      <c r="B16" s="4" t="inlineStr">
        <is>
          <t>Compilare solo le celle gialle: Esito (conforme / diverso / non applicabile), Valore corretto e Clausola esatta se diverso, Note, Verificato da, Data.</t>
        </is>
      </c>
    </row>
    <row r="17" ht="18" customHeight="1">
      <c r="B17" s="4" t="inlineStr">
        <is>
          <t>La riga 2 è un ESEMPIO del formato: non è una voce e non entra nel riepilogo.</t>
        </is>
      </c>
    </row>
    <row r="18" ht="88" customHeight="1">
      <c r="B18" s="4" t="inlineStr">
        <is>
          <t>Stati: «da verificare» = fonte secondaria; «stima» e «scelta del software» = decisioni del software da approvare o correggere; «derivazione» = meccanica elementare; «confermato» = letto sul testo della norma fornito dal cliente (la fonte lo dice, con le pagine) o letto sul testo ufficiale dell’atto (Normattiva, EUR-Lex), oppure due fonti indipendenti o un caso pubblicato riprodotto, da confrontare comunque con il testo vigente; «prassi di cantiere» = indicazione di Panev Ascensori.</t>
        </is>
      </c>
    </row>
    <row r="19" ht="32" customHeight="1">
      <c r="B19" s="4" t="inlineStr">
        <is>
          <t>Ogni correzione viene riportata nel registro del software (liftpilot/src/calc/norme.ts) e cambia insieme motore di calcolo, lista e relazione di calcolo.</t>
        </is>
      </c>
    </row>
    <row r="20" ht="18" customHeight="1">
      <c r="B20" s="4" t="inlineStr">
        <is>
          <t>Non trascrivere il testo delle norme in questo file: basta il valore e il numero di clausola.</t>
        </is>
      </c>
    </row>
    <row r="22">
      <c r="A22" s="3" t="inlineStr">
        <is>
          <t>Legenda</t>
        </is>
      </c>
      <c r="B22" s="5" t="inlineStr">
        <is>
          <t>celle da compilare</t>
        </is>
      </c>
    </row>
    <row r="24">
      <c r="A24" s="3" t="inlineStr">
        <is>
          <t>Verifica complessiva</t>
        </is>
      </c>
    </row>
    <row r="25">
      <c r="A25" s="6" t="inlineStr">
        <is>
          <t>Ingegnere (nome e cognome)</t>
        </is>
      </c>
      <c r="B25" s="7" t="n"/>
    </row>
    <row r="26">
      <c r="A26" s="6" t="inlineStr">
        <is>
          <t>Iscrizione all'albo</t>
        </is>
      </c>
      <c r="B26" s="7" t="n"/>
    </row>
    <row r="27">
      <c r="A27" s="6" t="inlineStr">
        <is>
          <t>Data</t>
        </is>
      </c>
      <c r="B27" s="7" t="n"/>
    </row>
    <row r="28">
      <c r="A28" s="6" t="inlineStr">
        <is>
          <t>Firma</t>
        </is>
      </c>
      <c r="B28" s="7" t="n"/>
    </row>
  </sheetData>
  <pageMargins left="0.4" right="0.4"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N361"/>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34" customWidth="1" min="3" max="3"/>
    <col width="46" customWidth="1" min="4" max="4"/>
    <col width="30" customWidth="1" min="5" max="5"/>
    <col width="30" customWidth="1" min="6" max="6"/>
    <col width="14" customWidth="1" min="7" max="7"/>
    <col width="30" customWidth="1" min="8" max="8"/>
    <col width="16" customWidth="1" min="9" max="9"/>
    <col width="24" customWidth="1" min="10" max="10"/>
    <col width="18" customWidth="1" min="11" max="11"/>
    <col width="30" customWidth="1" min="12" max="12"/>
    <col width="18" customWidth="1" min="13" max="13"/>
    <col width="12" customWidth="1" min="14" max="14"/>
  </cols>
  <sheetData>
    <row r="1" ht="30" customHeight="1">
      <c r="A1" s="8" t="inlineStr">
        <is>
          <t>N.</t>
        </is>
      </c>
      <c r="B1" s="8" t="inlineStr">
        <is>
          <t>Gruppo</t>
        </is>
      </c>
      <c r="C1" s="8" t="inlineStr">
        <is>
          <t>Voce</t>
        </is>
      </c>
      <c r="D1" s="8" t="inlineStr">
        <is>
          <t>Valore nel software</t>
        </is>
      </c>
      <c r="E1" s="8" t="inlineStr">
        <is>
          <t>Dove verificare</t>
        </is>
      </c>
      <c r="F1" s="8" t="inlineStr">
        <is>
          <t>Fonte attuale</t>
        </is>
      </c>
      <c r="G1" s="8" t="inlineStr">
        <is>
          <t>Stato</t>
        </is>
      </c>
      <c r="H1" s="8" t="inlineStr">
        <is>
          <t>Verifiche interessate</t>
        </is>
      </c>
      <c r="I1" s="8" t="inlineStr">
        <is>
          <t>Esito</t>
        </is>
      </c>
      <c r="J1" s="8" t="inlineStr">
        <is>
          <t>Valore corretto</t>
        </is>
      </c>
      <c r="K1" s="8" t="inlineStr">
        <is>
          <t>Clausola esatta</t>
        </is>
      </c>
      <c r="L1" s="8" t="inlineStr">
        <is>
          <t>Note</t>
        </is>
      </c>
      <c r="M1" s="8" t="inlineStr">
        <is>
          <t>Verificato da</t>
        </is>
      </c>
      <c r="N1" s="8" t="inlineStr">
        <is>
          <t>Data</t>
        </is>
      </c>
    </row>
    <row r="2" ht="30" customHeight="1">
      <c r="A2" s="9" t="inlineStr">
        <is>
          <t>ESEMPIO</t>
        </is>
      </c>
      <c r="B2" s="9" t="inlineStr">
        <is>
          <t>Aderenza</t>
        </is>
      </c>
      <c r="C2" s="9" t="inlineStr">
        <is>
          <t>Coefficiente di attrito, caricamento</t>
        </is>
      </c>
      <c r="D2" s="9" t="inlineStr">
        <is>
          <t>μ = 0,1</t>
        </is>
      </c>
      <c r="E2" s="9" t="inlineStr">
        <is>
          <t>UNI EN 81-50:2020, 5.11.2</t>
        </is>
      </c>
      <c r="F2" s="9" t="inlineStr">
        <is>
          <t>fonti secondarie</t>
        </is>
      </c>
      <c r="G2" s="9" t="inlineStr">
        <is>
          <t>da verificare</t>
        </is>
      </c>
      <c r="H2" s="9" t="inlineStr">
        <is>
          <t>aderenza al caricamento</t>
        </is>
      </c>
      <c r="I2" s="9" t="inlineStr">
        <is>
          <t>diverso</t>
        </is>
      </c>
      <c r="J2" s="9" t="inlineStr">
        <is>
          <t>μ = 0,1 (con …)</t>
        </is>
      </c>
      <c r="K2" s="9" t="inlineStr">
        <is>
          <t>5.11.2.x</t>
        </is>
      </c>
      <c r="L2" s="9" t="inlineStr">
        <is>
          <t>formato della risposta: non è una voce</t>
        </is>
      </c>
      <c r="M2" s="9" t="inlineStr">
        <is>
          <t>iniziali</t>
        </is>
      </c>
      <c r="N2" s="9" t="inlineStr">
        <is>
          <t>gg/mm/aaaa</t>
        </is>
      </c>
    </row>
    <row r="3" ht="121" customHeight="1">
      <c r="A3" s="10" t="n">
        <v>1</v>
      </c>
      <c r="B3" s="10" t="inlineStr">
        <is>
          <t>Aderenza</t>
        </is>
      </c>
      <c r="C3" s="10" t="inlineStr">
        <is>
          <t>Aderenza: tre condizioni di Euler-Eytelwein — Con la cabina o il contrappeso bloccati la condizione serve quando è l’aderenza a impedire il sollevamento: la UNI EN 81-20:2020 (5.5.3 c)) ammette in alternativa un dispositivo elettrico di sicurezza (voce trazione.bloccata.dispositivo); la UNI EN 81-1:2008 (9.3 c)) no.</t>
        </is>
      </c>
      <c r="D3" s="10" t="inlineStr">
        <is>
          <t>T1/T2 ≤ e^(f·α) al caricamento e in frenatura di emergenza; T1/T2 ≥ e^(f·α) con contrappeso o cabina bloccati (cabina vuota nella posizione più alta e in quella più bassa)</t>
        </is>
      </c>
      <c r="E3" s="10" t="inlineStr">
        <is>
          <t>UNI EN 81-50:2020, 5.11.2.1 e 5.11.2.2.3</t>
        </is>
      </c>
      <c r="F3" s="10" t="inlineStr">
        <is>
          <t>UNI EN 81-50:2020, testo della norma, letto il 2026-10-06, pp. 39–40</t>
        </is>
      </c>
      <c r="G3" s="10" t="inlineStr">
        <is>
          <t>confermato</t>
        </is>
      </c>
      <c r="H3" s="10" t="inlineStr">
        <is>
          <t>aderenza al caricamento; aderenza in frenatura, in discesa; aderenza in frenatura, in salita; cabina bloccata</t>
        </is>
      </c>
      <c r="I3" s="11" t="n"/>
      <c r="J3" s="11" t="n"/>
      <c r="K3" s="11" t="n"/>
      <c r="L3" s="11" t="n"/>
      <c r="M3" s="11" t="n"/>
      <c r="N3" s="11" t="n"/>
    </row>
    <row r="4" ht="134" customHeight="1">
      <c r="A4" s="10" t="n">
        <v>2</v>
      </c>
      <c r="B4" s="10" t="inlineStr">
        <is>
          <t>Aderenza</t>
        </is>
      </c>
      <c r="C4" s="10" t="inlineStr">
        <is>
          <t>Cabina o contrappeso bloccati: dispositivo al posto dello slittamento — La norma non dice quale dispositivo: deve accorgersi del blocco e fermare la macchina prima di un sollevamento pericoloso. Il temporizzatore della 5.9.2.7 è un obbligo distinto. Con la UNI 10411-11:2024 vale solo se la macchina è verificata secondo la UNI EN 81-20.</t>
        </is>
      </c>
      <c r="D4" s="10" t="inlineStr">
        <is>
          <t>con la macchina secondo la UNI EN 81-20:2020 e un dispositivo elettrico di sicurezza (5.11.2) che arresta la macchina, la verifica con cabina o contrappeso bloccati non superata è «Attenzione» (verifica sostituita da dispositivo, da documentare), mai OK; con la macchina secondo la UNI EN 81-1 resta «Non soddisfatta»</t>
        </is>
      </c>
      <c r="E4" s="10" t="inlineStr">
        <is>
          <t>UNI EN 81-20:2020, 5.5.3 c) 2); UNI EN 81-1:2008, 9.3 c); UNI 10411-1:2024, 14.1 a)–b)</t>
        </is>
      </c>
      <c r="F4" s="10" t="inlineStr">
        <is>
          <t>UNI EN 81-20:2020, testo della norma, letto il 2026-10-06, p. 75; UNI EN 81-1:2008, testo della norma, letto il 2026-10-06, p. 55; UNI 10411-1:2024, testo della norma, letto il 2026-10-06, p. 13</t>
        </is>
      </c>
      <c r="G4" s="10" t="inlineStr">
        <is>
          <t>confermato</t>
        </is>
      </c>
      <c r="H4" s="10" t="inlineStr">
        <is>
          <t>cabina bloccata</t>
        </is>
      </c>
      <c r="I4" s="11" t="n"/>
      <c r="J4" s="11" t="n"/>
      <c r="K4" s="11" t="n"/>
      <c r="L4" s="11" t="n"/>
      <c r="M4" s="11" t="n"/>
      <c r="N4" s="11" t="n"/>
    </row>
    <row r="5" ht="43" customHeight="1">
      <c r="A5" s="10" t="n">
        <v>3</v>
      </c>
      <c r="B5" s="10" t="inlineStr">
        <is>
          <t>Aderenza</t>
        </is>
      </c>
      <c r="C5" s="10" t="inlineStr">
        <is>
          <t>Coefficiente di attrito, caricamento</t>
        </is>
      </c>
      <c r="D5" s="10" t="inlineStr">
        <is>
          <t>μ = 0,1</t>
        </is>
      </c>
      <c r="E5" s="10" t="inlineStr">
        <is>
          <t>UNI EN 81-50:2020, 5.11.2.3.2</t>
        </is>
      </c>
      <c r="F5" s="10" t="inlineStr">
        <is>
          <t>UNI EN 81-50:2020, testo della norma, letto il 2026-10-06, p. 42</t>
        </is>
      </c>
      <c r="G5" s="10" t="inlineStr">
        <is>
          <t>confermato</t>
        </is>
      </c>
      <c r="H5" s="10" t="inlineStr">
        <is>
          <t>aderenza al caricamento</t>
        </is>
      </c>
      <c r="I5" s="11" t="n"/>
      <c r="J5" s="11" t="n"/>
      <c r="K5" s="11" t="n"/>
      <c r="L5" s="11" t="n"/>
      <c r="M5" s="11" t="n"/>
      <c r="N5" s="11" t="n"/>
    </row>
    <row r="6" ht="69" customHeight="1">
      <c r="A6" s="10" t="n">
        <v>4</v>
      </c>
      <c r="B6" s="10" t="inlineStr">
        <is>
          <t>Aderenza</t>
        </is>
      </c>
      <c r="C6" s="10" t="inlineStr">
        <is>
          <t>Coefficiente di attrito, frenatura di emergenza</t>
        </is>
      </c>
      <c r="D6" s="10" t="inlineStr">
        <is>
          <t>μ = 0,1 / (1 + v_f/10), v_f = velocità delle funi</t>
        </is>
      </c>
      <c r="E6" s="10" t="inlineStr">
        <is>
          <t>UNI EN 81-50:2020, 5.11.2.3.2</t>
        </is>
      </c>
      <c r="F6" s="10" t="inlineStr">
        <is>
          <t>UNI EN 81-50:2020, testo della norma, letto il 2026-10-06, p. 42 (v_f: velocità delle funi alla velocità nominale della cabina)</t>
        </is>
      </c>
      <c r="G6" s="10" t="inlineStr">
        <is>
          <t>confermato</t>
        </is>
      </c>
      <c r="H6" s="10" t="inlineStr">
        <is>
          <t>aderenza in frenatura, in discesa; aderenza in frenatura, in salita; aderenza alla decelerazione reale (avviso)</t>
        </is>
      </c>
      <c r="I6" s="11" t="n"/>
      <c r="J6" s="11" t="n"/>
      <c r="K6" s="11" t="n"/>
      <c r="L6" s="11" t="n"/>
      <c r="M6" s="11" t="n"/>
      <c r="N6" s="11" t="n"/>
    </row>
    <row r="7" ht="43" customHeight="1">
      <c r="A7" s="10" t="n">
        <v>5</v>
      </c>
      <c r="B7" s="10" t="inlineStr">
        <is>
          <t>Aderenza</t>
        </is>
      </c>
      <c r="C7" s="10" t="inlineStr">
        <is>
          <t>Coefficiente di attrito, contrappeso o cabina bloccati</t>
        </is>
      </c>
      <c r="D7" s="10" t="inlineStr">
        <is>
          <t>μ = 0,2</t>
        </is>
      </c>
      <c r="E7" s="10" t="inlineStr">
        <is>
          <t>UNI EN 81-50:2020, 5.11.2.3.2</t>
        </is>
      </c>
      <c r="F7" s="10" t="inlineStr">
        <is>
          <t>UNI EN 81-50:2020, testo della norma, letto il 2026-10-06, p. 42</t>
        </is>
      </c>
      <c r="G7" s="10" t="inlineStr">
        <is>
          <t>confermato</t>
        </is>
      </c>
      <c r="H7" s="10" t="inlineStr">
        <is>
          <t>cabina bloccata</t>
        </is>
      </c>
      <c r="I7" s="11" t="n"/>
      <c r="J7" s="11" t="n"/>
      <c r="K7" s="11" t="n"/>
      <c r="L7" s="11" t="n"/>
      <c r="M7" s="11" t="n"/>
      <c r="N7" s="11" t="n"/>
    </row>
    <row r="8" ht="95" customHeight="1">
      <c r="A8" s="10" t="n">
        <v>6</v>
      </c>
      <c r="B8" s="10" t="inlineStr">
        <is>
          <t>Aderenza</t>
        </is>
      </c>
      <c r="C8" s="10" t="inlineStr">
        <is>
          <t>Carico della verifica di caricamento — La norma aggiunge il peso dei dispositivi di movimentazione, dove usati negli ascensori per merci e persone: non modellato. Le due posizioni della cabina sono quelle più sfavorevoli che il software verifica.</t>
        </is>
      </c>
      <c r="D8" s="10" t="inlineStr">
        <is>
          <t>1,25·Q, cabina in basso e in alto</t>
        </is>
      </c>
      <c r="E8" s="10" t="inlineStr">
        <is>
          <t>UNI EN 81-50:2020, 5.11.2.2.1 e 5.11.3</t>
        </is>
      </c>
      <c r="F8" s="10" t="inlineStr">
        <is>
          <t>UNI EN 81-50:2020, testo della norma, letto il 2026-10-06, pp. 40 e 44 (al caricamento e con la cabina bloccata a = 0)</t>
        </is>
      </c>
      <c r="G8" s="10" t="inlineStr">
        <is>
          <t>confermato</t>
        </is>
      </c>
      <c r="H8" s="10" t="inlineStr">
        <is>
          <t>aderenza al caricamento</t>
        </is>
      </c>
      <c r="I8" s="11" t="n"/>
      <c r="J8" s="11" t="n"/>
      <c r="K8" s="11" t="n"/>
      <c r="L8" s="11" t="n"/>
      <c r="M8" s="11" t="n"/>
      <c r="N8" s="11" t="n"/>
    </row>
    <row r="9" ht="43" customHeight="1">
      <c r="A9" s="10" t="n">
        <v>7</v>
      </c>
      <c r="B9" s="10" t="inlineStr">
        <is>
          <t>Aderenza</t>
        </is>
      </c>
      <c r="C9" s="10" t="inlineStr">
        <is>
          <t>Decelerazione della verifica di frenatura</t>
        </is>
      </c>
      <c r="D9" s="10" t="inlineStr">
        <is>
          <t>almeno 0,5 m/s²</t>
        </is>
      </c>
      <c r="E9" s="10" t="inlineStr">
        <is>
          <t>UNI EN 81-50:2020, 5.11.2.2.2</t>
        </is>
      </c>
      <c r="F9" s="10" t="inlineStr">
        <is>
          <t>UNI EN 81-50:2020, testo della norma, letto il 2026-10-06, p. 40</t>
        </is>
      </c>
      <c r="G9" s="10" t="inlineStr">
        <is>
          <t>confermato</t>
        </is>
      </c>
      <c r="H9" s="10" t="inlineStr">
        <is>
          <t>aderenza in frenatura, in discesa; aderenza in frenatura, in salita</t>
        </is>
      </c>
      <c r="I9" s="11" t="n"/>
      <c r="J9" s="11" t="n"/>
      <c r="K9" s="11" t="n"/>
      <c r="L9" s="11" t="n"/>
      <c r="M9" s="11" t="n"/>
      <c r="N9" s="11" t="n"/>
    </row>
    <row r="10" ht="160" customHeight="1">
      <c r="A10" s="10" t="n">
        <v>8</v>
      </c>
      <c r="B10" s="10" t="inlineStr">
        <is>
          <t>Aderenza</t>
        </is>
      </c>
      <c r="C10" s="10" t="inlineStr">
        <is>
          <t>Decelerazione della verifica di frenatura con ammortizzatori a corsa ridotta — La UNI EN 81-50:2020 non dà un numero: con ammortizzatori a corsa ridotta la decelerazione è la minima che porta cabina e contrappeso alla velocità di progetto degli ammortizzatori, mai sotto 0,5 m/s². Il software tiene 0,8 m/s², il valore della UNI EN 81-1:2008: l’ingegnere lo sostituisce con quello calcolato dai dati degli ammortizzatori.</t>
        </is>
      </c>
      <c r="D10" s="10" t="inlineStr">
        <is>
          <t>0,8 m/s²</t>
        </is>
      </c>
      <c r="E10" s="10" t="inlineStr">
        <is>
          <t>UNI EN 81-1:2008, M.2.1.2; UNI EN 81-50:2020, 5.11.2.2.2</t>
        </is>
      </c>
      <c r="F10" s="10" t="inlineStr">
        <is>
          <t>UNI EN 81-1:2008, testo della norma, letto il 2026-10-06, p. 167; UNI EN 81-50:2020, testo della norma, letto il 2026-10-06, p. 40</t>
        </is>
      </c>
      <c r="G10" s="10" t="inlineStr">
        <is>
          <t>scelta del software</t>
        </is>
      </c>
      <c r="H10" s="10" t="inlineStr">
        <is>
          <t>aderenza in frenatura, in discesa; aderenza in frenatura, in salita</t>
        </is>
      </c>
      <c r="I10" s="11" t="n"/>
      <c r="J10" s="11" t="n"/>
      <c r="K10" s="11" t="n"/>
      <c r="L10" s="11" t="n"/>
      <c r="M10" s="11" t="n"/>
      <c r="N10" s="11" t="n"/>
    </row>
    <row r="11" ht="43" customHeight="1">
      <c r="A11" s="10" t="n">
        <v>9</v>
      </c>
      <c r="B11" s="10" t="inlineStr">
        <is>
          <t>Aderenza</t>
        </is>
      </c>
      <c r="C11" s="10" t="inlineStr">
        <is>
          <t>Combinazioni della frenatura di emergenza</t>
        </is>
      </c>
      <c r="D11" s="10" t="inlineStr">
        <is>
          <t>cabina vuota e con portata × in discesa e in salita × in basso e in alto; conta la peggiore per verso</t>
        </is>
      </c>
      <c r="E11" s="10" t="inlineStr">
        <is>
          <t>UNI EN 81-50:2020, 5.11.2.2.2</t>
        </is>
      </c>
      <c r="F11" s="10" t="inlineStr">
        <is>
          <t>derivazione (copertura completa dei casi)</t>
        </is>
      </c>
      <c r="G11" s="10" t="inlineStr">
        <is>
          <t>scelta del software</t>
        </is>
      </c>
      <c r="H11" s="10" t="inlineStr">
        <is>
          <t>aderenza in frenatura, in discesa; aderenza in frenatura, in salita</t>
        </is>
      </c>
      <c r="I11" s="11" t="n"/>
      <c r="J11" s="11" t="n"/>
      <c r="K11" s="11" t="n"/>
      <c r="L11" s="11" t="n"/>
      <c r="M11" s="11" t="n"/>
      <c r="N11" s="11" t="n"/>
    </row>
    <row r="12" ht="251" customHeight="1">
      <c r="A12" s="10" t="n">
        <v>10</v>
      </c>
      <c r="B12" s="10" t="inlineStr">
        <is>
          <t>Aderenza</t>
        </is>
      </c>
      <c r="C12" s="10" t="inlineStr">
        <is>
          <t>Aderenza alla decelerazione reale del freno — La norma vuole ogni massa in moto con la sua accelerazione e una decelerazione di calcolo mai sotto 0,5 m/s²; non dice con quanti gruppi del freno. Se contarla come esito lo decide l’ingegnere: nell’esempio B del capitolo 7 l’utilizzo passa da 1,005 a 4,17. La prova di aderenza alla messa in servizio frena con la decelerazione più severa dell’impianto: in salita con la cabina vuota in alto (caso già fra gli otto) e in discesa con 1,25·Q verso il basso, che la verifica di progetto con la portata non copre; fino al motore 1.5.0 quest’ultimo caso mancava e con k basso l’utilizzo mostrato era sottostimato del 3–11 %.</t>
        </is>
      </c>
      <c r="D12" s="10" t="inlineStr">
        <is>
          <t>Seconda verifica con la decelerazione data dal freno (tutti i gruppi, mai sotto il minimo), negli otto casi della verifica di progetto (tra cui la prova di aderenza a): cabina vuota in salita nella parte alta della corsa) e nella prova di aderenza b): cabina con 1,25·Q in discesa verso il fondo della corsa; oggi solo avviso; il caso mostrato dice quale delle due prove è</t>
        </is>
      </c>
      <c r="E12" s="10" t="inlineStr">
        <is>
          <t>UNI EN 81-50:2020, 5.11.2.2.2; UNI EN 81-20:2020, 6.3.3 a) e b)</t>
        </is>
      </c>
      <c r="F12" s="10" t="inlineStr">
        <is>
          <t>UNI EN 81-50:2020, testo della norma, letto il 2026-10-06, p. 40; UNI EN 81-20:2020, testo della norma, letto il 2026-10-06, p. 137</t>
        </is>
      </c>
      <c r="G12" s="10" t="inlineStr">
        <is>
          <t>scelta del software</t>
        </is>
      </c>
      <c r="H12" s="10" t="inlineStr">
        <is>
          <t>aderenza alla decelerazione reale (avviso)</t>
        </is>
      </c>
      <c r="I12" s="11" t="n"/>
      <c r="J12" s="11" t="n"/>
      <c r="K12" s="11" t="n"/>
      <c r="L12" s="11" t="n"/>
      <c r="M12" s="11" t="n"/>
      <c r="N12" s="11" t="n"/>
    </row>
    <row r="13" ht="69" customHeight="1">
      <c r="A13" s="10" t="n">
        <v>11</v>
      </c>
      <c r="B13" s="10" t="inlineStr">
        <is>
          <t>Aderenza</t>
        </is>
      </c>
      <c r="C13" s="10" t="inlineStr">
        <is>
          <t>Soglia di attenzione sull’utilizzo dell’aderenza</t>
        </is>
      </c>
      <c r="D13" s="10" t="inlineStr">
        <is>
          <t>utilizzo &gt; 0,97 → «Attenzione»</t>
        </is>
      </c>
      <c r="E13" s="10" t="inlineStr">
        <is>
          <t>—</t>
        </is>
      </c>
      <c r="F13" s="10" t="inlineStr">
        <is>
          <t>scelta del software (margine per incertezza su masse e bilanciamento)</t>
        </is>
      </c>
      <c r="G13" s="10" t="inlineStr">
        <is>
          <t>scelta del software</t>
        </is>
      </c>
      <c r="H13" s="10" t="inlineStr">
        <is>
          <t>aderenza al caricamento; aderenza in frenatura, in discesa; aderenza in frenatura, in salita; aderenza alla decelerazione reale (avviso)</t>
        </is>
      </c>
      <c r="I13" s="11" t="n"/>
      <c r="J13" s="11" t="n"/>
      <c r="K13" s="11" t="n"/>
      <c r="L13" s="11" t="n"/>
      <c r="M13" s="11" t="n"/>
      <c r="N13" s="11" t="n"/>
    </row>
    <row r="14" ht="56" customHeight="1">
      <c r="A14" s="10" t="n">
        <v>12</v>
      </c>
      <c r="B14" s="10" t="inlineStr">
        <is>
          <t>Gole</t>
        </is>
      </c>
      <c r="C14" s="10" t="inlineStr">
        <is>
          <t>Fattore di gola, semicircolare con o senza sottosquadro</t>
        </is>
      </c>
      <c r="D14" s="10" t="inlineStr">
        <is>
          <t>f = μ·4·(cos(γ/2) − sin(β/2)) / (π − β − γ − sin β + sin γ); senza sottosquadro β = 0</t>
        </is>
      </c>
      <c r="E14" s="10" t="inlineStr">
        <is>
          <t>UNI EN 81-50:2020, 5.11.2.3.1.1</t>
        </is>
      </c>
      <c r="F14" s="10" t="inlineStr">
        <is>
          <t>UNI EN 81-50:2020, testo della norma, letto il 2026-10-06, pp. 40–41</t>
        </is>
      </c>
      <c r="G14" s="10" t="inlineStr">
        <is>
          <t>confermato</t>
        </is>
      </c>
      <c r="H14" s="10" t="inlineStr">
        <is>
          <t>aderenza al caricamento; aderenza in frenatura, in discesa; aderenza in frenatura, in salita; cabina bloccata</t>
        </is>
      </c>
      <c r="I14" s="11" t="n"/>
      <c r="J14" s="11" t="n"/>
      <c r="K14" s="11" t="n"/>
      <c r="L14" s="11" t="n"/>
      <c r="M14" s="11" t="n"/>
      <c r="N14" s="11" t="n"/>
    </row>
    <row r="15" ht="69" customHeight="1">
      <c r="A15" s="10" t="n">
        <v>13</v>
      </c>
      <c r="B15" s="10" t="inlineStr">
        <is>
          <t>Gole</t>
        </is>
      </c>
      <c r="C15" s="10" t="inlineStr">
        <is>
          <t>Fattore di gola a V — la norma dà f = μ / sin(γ/2) per il contrappeso bloccato; il software la usa anche per la cabina bloccata nella posizione più bassa (5.11.2.2.3)</t>
        </is>
      </c>
      <c r="D15" s="10" t="inlineStr">
        <is>
          <t>non temprata, al caricamento e in frenatura: f = μ·4·(1 − sin(β/2)) / (π − β − sin β); temprata, e ogni gola a V con il contrappeso o la cabina bloccati: f = μ / sin(γ/2)</t>
        </is>
      </c>
      <c r="E15" s="10" t="inlineStr">
        <is>
          <t>UNI EN 81-50:2020, 5.11.2.3.1.2</t>
        </is>
      </c>
      <c r="F15" s="10" t="inlineStr">
        <is>
          <t>UNI EN 81-50:2020, testo della norma, letto il 2026-10-06, p. 41</t>
        </is>
      </c>
      <c r="G15" s="10" t="inlineStr">
        <is>
          <t>confermato</t>
        </is>
      </c>
      <c r="H15" s="10" t="inlineStr">
        <is>
          <t>aderenza al caricamento; aderenza in frenatura, in discesa; aderenza in frenatura, in salita; cabina bloccata</t>
        </is>
      </c>
      <c r="I15" s="11" t="n"/>
      <c r="J15" s="11" t="n"/>
      <c r="K15" s="11" t="n"/>
      <c r="L15" s="11" t="n"/>
      <c r="M15" s="11" t="n"/>
      <c r="N15" s="11" t="n"/>
    </row>
    <row r="16" ht="56" customHeight="1">
      <c r="A16" s="10" t="n">
        <v>14</v>
      </c>
      <c r="B16" s="10" t="inlineStr">
        <is>
          <t>Gole</t>
        </is>
      </c>
      <c r="C16" s="10" t="inlineStr">
        <is>
          <t>Limite del sottosquadro — fino alla versione 1.1.0 del motore il limite era 106°, il valore raccomandato della UNI EN 81-1:2008 (M.2.2.1.1)</t>
        </is>
      </c>
      <c r="D16" s="10" t="inlineStr">
        <is>
          <t>β ≤ 105° (1,83 rad; oltre: «Non soddisfatta»)</t>
        </is>
      </c>
      <c r="E16" s="10" t="inlineStr">
        <is>
          <t>UNI EN 81-50:2020, 5.11.2.3.1.1 e 5.11.2.3.1.2</t>
        </is>
      </c>
      <c r="F16" s="10" t="inlineStr">
        <is>
          <t>UNI EN 81-50:2020, testo della norma, letto il 2026-10-06, pp. 40–41</t>
        </is>
      </c>
      <c r="G16" s="10" t="inlineStr">
        <is>
          <t>confermato</t>
        </is>
      </c>
      <c r="H16" s="10" t="inlineStr">
        <is>
          <t>geometria della gola</t>
        </is>
      </c>
      <c r="I16" s="11" t="n"/>
      <c r="J16" s="11" t="n"/>
      <c r="K16" s="11" t="n"/>
      <c r="L16" s="11" t="n"/>
      <c r="M16" s="11" t="n"/>
      <c r="N16" s="11" t="n"/>
    </row>
    <row r="17" ht="30" customHeight="1">
      <c r="A17" s="10" t="n">
        <v>15</v>
      </c>
      <c r="B17" s="10" t="inlineStr">
        <is>
          <t>Gole</t>
        </is>
      </c>
      <c r="C17" s="10" t="inlineStr">
        <is>
          <t>Sottosquadro raccomandato</t>
        </is>
      </c>
      <c r="D17" s="10" t="inlineStr">
        <is>
          <t>β ≤ 90° (oltre: «Attenzione»)</t>
        </is>
      </c>
      <c r="E17" s="10" t="inlineStr">
        <is>
          <t>—</t>
        </is>
      </c>
      <c r="F17" s="10" t="inlineStr">
        <is>
          <t>Montanari, documento tecnico del costruttore</t>
        </is>
      </c>
      <c r="G17" s="10" t="inlineStr">
        <is>
          <t>scelta del software</t>
        </is>
      </c>
      <c r="H17" s="10" t="inlineStr">
        <is>
          <t>geometria della gola</t>
        </is>
      </c>
      <c r="I17" s="11" t="n"/>
      <c r="J17" s="11" t="n"/>
      <c r="K17" s="11" t="n"/>
      <c r="L17" s="11" t="n"/>
      <c r="M17" s="11" t="n"/>
      <c r="N17" s="11" t="n"/>
    </row>
    <row r="18" ht="43" customHeight="1">
      <c r="A18" s="10" t="n">
        <v>16</v>
      </c>
      <c r="B18" s="10" t="inlineStr">
        <is>
          <t>Gole</t>
        </is>
      </c>
      <c r="C18" s="10" t="inlineStr">
        <is>
          <t>Angolo minimo della gola a V</t>
        </is>
      </c>
      <c r="D18" s="10" t="inlineStr">
        <is>
          <t>γ ≥ 35° (sotto: «Non soddisfatta»)</t>
        </is>
      </c>
      <c r="E18" s="10" t="inlineStr">
        <is>
          <t>UNI EN 81-50:2020, 5.11.2.3.1.2</t>
        </is>
      </c>
      <c r="F18" s="10" t="inlineStr">
        <is>
          <t>UNI EN 81-50:2020, testo della norma, letto il 2026-10-06, p. 41; Montanari consiglia 35–40°</t>
        </is>
      </c>
      <c r="G18" s="10" t="inlineStr">
        <is>
          <t>confermato</t>
        </is>
      </c>
      <c r="H18" s="10" t="inlineStr">
        <is>
          <t>geometria della gola</t>
        </is>
      </c>
      <c r="I18" s="11" t="n"/>
      <c r="J18" s="11" t="n"/>
      <c r="K18" s="11" t="n"/>
      <c r="L18" s="11" t="n"/>
      <c r="M18" s="11" t="n"/>
      <c r="N18" s="11" t="n"/>
    </row>
    <row r="19" ht="43" customHeight="1">
      <c r="A19" s="10" t="n">
        <v>17</v>
      </c>
      <c r="B19" s="10" t="inlineStr">
        <is>
          <t>Gole</t>
        </is>
      </c>
      <c r="C19" s="10" t="inlineStr">
        <is>
          <t>Angolo minimo della gola semicircolare</t>
        </is>
      </c>
      <c r="D19" s="10" t="inlineStr">
        <is>
          <t>γ ≥ 25° (0,44 rad; sotto: «Attenzione»: la norma lo raccomanda, non lo impone)</t>
        </is>
      </c>
      <c r="E19" s="10" t="inlineStr">
        <is>
          <t>UNI EN 81-50:2020, 5.11.2.3.1.1</t>
        </is>
      </c>
      <c r="F19" s="10" t="inlineStr">
        <is>
          <t>UNI EN 81-50:2020, testo della norma, letto il 2026-10-06, pp. 40–41</t>
        </is>
      </c>
      <c r="G19" s="10" t="inlineStr">
        <is>
          <t>confermato</t>
        </is>
      </c>
      <c r="H19" s="10" t="inlineStr">
        <is>
          <t>geometria della gola</t>
        </is>
      </c>
      <c r="I19" s="11" t="n"/>
      <c r="J19" s="11" t="n"/>
      <c r="K19" s="11" t="n"/>
      <c r="L19" s="11" t="n"/>
      <c r="M19" s="11" t="n"/>
      <c r="N19" s="11" t="n"/>
    </row>
    <row r="20" ht="251" customHeight="1">
      <c r="A20" s="10" t="n">
        <v>18</v>
      </c>
      <c r="B20" s="10" t="inlineStr">
        <is>
          <t>Gole</t>
        </is>
      </c>
      <c r="C20" s="10" t="inlineStr">
        <is>
          <t>Pressione specifica nelle gole — obbligatoria quando i minimi 12 e 16 del coefficiente di sicurezza delle funi sostituiscono il calcolo della UNI EN 81-50:2020, 5.12 (UNI 10411-1:2024, 6.2 e 14.1 c)–d)) e quando cambia il rapporto tra i carichi (6.1, voce rapporto.d2 del vano). Il software calcola S_f secondo la 5.12 e fuori dal rapporto cambiato riporta la pressione come informazione, come fa il progettista per l’organismo di verifica; con il rapporto cambiato secondo la UNI 10411-1 (6.1) la stessa pressione è una verifica soddisfatta o no accanto alla D.1. La gola a V con sottosquadro non ha una formula nella D.2: il maggiore dei due valori è una scelta del software</t>
        </is>
      </c>
      <c r="D20" s="10" t="inlineStr">
        <is>
          <t>p = T/(n·d·D) · 8·cos(β/2)/(π − β − sin β) nella gola semicircolare (β = 0 senza sottosquadro), p = T/(n·d·D) · 4,5/sin(γ/2) nella gola a V, nella gola a V con sottosquadro il maggiore dei due; T tiro statico delle funi lato cabina alla puleggia di frizione, con la cabina al piano più basso con la portata; p ≤ (12,5 + 4·v_c)/(1 + v_c), v_c velocità delle funi alla velocità nominale: entro il limite informazione, oltre «Attenzione»</t>
        </is>
      </c>
      <c r="E20" s="10" t="inlineStr">
        <is>
          <t>UNI 10411-1:2024, appendice D.2, 6.1, 6.2 e 14.1 c)–d)</t>
        </is>
      </c>
      <c r="F20" s="10" t="inlineStr">
        <is>
          <t>UNI 10411-1:2024, testo della norma, letto il 2026-10-06, pp. 6–7, 13 e 34</t>
        </is>
      </c>
      <c r="G20" s="10" t="inlineStr">
        <is>
          <t>confermato</t>
        </is>
      </c>
      <c r="H20" s="10" t="inlineStr">
        <is>
          <t>pressione specifica nelle gole (informazione)</t>
        </is>
      </c>
      <c r="I20" s="11" t="n"/>
      <c r="J20" s="11" t="n"/>
      <c r="K20" s="11" t="n"/>
      <c r="L20" s="11" t="n"/>
      <c r="M20" s="11" t="n"/>
      <c r="N20" s="11" t="n"/>
    </row>
    <row r="21" ht="43" customHeight="1">
      <c r="A21" s="10" t="n">
        <v>19</v>
      </c>
      <c r="B21" s="10" t="inlineStr">
        <is>
          <t>Funi</t>
        </is>
      </c>
      <c r="C21" s="10" t="inlineStr">
        <is>
          <t>Rapporto D/d della puleggia di frizione</t>
        </is>
      </c>
      <c r="D21" s="10" t="inlineStr">
        <is>
          <t>D/d ≥ 40</t>
        </is>
      </c>
      <c r="E21" s="10" t="inlineStr">
        <is>
          <t>UNI EN 81-20:2020, 5.5.2.1</t>
        </is>
      </c>
      <c r="F21" s="10" t="inlineStr">
        <is>
          <t>UNI EN 81-20:2020, testo della norma, letto il 2026-10-06, p. 74</t>
        </is>
      </c>
      <c r="G21" s="10" t="inlineStr">
        <is>
          <t>confermato</t>
        </is>
      </c>
      <c r="H21" s="10" t="inlineStr">
        <is>
          <t>D/d della puleggia</t>
        </is>
      </c>
      <c r="I21" s="11" t="n"/>
      <c r="J21" s="11" t="n"/>
      <c r="K21" s="11" t="n"/>
      <c r="L21" s="11" t="n"/>
      <c r="M21" s="11" t="n"/>
      <c r="N21" s="11" t="n"/>
    </row>
    <row r="22" ht="108" customHeight="1">
      <c r="A22" s="10" t="n">
        <v>20</v>
      </c>
      <c r="B22" s="10" t="inlineStr">
        <is>
          <t>Funi</t>
        </is>
      </c>
      <c r="C22" s="10" t="inlineStr">
        <is>
          <t>Rapporto D/d delle pulegge di rinvio — Il limite vale per ogni puleggia (5.5.2.1), mentre Dp è uno solo e nel calcolo di N_equiv(p) è la media delle pulegge di rinvio (UNI EN 81-50:2020, 5.12.2.3): con pulegge di diametro diverso si controlla la più piccola.</t>
        </is>
      </c>
      <c r="D22" s="10" t="inlineStr">
        <is>
          <t>Dp/d ≥ 40</t>
        </is>
      </c>
      <c r="E22" s="10" t="inlineStr">
        <is>
          <t>UNI EN 81-20:2020, 5.5.2.1; UNI 10411-1:2024, 14.3</t>
        </is>
      </c>
      <c r="F22" s="10" t="inlineStr">
        <is>
          <t>UNI EN 81-20:2020, testo della norma, letto il 2026-10-06, p. 74; UNI 10411-1:2024, testo della norma, letto il 2026-10-06, p. 14</t>
        </is>
      </c>
      <c r="G22" s="10" t="inlineStr">
        <is>
          <t>confermato</t>
        </is>
      </c>
      <c r="H22" s="10" t="inlineStr">
        <is>
          <t>Dp/d dei rinvii</t>
        </is>
      </c>
      <c r="I22" s="11" t="n"/>
      <c r="J22" s="11" t="n"/>
      <c r="K22" s="11" t="n"/>
      <c r="L22" s="11" t="n"/>
      <c r="M22" s="11" t="n"/>
      <c r="N22" s="11" t="n"/>
    </row>
    <row r="23" ht="95" customHeight="1">
      <c r="A23" s="10" t="n">
        <v>21</v>
      </c>
      <c r="B23" s="10" t="inlineStr">
        <is>
          <t>Funi</t>
        </is>
      </c>
      <c r="C23" s="10" t="inlineStr">
        <is>
          <t>Numero minimo di funi — Con 2 sole funi serve anche il dispositivo contro l’allungamento anomalo (voce funi.due): il software lo ricorda, non lo verifica.</t>
        </is>
      </c>
      <c r="D23" s="10" t="inlineStr">
        <is>
          <t>almeno 2 funi indipendenti, ciascuna con il suo attacco</t>
        </is>
      </c>
      <c r="E23" s="10" t="inlineStr">
        <is>
          <t>DPR 162/1999, All. I 1.3 (Direttiva 2014/33/UE, All. I); UNI EN 81-20:2020, 5.5</t>
        </is>
      </c>
      <c r="F23" s="10" t="inlineStr">
        <is>
          <t>DPR 162/1999 consolidato (Normattiva), letto il 2026-10-02, e Direttiva 2014/33/UE nel testo ufficiale italiano (EUR-Lex, fornito dal cliente), letto il 2026-10-04 (ricerca, cap. 16): All. I 1.3</t>
        </is>
      </c>
      <c r="G23" s="10" t="inlineStr">
        <is>
          <t>confermato</t>
        </is>
      </c>
      <c r="H23" s="10" t="inlineStr">
        <is>
          <t>numero e diametro delle funi</t>
        </is>
      </c>
      <c r="I23" s="11" t="n"/>
      <c r="J23" s="11" t="n"/>
      <c r="K23" s="11" t="n"/>
      <c r="L23" s="11" t="n"/>
      <c r="M23" s="11" t="n"/>
      <c r="N23" s="11" t="n"/>
    </row>
    <row r="24" ht="69" customHeight="1">
      <c r="A24" s="10" t="n">
        <v>22</v>
      </c>
      <c r="B24" s="10" t="inlineStr">
        <is>
          <t>Funi</t>
        </is>
      </c>
      <c r="C24" s="10" t="inlineStr">
        <is>
          <t>Cabina appesa a due funi</t>
        </is>
      </c>
      <c r="D24" s="10" t="inlineStr">
        <is>
          <t>con 2 funi un dispositivo elettrico di sicurezza (5.11.2) ferma la macchina se una fune si allunga in modo anomalo rispetto all’altra (informazione)</t>
        </is>
      </c>
      <c r="E24" s="10" t="inlineStr">
        <is>
          <t>UNI EN 81-20:2020, 5.5.5.3 a); UNI EN 81-1:2008, 9.5.3</t>
        </is>
      </c>
      <c r="F24" s="10" t="inlineStr">
        <is>
          <t>UNI EN 81-20:2020, testo della norma, letto il 2026-10-06, p. 76; UNI EN 81-1:2008, testo della norma, letto il 2026-10-06, p. 56</t>
        </is>
      </c>
      <c r="G24" s="10" t="inlineStr">
        <is>
          <t>confermato</t>
        </is>
      </c>
      <c r="H24" s="10" t="inlineStr">
        <is>
          <t>cabina appesa a due funi</t>
        </is>
      </c>
      <c r="I24" s="11" t="n"/>
      <c r="J24" s="11" t="n"/>
      <c r="K24" s="11" t="n"/>
      <c r="L24" s="11" t="n"/>
      <c r="M24" s="11" t="n"/>
      <c r="N24" s="11" t="n"/>
    </row>
    <row r="25" ht="108" customHeight="1">
      <c r="A25" s="10" t="n">
        <v>23</v>
      </c>
      <c r="B25" s="10" t="inlineStr">
        <is>
          <t>Funi</t>
        </is>
      </c>
      <c r="C25" s="10" t="inlineStr">
        <is>
          <t>Funi trattenute nelle gole</t>
        </is>
      </c>
      <c r="D25" s="10" t="inlineStr">
        <is>
          <t>un fermo dove le funi entrano ed escono dalla puleggia e almeno uno intermedio se più di 60° dell’arco di avvolgimento sono sotto l’orizzontale per l’asse e l’avvolgimento supera 120°: con la macchina in basso le funi avvolgono la puleggia da sotto; con il rinvio un avvolgimento oltre 180° scende sotto l’orizzontale di altrettanto (informazione)</t>
        </is>
      </c>
      <c r="E25" s="10" t="inlineStr">
        <is>
          <t>UNI EN 81-20:2020, 5.5.7.2</t>
        </is>
      </c>
      <c r="F25" s="10" t="inlineStr">
        <is>
          <t>UNI EN 81-20:2020, testo della norma, letto il 2026-10-06, pp. 77–78</t>
        </is>
      </c>
      <c r="G25" s="10" t="inlineStr">
        <is>
          <t>confermato</t>
        </is>
      </c>
      <c r="H25" s="10" t="inlineStr">
        <is>
          <t>funi trattenute nelle gole</t>
        </is>
      </c>
      <c r="I25" s="11" t="n"/>
      <c r="J25" s="11" t="n"/>
      <c r="K25" s="11" t="n"/>
      <c r="L25" s="11" t="n"/>
      <c r="M25" s="11" t="n"/>
      <c r="N25" s="11" t="n"/>
    </row>
    <row r="26" ht="43" customHeight="1">
      <c r="A26" s="10" t="n">
        <v>24</v>
      </c>
      <c r="B26" s="10" t="inlineStr">
        <is>
          <t>Funi</t>
        </is>
      </c>
      <c r="C26" s="10" t="inlineStr">
        <is>
          <t>Diametro nominale minimo</t>
        </is>
      </c>
      <c r="D26" s="10" t="inlineStr">
        <is>
          <t>d ≥ 8 mm</t>
        </is>
      </c>
      <c r="E26" s="10" t="inlineStr">
        <is>
          <t>UNI EN 81-20:2020, 5.5.1.2 a)</t>
        </is>
      </c>
      <c r="F26" s="10" t="inlineStr">
        <is>
          <t>UNI EN 81-20:2020, testo della norma, letto il 2026-10-06, p. 74</t>
        </is>
      </c>
      <c r="G26" s="10" t="inlineStr">
        <is>
          <t>confermato</t>
        </is>
      </c>
      <c r="H26" s="10" t="inlineStr">
        <is>
          <t>numero e diametro delle funi</t>
        </is>
      </c>
      <c r="I26" s="11" t="n"/>
      <c r="J26" s="11" t="n"/>
      <c r="K26" s="11" t="n"/>
      <c r="L26" s="11" t="n"/>
      <c r="M26" s="11" t="n"/>
      <c r="N26" s="11" t="n"/>
    </row>
    <row r="27" ht="108" customHeight="1">
      <c r="A27" s="10" t="n">
        <v>25</v>
      </c>
      <c r="B27" s="10" t="inlineStr">
        <is>
          <t>Funi</t>
        </is>
      </c>
      <c r="C27" s="10" t="inlineStr">
        <is>
          <t>Coefficiente di sicurezza minimo — Con la trazione vale anche il valore calcolato secondo la UNI EN 81-50:2020, 5.12 (il maggiore dei due). Con la UNI 10411-1:2024 (14.1) 12 e 16 possono sostituire quel calcolo solo con la verifica della pressione nelle gole (appendice D.2).</t>
        </is>
      </c>
      <c r="D27" s="10" t="inlineStr">
        <is>
          <t>12 con tre o più funi; 16 con due funi</t>
        </is>
      </c>
      <c r="E27" s="10" t="inlineStr">
        <is>
          <t>UNI EN 81-20:2020, 5.5.2.2 a)–b); UNI 10411-1:2024, 14.1 c)–d)</t>
        </is>
      </c>
      <c r="F27" s="10" t="inlineStr">
        <is>
          <t>UNI EN 81-20:2020, testo della norma, letto il 2026-10-06, pp. 74–75; UNI 10411-1:2024, testo della norma, letto il 2026-10-06, p. 13</t>
        </is>
      </c>
      <c r="G27" s="10" t="inlineStr">
        <is>
          <t>confermato</t>
        </is>
      </c>
      <c r="H27" s="10" t="inlineStr">
        <is>
          <t>coefficiente di sicurezza delle funi</t>
        </is>
      </c>
      <c r="I27" s="11" t="n"/>
      <c r="J27" s="11" t="n"/>
      <c r="K27" s="11" t="n"/>
      <c r="L27" s="11" t="n"/>
      <c r="M27" s="11" t="n"/>
      <c r="N27" s="11" t="n"/>
    </row>
    <row r="28" ht="69" customHeight="1">
      <c r="A28" s="10" t="n">
        <v>26</v>
      </c>
      <c r="B28" s="10" t="inlineStr">
        <is>
          <t>Funi</t>
        </is>
      </c>
      <c r="C28" s="10" t="inlineStr">
        <is>
          <t>Coefficiente di sicurezza richiesto S_f</t>
        </is>
      </c>
      <c r="D28" s="10" t="inlineStr">
        <is>
          <t>S_f = 10^[2,6834 − log10(695,85·10^6·N_equiv/(D/d)^8,567) / log10(77,09·(D/d)^−2,894)]</t>
        </is>
      </c>
      <c r="E28" s="10" t="inlineStr">
        <is>
          <t>UNI EN 81-50:2020, 5.12.3 (ex UNI EN 81-1:2008, appendice N)</t>
        </is>
      </c>
      <c r="F28" s="10" t="inlineStr">
        <is>
          <t>UNI EN 81-50:2020, testo della norma, letto il 2026-10-06, p. 46; riprodotto anche su due casi pubblicati (liftdesign.it S_f 16,69; Mellor)</t>
        </is>
      </c>
      <c r="G28" s="10" t="inlineStr">
        <is>
          <t>confermato</t>
        </is>
      </c>
      <c r="H28" s="10" t="inlineStr">
        <is>
          <t>coefficiente di sicurezza delle funi</t>
        </is>
      </c>
      <c r="I28" s="11" t="n"/>
      <c r="J28" s="11" t="n"/>
      <c r="K28" s="11" t="n"/>
      <c r="L28" s="11" t="n"/>
      <c r="M28" s="11" t="n"/>
      <c r="N28" s="11" t="n"/>
    </row>
    <row r="29" ht="108" customHeight="1">
      <c r="A29" s="10" t="n">
        <v>27</v>
      </c>
      <c r="B29" s="10" t="inlineStr">
        <is>
          <t>Funi</t>
        </is>
      </c>
      <c r="C29" s="10" t="inlineStr">
        <is>
          <t>N_equiv delle pulegge — D: diametro della puleggia di frizione; Dp: media delle altre pulegge. La flessione è inversa solo tra due pulegge consecutive ad assi fissi, con i punti di contatto a meno di 200·d e i piani di flessione ruotati di oltre 120°: la classifica il progettista.</t>
        </is>
      </c>
      <c r="D29" s="10" t="inlineStr">
        <is>
          <t>N_equiv(p) = K_p·(N_ps + 4·N_pr), K_p = (D/Dp)^4</t>
        </is>
      </c>
      <c r="E29" s="10" t="inlineStr">
        <is>
          <t>UNI EN 81-50:2020, 5.12.2.3</t>
        </is>
      </c>
      <c r="F29" s="10" t="inlineStr">
        <is>
          <t>UNI EN 81-50:2020, testo della norma, letto il 2026-10-06, p. 46</t>
        </is>
      </c>
      <c r="G29" s="10" t="inlineStr">
        <is>
          <t>confermato</t>
        </is>
      </c>
      <c r="H29" s="10" t="inlineStr">
        <is>
          <t>coefficiente di sicurezza delle funi</t>
        </is>
      </c>
      <c r="I29" s="11" t="n"/>
      <c r="J29" s="11" t="n"/>
      <c r="K29" s="11" t="n"/>
      <c r="L29" s="11" t="n"/>
      <c r="M29" s="11" t="n"/>
      <c r="N29" s="11" t="n"/>
    </row>
    <row r="30" ht="69" customHeight="1">
      <c r="A30" s="10" t="n">
        <v>28</v>
      </c>
      <c r="B30" s="10" t="inlineStr">
        <is>
          <t>Funi</t>
        </is>
      </c>
      <c r="C30" s="10" t="inlineStr">
        <is>
          <t>N_equiv(t) della gola</t>
        </is>
      </c>
      <c r="D30" s="10" t="inlineStr">
        <is>
          <t>U senza sottosquadro 1 · U con sottosquadro: β 75° 2,5; 80° 3,0; 85° 3,8; 90° 5,0; 95° 6,7; 100° 10,0; 105° 15,2 · V: γ 35° 18,5; 36° 16,0; 38° 12,0; 40° 10,0; 42° 8,0; 45° 6,5; 50° 5,0</t>
        </is>
      </c>
      <c r="E30" s="10" t="inlineStr">
        <is>
          <t>UNI EN 81-50:2020, 5.12.2.2, prospetto 2</t>
        </is>
      </c>
      <c r="F30" s="10" t="inlineStr">
        <is>
          <t>UNI EN 81-50:2020, testo della norma, letto il 2026-10-06, p. 46 (i valori della gola a V differiscono da quelli della UNI EN 81-1:2008, prospetto N.1)</t>
        </is>
      </c>
      <c r="G30" s="10" t="inlineStr">
        <is>
          <t>confermato</t>
        </is>
      </c>
      <c r="H30" s="10" t="inlineStr">
        <is>
          <t>coefficiente di sicurezza delle funi</t>
        </is>
      </c>
      <c r="I30" s="11" t="n"/>
      <c r="J30" s="11" t="n"/>
      <c r="K30" s="11" t="n"/>
      <c r="L30" s="11" t="n"/>
      <c r="M30" s="11" t="n"/>
      <c r="N30" s="11" t="n"/>
    </row>
    <row r="31" ht="95" customHeight="1">
      <c r="A31" s="10" t="n">
        <v>29</v>
      </c>
      <c r="B31" s="10" t="inlineStr">
        <is>
          <t>Funi</t>
        </is>
      </c>
      <c r="C31" s="10" t="inlineStr">
        <is>
          <t>N_equiv(t) della gola a V con sottosquadro — Scelta dal lato della sicurezza; la UNI EN 81-1:2008 (prospetto N.1) intitola la riga con sottosquadro «U/V»: con una macchina secondo quella norma l’ingegnere può prendere il valore di β.</t>
        </is>
      </c>
      <c r="D31" s="10" t="inlineStr">
        <is>
          <t>il maggiore tra il valore per β (riga a U con sottosquadro) e quello per γ (riga a V)</t>
        </is>
      </c>
      <c r="E31" s="10" t="inlineStr">
        <is>
          <t>UNI EN 81-50:2020, 5.12.2.2, prospetto 2</t>
        </is>
      </c>
      <c r="F31" s="10" t="inlineStr">
        <is>
          <t>UNI EN 81-50:2020, testo della norma, letto il 2026-10-06, p. 46 (il prospetto non ha una riga per questa gola)</t>
        </is>
      </c>
      <c r="G31" s="10" t="inlineStr">
        <is>
          <t>scelta del software</t>
        </is>
      </c>
      <c r="H31" s="10" t="inlineStr">
        <is>
          <t>coefficiente di sicurezza delle funi</t>
        </is>
      </c>
      <c r="I31" s="11" t="n"/>
      <c r="J31" s="11" t="n"/>
      <c r="K31" s="11" t="n"/>
      <c r="L31" s="11" t="n"/>
      <c r="M31" s="11" t="n"/>
      <c r="N31" s="11" t="n"/>
    </row>
    <row r="32" ht="43" customHeight="1">
      <c r="A32" s="10" t="n">
        <v>30</v>
      </c>
      <c r="B32" s="10" t="inlineStr">
        <is>
          <t>Funi</t>
        </is>
      </c>
      <c r="C32" s="10" t="inlineStr">
        <is>
          <t>Angoli tra i punti della tabella di N_equiv(t)</t>
        </is>
      </c>
      <c r="D32" s="10" t="inlineStr">
        <is>
          <t>interpolazione lineare tra i due punti vicini</t>
        </is>
      </c>
      <c r="E32" s="10" t="inlineStr">
        <is>
          <t>UNI EN 81-50:2020, 5.12.2.2</t>
        </is>
      </c>
      <c r="F32" s="10" t="inlineStr">
        <is>
          <t>UNI EN 81-50:2020, testo della norma, letto il 2026-10-06, p. 46</t>
        </is>
      </c>
      <c r="G32" s="10" t="inlineStr">
        <is>
          <t>confermato</t>
        </is>
      </c>
      <c r="H32" s="10" t="inlineStr">
        <is>
          <t>coefficiente di sicurezza delle funi</t>
        </is>
      </c>
      <c r="I32" s="11" t="n"/>
      <c r="J32" s="11" t="n"/>
      <c r="K32" s="11" t="n"/>
      <c r="L32" s="11" t="n"/>
      <c r="M32" s="11" t="n"/>
      <c r="N32" s="11" t="n"/>
    </row>
    <row r="33" ht="82" customHeight="1">
      <c r="A33" s="10" t="n">
        <v>31</v>
      </c>
      <c r="B33" s="10" t="inlineStr">
        <is>
          <t>Funi</t>
        </is>
      </c>
      <c r="C33" s="10" t="inlineStr">
        <is>
          <t>Angoli fuori dalla tabella di N_equiv(t)</t>
        </is>
      </c>
      <c r="D33" s="10" t="inlineStr">
        <is>
          <t>U: sotto 75° il valore di 75°, oltre 105° estrapolazione dall’ultimo tratto, segnalata · V: oltre 50° il valore di 50°</t>
        </is>
      </c>
      <c r="E33" s="10" t="inlineStr">
        <is>
          <t>UNI EN 81-50:2020, 5.12.2.2</t>
        </is>
      </c>
      <c r="F33" s="10" t="inlineStr">
        <is>
          <t>scelta prudente del software (la tabella si ferma a quegli angoli; N_equiv cresce con β e cala con γ, quindi il valore dell’estremo sta dal lato della sicurezza)</t>
        </is>
      </c>
      <c r="G33" s="10" t="inlineStr">
        <is>
          <t>scelta del software</t>
        </is>
      </c>
      <c r="H33" s="10" t="inlineStr">
        <is>
          <t>coefficiente di sicurezza delle funi</t>
        </is>
      </c>
      <c r="I33" s="11" t="n"/>
      <c r="J33" s="11" t="n"/>
      <c r="K33" s="11" t="n"/>
      <c r="L33" s="11" t="n"/>
      <c r="M33" s="11" t="n"/>
      <c r="N33" s="11" t="n"/>
    </row>
    <row r="34" ht="56" customHeight="1">
      <c r="A34" s="10" t="n">
        <v>32</v>
      </c>
      <c r="B34" s="10" t="inlineStr">
        <is>
          <t>Funi</t>
        </is>
      </c>
      <c r="C34" s="10" t="inlineStr">
        <is>
          <t>Tiro massimo per fune — Con la macchina in basso il tiro sul primo tratto verso la testata è una derivazione del software.</t>
        </is>
      </c>
      <c r="D34" s="10" t="inlineStr">
        <is>
          <t>cabina con portata ferma al piano più basso; con la macchina in basso sul primo tratto verso la testata</t>
        </is>
      </c>
      <c r="E34" s="10" t="inlineStr">
        <is>
          <t>UNI EN 81-20:2020, 5.5.2.2 (definizione); UNI EN 81-50:2020, 5.12.1</t>
        </is>
      </c>
      <c r="F34" s="10" t="inlineStr">
        <is>
          <t>UNI EN 81-20:2020, testo della norma, letto il 2026-10-06, pp. 74–75</t>
        </is>
      </c>
      <c r="G34" s="10" t="inlineStr">
        <is>
          <t>confermato</t>
        </is>
      </c>
      <c r="H34" s="10" t="inlineStr">
        <is>
          <t>coefficiente di sicurezza delle funi</t>
        </is>
      </c>
      <c r="I34" s="11" t="n"/>
      <c r="J34" s="11" t="n"/>
      <c r="K34" s="11" t="n"/>
      <c r="L34" s="11" t="n"/>
      <c r="M34" s="11" t="n"/>
      <c r="N34" s="11" t="n"/>
    </row>
    <row r="35" ht="43" customHeight="1">
      <c r="A35" s="10" t="n">
        <v>33</v>
      </c>
      <c r="B35" s="10" t="inlineStr">
        <is>
          <t>Funi</t>
        </is>
      </c>
      <c r="C35" s="10" t="inlineStr">
        <is>
          <t>Stima di carico di rottura e massa delle funi</t>
        </is>
      </c>
      <c r="D35" s="10" t="inlineStr">
        <is>
          <t>8×19 Seale anima tessile 1570 N/mm²: 8 mm = 30,4 kN e 0,215 kg/m, poi in proporzione a d²</t>
        </is>
      </c>
      <c r="E35" s="10" t="inlineStr">
        <is>
          <t>—</t>
        </is>
      </c>
      <c r="F35" s="10" t="inlineStr">
        <is>
          <t>tabella Pfeifer 8×19S NFC; usata solo con il pulsante di stima e nella proposta libera</t>
        </is>
      </c>
      <c r="G35" s="10" t="inlineStr">
        <is>
          <t>stima</t>
        </is>
      </c>
      <c r="H35" s="10" t="inlineStr">
        <is>
          <t>—</t>
        </is>
      </c>
      <c r="I35" s="11" t="n"/>
      <c r="J35" s="11" t="n"/>
      <c r="K35" s="11" t="n"/>
      <c r="L35" s="11" t="n"/>
      <c r="M35" s="11" t="n"/>
      <c r="N35" s="11" t="n"/>
    </row>
    <row r="36" ht="95" customHeight="1">
      <c r="A36" s="10" t="n">
        <v>34</v>
      </c>
      <c r="B36" s="10" t="inlineStr">
        <is>
          <t>Freno</t>
        </is>
      </c>
      <c r="C36" s="10" t="inlineStr">
        <is>
          <t>Gruppi meccanici del freno</t>
        </is>
      </c>
      <c r="D36" s="10" t="inlineStr">
        <is>
          <t>almeno 2</t>
        </is>
      </c>
      <c r="E36" s="10" t="inlineStr">
        <is>
          <t>UNI EN 81-20:2020, 5.9.2.2.2.1; UNI EN 81-1:2008, 12.4.2.1; UNI 10411-1:2024, 14.1 a)–b)</t>
        </is>
      </c>
      <c r="F36" s="10" t="inlineStr">
        <is>
          <t>UNI EN 81-20:2020, testo della norma, letto il 2026-10-06, p. 100; UNI EN 81-1:2008, testo della norma, letto il 2026-10-06, p. 68; UNI 10411-1:2024, testo della norma, letto il 2026-10-06, p. 13</t>
        </is>
      </c>
      <c r="G36" s="10" t="inlineStr">
        <is>
          <t>confermato</t>
        </is>
      </c>
      <c r="H36" s="10" t="inlineStr">
        <is>
          <t>gruppi del freno</t>
        </is>
      </c>
      <c r="I36" s="11" t="n"/>
      <c r="J36" s="11" t="n"/>
      <c r="K36" s="11" t="n"/>
      <c r="L36" s="11" t="n"/>
      <c r="M36" s="11" t="n"/>
      <c r="N36" s="11" t="n"/>
    </row>
    <row r="37" ht="95" customHeight="1">
      <c r="A37" s="10" t="n">
        <v>35</v>
      </c>
      <c r="B37" s="10" t="inlineStr">
        <is>
          <t>Freno</t>
        </is>
      </c>
      <c r="C37" s="10" t="inlineStr">
        <is>
          <t>Freno, tutti i gruppi</t>
        </is>
      </c>
      <c r="D37" s="10" t="inlineStr">
        <is>
          <t>arresta la cabina in discesa a velocità nominale con 1,25·Q</t>
        </is>
      </c>
      <c r="E37" s="10" t="inlineStr">
        <is>
          <t>UNI EN 81-20:2020, 5.9.2.2.2.1; UNI EN 81-1:2008, 12.4.2.1; UNI 10411-1:2024, 14.1 a)–b)</t>
        </is>
      </c>
      <c r="F37" s="10" t="inlineStr">
        <is>
          <t>UNI EN 81-20:2020, testo della norma, letto il 2026-10-06, p. 100; UNI EN 81-1:2008, testo della norma, letto il 2026-10-06, p. 68; UNI 10411-1:2024, testo della norma, letto il 2026-10-06, p. 13</t>
        </is>
      </c>
      <c r="G37" s="10" t="inlineStr">
        <is>
          <t>confermato</t>
        </is>
      </c>
      <c r="H37" s="10" t="inlineStr">
        <is>
          <t>freno, tutti i gruppi</t>
        </is>
      </c>
      <c r="I37" s="11" t="n"/>
      <c r="J37" s="11" t="n"/>
      <c r="K37" s="11" t="n"/>
      <c r="L37" s="11" t="n"/>
      <c r="M37" s="11" t="n"/>
      <c r="N37" s="11" t="n"/>
    </row>
    <row r="38" ht="95" customHeight="1">
      <c r="A38" s="10" t="n">
        <v>36</v>
      </c>
      <c r="B38" s="10" t="inlineStr">
        <is>
          <t>Freno</t>
        </is>
      </c>
      <c r="C38" s="10" t="inlineStr">
        <is>
          <t>Freno, un solo gruppo — La UNI 10411-1:2024 (11.1.4) e la UNI EN 81-1:2008 (12.4.2.1) chiedono a un solo gruppo di rallentare la cabina carica in discesa; il software applica la richiesta più completa della UNI EN 81-20.</t>
        </is>
      </c>
      <c r="D38" s="10" t="inlineStr">
        <is>
          <t>rallenta, arresta e tiene la cabina con portata in discesa e la cabina vuota in salita</t>
        </is>
      </c>
      <c r="E38" s="10" t="inlineStr">
        <is>
          <t>UNI EN 81-20:2020, 5.9.2.2.2.1; UNI EN 81-1:2008, 12.4.2.1; UNI 10411-1:2024, 14.1 a)–b)</t>
        </is>
      </c>
      <c r="F38" s="10" t="inlineStr">
        <is>
          <t>UNI EN 81-20:2020, testo della norma, letto il 2026-10-06, p. 100; UNI EN 81-1:2008, testo della norma, letto il 2026-10-06, p. 68; UNI 10411-1:2024, testo della norma, letto il 2026-10-06, p. 13</t>
        </is>
      </c>
      <c r="G38" s="10" t="inlineStr">
        <is>
          <t>confermato</t>
        </is>
      </c>
      <c r="H38" s="10" t="inlineStr">
        <is>
          <t>freno, un gruppo in discesa; freno, un gruppo a vuoto in salita</t>
        </is>
      </c>
      <c r="I38" s="11" t="n"/>
      <c r="J38" s="11" t="n"/>
      <c r="K38" s="11" t="n"/>
      <c r="L38" s="11" t="n"/>
      <c r="M38" s="11" t="n"/>
      <c r="N38" s="11" t="n"/>
    </row>
    <row r="39" ht="43" customHeight="1">
      <c r="A39" s="10" t="n">
        <v>37</v>
      </c>
      <c r="B39" s="10" t="inlineStr">
        <is>
          <t>Freno</t>
        </is>
      </c>
      <c r="C39" s="10" t="inlineStr">
        <is>
          <t>Attrito del riduttore nel fabbisogno del freno</t>
        </is>
      </c>
      <c r="D39" s="10" t="inlineStr">
        <is>
          <t>non conteggiato (η_i = 1): a favore di sicurezza</t>
        </is>
      </c>
      <c r="E39" s="10" t="inlineStr">
        <is>
          <t>—</t>
        </is>
      </c>
      <c r="F39" s="10" t="inlineStr">
        <is>
          <t>scelta prudente del software</t>
        </is>
      </c>
      <c r="G39" s="10" t="inlineStr">
        <is>
          <t>scelta del software</t>
        </is>
      </c>
      <c r="H39" s="10" t="inlineStr">
        <is>
          <t>freno, tutti i gruppi; freno, un gruppo in discesa; freno, un gruppo a vuoto in salita</t>
        </is>
      </c>
      <c r="I39" s="11" t="n"/>
      <c r="J39" s="11" t="n"/>
      <c r="K39" s="11" t="n"/>
      <c r="L39" s="11" t="n"/>
      <c r="M39" s="11" t="n"/>
      <c r="N39" s="11" t="n"/>
    </row>
    <row r="40" ht="108" customHeight="1">
      <c r="A40" s="10" t="n">
        <v>38</v>
      </c>
      <c r="B40" s="10" t="inlineStr">
        <is>
          <t>Freno</t>
        </is>
      </c>
      <c r="C40" s="10" t="inlineStr">
        <is>
          <t>Decelerazione massima del freno — La norma non dà un numero per il freno: ne confronta la decelerazione media con quella del paracadute e dell’urto sugli ammortizzatori, che hanno 1 gn come limite. Il confronto vero è con i dati dei componenti montati.</t>
        </is>
      </c>
      <c r="D40" s="10" t="inlineStr">
        <is>
          <t>≤ 1 g (oltre: «Attenzione»), da confrontare con paracadute e ammortizzatori</t>
        </is>
      </c>
      <c r="E40" s="10" t="inlineStr">
        <is>
          <t>UNI EN 81-20:2020, 5.9.2.2.2.1 (non oltre il paracadute o l’urto sugli ammortizzatori); 1 gn in 5.6.2.1.3 e 5.8.2; con il freno come organo d’arresto, 1 gn anche in 5.6.6.3 (ACOP) e 5.6.7.6 (UCM)</t>
        </is>
      </c>
      <c r="F40" s="10" t="inlineStr">
        <is>
          <t>UNI EN 81-20:2020, testo della norma, letto il 2026-10-06, pp. 81, 98–100</t>
        </is>
      </c>
      <c r="G40" s="10" t="inlineStr">
        <is>
          <t>derivazione</t>
        </is>
      </c>
      <c r="H40" s="10" t="inlineStr">
        <is>
          <t>decelerazione massima del freno</t>
        </is>
      </c>
      <c r="I40" s="11" t="n"/>
      <c r="J40" s="11" t="n"/>
      <c r="K40" s="11" t="n"/>
      <c r="L40" s="11" t="n"/>
      <c r="M40" s="11" t="n"/>
      <c r="N40" s="11" t="n"/>
    </row>
    <row r="41" ht="56" customHeight="1">
      <c r="A41" s="10" t="n">
        <v>39</v>
      </c>
      <c r="B41" s="10" t="inlineStr">
        <is>
          <t>Riduttore e motore</t>
        </is>
      </c>
      <c r="C41" s="10" t="inlineStr">
        <is>
          <t>Rendimento inverso del riduttore se non dato — Da sostituire con il valore del costruttore: la decelerazione reale del freno ne dipende molto.</t>
        </is>
      </c>
      <c r="D41" s="10" t="inlineStr">
        <is>
          <t>η_i ≈ 2 − 1/η_d (0 = irreversibile)</t>
        </is>
      </c>
      <c r="E41" s="10" t="inlineStr">
        <is>
          <t>—</t>
        </is>
      </c>
      <c r="F41" s="10" t="inlineStr">
        <is>
          <t>approssimazione della teoria della vite senza fine</t>
        </is>
      </c>
      <c r="G41" s="10" t="inlineStr">
        <is>
          <t>stima</t>
        </is>
      </c>
      <c r="H41" s="10" t="inlineStr">
        <is>
          <t>aderenza alla decelerazione reale (avviso); decelerazione massima del freno</t>
        </is>
      </c>
      <c r="I41" s="11" t="n"/>
      <c r="J41" s="11" t="n"/>
      <c r="K41" s="11" t="n"/>
      <c r="L41" s="11" t="n"/>
      <c r="M41" s="11" t="n"/>
      <c r="N41" s="11" t="n"/>
    </row>
    <row r="42" ht="43" customHeight="1">
      <c r="A42" s="10" t="n">
        <v>40</v>
      </c>
      <c r="B42" s="10" t="inlineStr">
        <is>
          <t>Riduttore e motore</t>
        </is>
      </c>
      <c r="C42" s="10" t="inlineStr">
        <is>
          <t>Coppia di accelerazione</t>
        </is>
      </c>
      <c r="D42" s="10" t="inlineStr">
        <is>
          <t>≤ 2 volte la coppia nominale (oltre: «Attenzione»; nella proposta: criterio di scelta del motore)</t>
        </is>
      </c>
      <c r="E42" s="10" t="inlineStr">
        <is>
          <t>—</t>
        </is>
      </c>
      <c r="F42" s="10" t="inlineStr">
        <is>
          <t>scelta del software; il limite vero è quello di motore e inverter</t>
        </is>
      </c>
      <c r="G42" s="10" t="inlineStr">
        <is>
          <t>scelta del software</t>
        </is>
      </c>
      <c r="H42" s="10" t="inlineStr">
        <is>
          <t>coppia di accelerazione</t>
        </is>
      </c>
      <c r="I42" s="11" t="n"/>
      <c r="J42" s="11" t="n"/>
      <c r="K42" s="11" t="n"/>
      <c r="L42" s="11" t="n"/>
      <c r="M42" s="11" t="n"/>
      <c r="N42" s="11" t="n"/>
    </row>
    <row r="43" ht="30" customHeight="1">
      <c r="A43" s="10" t="n">
        <v>41</v>
      </c>
      <c r="B43" s="10" t="inlineStr">
        <is>
          <t>Riduttore e motore</t>
        </is>
      </c>
      <c r="C43" s="10" t="inlineStr">
        <is>
          <t>Soglia di attenzione sui limiti del costruttore</t>
        </is>
      </c>
      <c r="D43" s="10" t="inlineStr">
        <is>
          <t>oltre il 98% del limite di catalogo (albero, coppia in uscita) → «Attenzione»</t>
        </is>
      </c>
      <c r="E43" s="10" t="inlineStr">
        <is>
          <t>—</t>
        </is>
      </c>
      <c r="F43" s="10" t="inlineStr">
        <is>
          <t>scelta del software</t>
        </is>
      </c>
      <c r="G43" s="10" t="inlineStr">
        <is>
          <t>scelta del software</t>
        </is>
      </c>
      <c r="H43" s="10" t="inlineStr">
        <is>
          <t>carico sull’albero; coppia in uscita</t>
        </is>
      </c>
      <c r="I43" s="11" t="n"/>
      <c r="J43" s="11" t="n"/>
      <c r="K43" s="11" t="n"/>
      <c r="L43" s="11" t="n"/>
      <c r="M43" s="11" t="n"/>
      <c r="N43" s="11" t="n"/>
    </row>
    <row r="44" ht="108" customHeight="1">
      <c r="A44" s="10" t="n">
        <v>42</v>
      </c>
      <c r="B44" s="10" t="inlineStr">
        <is>
          <t>Riduttore e motore</t>
        </is>
      </c>
      <c r="C44" s="10" t="inlineStr">
        <is>
          <t>Potenza statica del motore — fino al motore 1.4.0 la proposta da catalogo teneva il motore scelto con il rapporto ideale della griglia: con un rapporto del catalogo più veloce la potenza alla coppia statica poteva superare il motore proposto</t>
        </is>
      </c>
      <c r="D44" s="10" t="inlineStr">
        <is>
          <t>P_st = ΔF·v_f / (η_d·η_vano) ≤ P_n, con ΔF il maggiore tra cabina carica in salita dal basso e vuota in discesa dall’alto; con la macchina più veloce della nominale (v_reale &gt; v_f) P_st per v_reale/v_f: il motore sotto la frequenza base è limitato dalla coppia (M_st ≤ M_n); con un argano di catalogo il motore si sceglie con il rapporto del catalogo, non con quello ideale</t>
        </is>
      </c>
      <c r="E44" s="10" t="inlineStr">
        <is>
          <t>—</t>
        </is>
      </c>
      <c r="F44" s="10" t="inlineStr">
        <is>
          <t>derivazione</t>
        </is>
      </c>
      <c r="G44" s="10" t="inlineStr">
        <is>
          <t>derivazione</t>
        </is>
      </c>
      <c r="H44" s="10" t="inlineStr">
        <is>
          <t>potenza del motore</t>
        </is>
      </c>
      <c r="I44" s="11" t="n"/>
      <c r="J44" s="11" t="n"/>
      <c r="K44" s="11" t="n"/>
      <c r="L44" s="11" t="n"/>
      <c r="M44" s="11" t="n"/>
      <c r="N44" s="11" t="n"/>
    </row>
    <row r="45" ht="147" customHeight="1">
      <c r="A45" s="10" t="n">
        <v>43</v>
      </c>
      <c r="B45" s="10" t="inlineStr">
        <is>
          <t>Riduttore e motore</t>
        </is>
      </c>
      <c r="C45" s="10" t="inlineStr">
        <is>
          <t>Coppia massima in uscita dal riduttore — fino al motore 1.4.0 la coppia contava solo l’accelerazione: in frenatura di emergenza con il freno reale la coppia sull’albero lento è di solito la maggiore (nell’esempio della revisione 1,9 volte)</t>
        </is>
      </c>
      <c r="D45" s="10" t="inlineStr">
        <is>
          <t>M_p il maggiore tra: accelerazione, ΔF·D/2 + J·i·α_m (cabina con la portata in salita, vuota in discesa); frenatura di emergenza con il freno reale (tutti i gruppi; anche la prova di aderenza con 1,25·Q in discesa, in basso), |T1 − T2|·D/2 + J_s·r·a/(D/2) nel caso più gravoso, l’inerzia della puleggia dal lato del lento sommata a quella delle funi (a favore di sicurezza); prova con 1,25·Q, |T1 − T2|·D/2; confrontata con il valore di catalogo se inserito; al costruttore si chiede il maggiore arrotondato per eccesso a 10 N·m</t>
        </is>
      </c>
      <c r="E45" s="10" t="inlineStr">
        <is>
          <t>dato del costruttore; i casi delle verifiche di aderenza (UNI EN 81-50:2020, 5.11.2.2.1 e 5.11.2.2.2; UNI EN 81-20:2020, 6.3.3 a) e b))</t>
        </is>
      </c>
      <c r="F45" s="10" t="inlineStr">
        <is>
          <t>derivazione</t>
        </is>
      </c>
      <c r="G45" s="10" t="inlineStr">
        <is>
          <t>derivazione</t>
        </is>
      </c>
      <c r="H45" s="10" t="inlineStr">
        <is>
          <t>coppia in uscita</t>
        </is>
      </c>
      <c r="I45" s="11" t="n"/>
      <c r="J45" s="11" t="n"/>
      <c r="K45" s="11" t="n"/>
      <c r="L45" s="11" t="n"/>
      <c r="M45" s="11" t="n"/>
      <c r="N45" s="11" t="n"/>
    </row>
    <row r="46" ht="225" customHeight="1">
      <c r="A46" s="10" t="n">
        <v>44</v>
      </c>
      <c r="B46" s="10" t="inlineStr">
        <is>
          <t>Riduttore e motore</t>
        </is>
      </c>
      <c r="C46" s="10" t="inlineStr">
        <is>
          <t>Tolleranza tra velocità reale e nominale — Con la UNI 10411-1:2024 (15.1) una velocità oltre il 5 % sopra la maggiore tra quella del libretto e quella dopo il passaggio a 50 Hz è un aumento della velocità nominale (punti 15.2–15.15). Con la UNI 10411-11:2024 (15) ogni cambio della velocità nominale, in più o in meno, porta ai punti 15 a)–k) e alla valutazione 4.3. Il confronto con il libretto si applica con la voce impianto.variazione.velocita (dai dati del collaudo); la velocità reale di 5.9.2.4 resta non verificata (fino a ENGINE 1.6.0 e LIFT 1.31.0 il confronto con il libretto non c’era).</t>
        </is>
      </c>
      <c r="D46" s="10" t="inlineStr">
        <is>
          <t>con metà portata a metà corsa, in salita e in discesa, non oltre il 5 % sopra la nominale (buona pratica: non oltre l'8 % sotto); non verificata: il software mostra la velocità reale e la frequenza per la nominale</t>
        </is>
      </c>
      <c r="E46" s="10" t="inlineStr">
        <is>
          <t>UNI EN 81-20:2020, 5.9.2.4; UNI 10411-1:2024, 15.1</t>
        </is>
      </c>
      <c r="F46" s="10" t="inlineStr">
        <is>
          <t>UNI EN 81-20:2020, testo della norma, letto il 2026-10-06, p. 102; UNI 10411-1:2024, testo della norma, letto il 2026-10-06, p. 14</t>
        </is>
      </c>
      <c r="G46" s="10" t="inlineStr">
        <is>
          <t>confermato</t>
        </is>
      </c>
      <c r="H46" s="10" t="inlineStr">
        <is>
          <t>—</t>
        </is>
      </c>
      <c r="I46" s="11" t="n"/>
      <c r="J46" s="11" t="n"/>
      <c r="K46" s="11" t="n"/>
      <c r="L46" s="11" t="n"/>
      <c r="M46" s="11" t="n"/>
      <c r="N46" s="11" t="n"/>
    </row>
    <row r="47" ht="82" customHeight="1">
      <c r="A47" s="10" t="n">
        <v>45</v>
      </c>
      <c r="B47" s="10" t="inlineStr">
        <is>
          <t>Manovra di emergenza</t>
        </is>
      </c>
      <c r="C47" s="10" t="inlineStr">
        <is>
          <t>Forza al volantino per far salire la cabina con la portata — La forza è quella per far salire la cabina con la portata dal piano più basso, con i rendimenti del riduttore (in avanti) e del vano.</t>
        </is>
      </c>
      <c r="D47" s="10" t="inlineStr">
        <is>
          <t>≤ 400 N, altrimenti manovra elettrica di emergenza: secondo la UNI EN 81-20:2020 quella della 5.12.1.6 (al massimo 0,30 m/s); secondo la UNI EN 81-1:2008 quella della 14.2.1.4 (al massimo 0,63 m/s)</t>
        </is>
      </c>
      <c r="E47" s="10" t="inlineStr">
        <is>
          <t>UNI EN 81-20:2020, 5.9.2.3.3 e 5.12.1.6; UNI EN 81-1:2008, 12.5.1–12.5.2 e 14.2.1.4</t>
        </is>
      </c>
      <c r="F47" s="10" t="inlineStr">
        <is>
          <t>UNI EN 81-20:2020, testo della norma, letto il 2026-10-06, pp. 102 e 129; UNI EN 81-1:2008, testo della norma, letto il 2026-10-06, pp. 69 e 89–90</t>
        </is>
      </c>
      <c r="G47" s="10" t="inlineStr">
        <is>
          <t>confermato</t>
        </is>
      </c>
      <c r="H47" s="10" t="inlineStr">
        <is>
          <t>forza al volantino</t>
        </is>
      </c>
      <c r="I47" s="11" t="n"/>
      <c r="J47" s="11" t="n"/>
      <c r="K47" s="11" t="n"/>
      <c r="L47" s="11" t="n"/>
      <c r="M47" s="11" t="n"/>
      <c r="N47" s="11" t="n"/>
    </row>
    <row r="48" ht="121" customHeight="1">
      <c r="A48" s="10" t="n">
        <v>46</v>
      </c>
      <c r="B48" s="10" t="inlineStr">
        <is>
          <t>Manovra di emergenza</t>
        </is>
      </c>
      <c r="C48" s="10" t="inlineStr">
        <is>
          <t>Mezzo meccanico per la manovra di emergenza — Solo con la macchina secondo la UNI EN 81-20:2020: la UNI EN 81-1:2008 non ha la soglia dei 150 N né l’ora di autonomia. Il verso della forza non è dato dalla norma: il software prende il peggiore.</t>
        </is>
      </c>
      <c r="D48" s="10" t="inlineStr">
        <is>
          <t>ammesso se per portare la cabina a una fermata bastano 150 N con il carico tra (q − 0,1)·Q e (q + 0,1)·Q: il software prende la forza maggiore tra i due carichi, i due versi e le due posizioni estreme; oltre, mezzo elettrico (5.9.2.3.1 b)) con alimentazione indipendente dalla rete, che porta la cabina con qualsiasi carico alla fermata vicina entro 1 h, al massimo a 0,30 m/s, e manovra elettrica di emergenza (5.12.1.6)</t>
        </is>
      </c>
      <c r="E48" s="10" t="inlineStr">
        <is>
          <t>UNI EN 81-20:2020, 5.9.2.2.2.9, 5.9.2.3.1 e 5.9.2.3.3</t>
        </is>
      </c>
      <c r="F48" s="10" t="inlineStr">
        <is>
          <t>UNI EN 81-20:2020, testo della norma, letto il 2026-10-06, pp. 101–102</t>
        </is>
      </c>
      <c r="G48" s="10" t="inlineStr">
        <is>
          <t>confermato</t>
        </is>
      </c>
      <c r="H48" s="10" t="inlineStr">
        <is>
          <t>forza al volantino fino a una fermata</t>
        </is>
      </c>
      <c r="I48" s="11" t="n"/>
      <c r="J48" s="11" t="n"/>
      <c r="K48" s="11" t="n"/>
      <c r="L48" s="11" t="n"/>
      <c r="M48" s="11" t="n"/>
      <c r="N48" s="11" t="n"/>
    </row>
    <row r="49" ht="69" customHeight="1">
      <c r="A49" s="10" t="n">
        <v>47</v>
      </c>
      <c r="B49" s="10" t="inlineStr">
        <is>
          <t>Manovra di emergenza</t>
        </is>
      </c>
      <c r="C49" s="10" t="inlineStr">
        <is>
          <t>Movimento per gravità con il freno aperto a mano — Il rendimento inverso η_i è quello inserito o la stima della voce azionamento.rendimento.inverso.</t>
        </is>
      </c>
      <c r="D49" s="10" t="inlineStr">
        <is>
          <t>con il riduttore irreversibile (η_i = 0) la cabina non si muove aprendo il freno: servono i mezzi della 5.9.2.3 (informazione)</t>
        </is>
      </c>
      <c r="E49" s="10" t="inlineStr">
        <is>
          <t>UNI EN 81-20:2020, 5.9.2.2.2.9</t>
        </is>
      </c>
      <c r="F49" s="10" t="inlineStr">
        <is>
          <t>UNI EN 81-20:2020, testo della norma, letto il 2026-10-06, p. 101</t>
        </is>
      </c>
      <c r="G49" s="10" t="inlineStr">
        <is>
          <t>confermato</t>
        </is>
      </c>
      <c r="H49" s="10" t="inlineStr">
        <is>
          <t>movimento per gravità</t>
        </is>
      </c>
      <c r="I49" s="11" t="n"/>
      <c r="J49" s="11" t="n"/>
      <c r="K49" s="11" t="n"/>
      <c r="L49" s="11" t="n"/>
      <c r="M49" s="11" t="n"/>
      <c r="N49" s="11" t="n"/>
    </row>
    <row r="50" ht="56" customHeight="1">
      <c r="A50" s="10" t="n">
        <v>48</v>
      </c>
      <c r="B50" s="10" t="inlineStr">
        <is>
          <t>Albero e ancoraggi</t>
        </is>
      </c>
      <c r="C50" s="10" t="inlineStr">
        <is>
          <t>Carico sull’albero della puleggia</t>
        </is>
      </c>
      <c r="D50" s="10" t="inlineStr">
        <is>
          <t>risultante dei tiri con 1,25·Q al piano più basso, confrontata con il limite del costruttore</t>
        </is>
      </c>
      <c r="E50" s="10" t="inlineStr">
        <is>
          <t>dato del costruttore; 1,25·Q come nella verifica di caricamento (UNI EN 81-50:2020, 5.11.2.2.1)</t>
        </is>
      </c>
      <c r="F50" s="10" t="inlineStr">
        <is>
          <t>derivazione; la definizione del carico va confermata con il costruttore</t>
        </is>
      </c>
      <c r="G50" s="10" t="inlineStr">
        <is>
          <t>derivazione</t>
        </is>
      </c>
      <c r="H50" s="10" t="inlineStr">
        <is>
          <t>carico sull’albero</t>
        </is>
      </c>
      <c r="I50" s="11" t="n"/>
      <c r="J50" s="11" t="n"/>
      <c r="K50" s="11" t="n"/>
      <c r="L50" s="11" t="n"/>
      <c r="M50" s="11" t="n"/>
      <c r="N50" s="11" t="n"/>
    </row>
    <row r="51" ht="134" customHeight="1">
      <c r="A51" s="10" t="n">
        <v>49</v>
      </c>
      <c r="B51" s="10" t="inlineStr">
        <is>
          <t>Albero e ancoraggi</t>
        </is>
      </c>
      <c r="C51" s="10" t="inlineStr">
        <is>
          <t>Sollevamento netto sugli ancoraggi (macchina in basso) — fino a LIFT 1.28.0 il foglio 1 e la relazione davano solo il valore statico alla prova con 1,25·Q, senza il coefficiente dinamico che lo stesso foglio applica ai carichi sulla soletta</t>
        </is>
      </c>
      <c r="D51" s="10" t="inlineStr">
        <is>
          <t>alla prova con 1,25·Q la risultante dei tiri verso l’alto meno la massa della macchina; con la portata Q la risultante per il coefficiente dinamico dei carichi sull’edificio (voce carichi.macchina) meno la massa della macchina, che non si moltiplica; la massa è quella del calcolo (per un argano di catalogo quella del catalogo, il limite inferiore), a favore di sicurezza; per tirafondi e ancoranti il maggiore dei due, da verificare con il progettista strutturale</t>
        </is>
      </c>
      <c r="E51" s="10" t="inlineStr">
        <is>
          <t>UNI EN 81-20:2020, 5.2.1.8.1 e appendice E.1 (informativa)</t>
        </is>
      </c>
      <c r="F51" s="10" t="inlineStr">
        <is>
          <t>derivazione; UNI EN 81-20:2020, testo della norma, letto il 2026-10-06, pp. 26, 148</t>
        </is>
      </c>
      <c r="G51" s="10" t="inlineStr">
        <is>
          <t>derivazione</t>
        </is>
      </c>
      <c r="H51" s="10" t="inlineStr">
        <is>
          <t>sollevamento netto</t>
        </is>
      </c>
      <c r="I51" s="11" t="n"/>
      <c r="J51" s="11" t="n"/>
      <c r="K51" s="11" t="n"/>
      <c r="L51" s="11" t="n"/>
      <c r="M51" s="11" t="n"/>
      <c r="N51" s="11" t="n"/>
    </row>
    <row r="52" ht="108" customHeight="1">
      <c r="A52" s="10" t="n">
        <v>50</v>
      </c>
      <c r="B52" s="10" t="inlineStr">
        <is>
          <t>Sostituzione (Italia)</t>
        </is>
      </c>
      <c r="C52" s="10" t="inlineStr">
        <is>
          <t>La sostituzione del macchinario è una modifica costruttiva</t>
        </is>
      </c>
      <c r="D52" s="10" t="inlineStr">
        <is>
          <t>modifica costruttiva (art. 2 c.1 lett. cc), n. 5): prima l’adeguamento della parte sostituita e delle altre parti interessate, poi la comunicazione aggiornata al Comune e al soggetto delle verifiche periodiche, senza la quale l’impianto non si tiene in esercizio (art. 12 c.4–5); verifica straordinaria da uno dei soggetti dell’art. 13 c.1 (art. 14 c.3)</t>
        </is>
      </c>
      <c r="E52" s="10" t="inlineStr">
        <is>
          <t>DPR 162/1999 e s.m.i., art. 2 c.1 lett. cc), art. 12 c.4–5, art. 14 c.3</t>
        </is>
      </c>
      <c r="F52" s="10" t="inlineStr">
        <is>
          <t>DPR 162/1999 consolidato (Normattiva), letto il 2026-10-02 (ricerca, cap. 16), §3.2</t>
        </is>
      </c>
      <c r="G52" s="10" t="inlineStr">
        <is>
          <t>confermato</t>
        </is>
      </c>
      <c r="H52" s="10" t="inlineStr">
        <is>
          <t>—</t>
        </is>
      </c>
      <c r="I52" s="11" t="n"/>
      <c r="J52" s="11" t="n"/>
      <c r="K52" s="11" t="n"/>
      <c r="L52" s="11" t="n"/>
      <c r="M52" s="11" t="n"/>
      <c r="N52" s="11" t="n"/>
    </row>
    <row r="53" ht="290" customHeight="1">
      <c r="A53" s="10" t="n">
        <v>51</v>
      </c>
      <c r="B53" s="10" t="inlineStr">
        <is>
          <t>Sostituzione (Italia)</t>
        </is>
      </c>
      <c r="C53" s="10" t="inlineStr">
        <is>
          <t>Adeguamenti richiesti per la sostituzione del macchinario</t>
        </is>
      </c>
      <c r="D53" s="10" t="inlineStr">
        <is>
          <t>UNI 10411-1:2024, punto 14: macchina secondo la UNI EN 81-20 (5.9.1 e 5.9.2, freno in due gruppi) o la UNI EN 81-1:2010, con aderenza e coefficiente di sicurezza delle funi (14.1); D/d ≥ 40 (14.3); temporizzatore della UNI EN 81-20 (5.9.2.7), arresto prima che la cabina in salita tocchi la velocità di intervento del limitatore, ACOP e UCM esistenti che funzionano ancora, arresto vicino alla macchina, pulegge secondo la 5.5.7, interruzione se il freno non si apre (14.4 a)–g)); valutazione della sicurezza su tre piani (4); con funi nuove, controllo degli attacchi d’estremità (17.1); documenti dell’appendice C (14) e manuali (25.5). UNI 10411-11:2024, punto 14: macchina come l’originale, altrimenti UNI EN 81-20 5.9.1–5.9.2 con le verifiche della norma di origine o della UNI EN 81-20 e la valutazione 4.3 (14.1); UCM esistenti che funzionano ancora e, senza UCM conforme alla 5.6.7 e con il rallentamento controllato, interruzione se il freno non si apre (14.3); funi nuove e attacchi come gli originali, altrimenti verificati con la valutazione 4.3 (17)</t>
        </is>
      </c>
      <c r="E53" s="10" t="inlineStr">
        <is>
          <t>UNI 10411-1:2024, 4, 14.1–14.4, 17.1, 25.5, appendice C; UNI 10411-11:2024, 14.1–14.3, 17</t>
        </is>
      </c>
      <c r="F53" s="10" t="inlineStr">
        <is>
          <t>UNI 10411-1:2024, testo della norma, letto il 2026-10-06, pp. 6, 13–14, 16, 21 e 30; UNI 10411-11:2024, testo della norma, letto il 2026-10-06, pp. 12 e 14</t>
        </is>
      </c>
      <c r="G53" s="10" t="inlineStr">
        <is>
          <t>confermato</t>
        </is>
      </c>
      <c r="H53" s="10" t="inlineStr">
        <is>
          <t>gruppi del freno</t>
        </is>
      </c>
      <c r="I53" s="11" t="n"/>
      <c r="J53" s="11" t="n"/>
      <c r="K53" s="11" t="n"/>
      <c r="L53" s="11" t="n"/>
      <c r="M53" s="11" t="n"/>
      <c r="N53" s="11" t="n"/>
    </row>
    <row r="54" ht="43" customHeight="1">
      <c r="A54" s="10" t="n">
        <v>52</v>
      </c>
      <c r="B54" s="10" t="inlineStr">
        <is>
          <t>Sostituzione (Italia)</t>
        </is>
      </c>
      <c r="C54" s="10" t="inlineStr">
        <is>
          <t>Funi nella sostituzione</t>
        </is>
      </c>
      <c r="D54" s="10" t="inlineStr">
        <is>
          <t>di norma funi nuove con lo stesso numero e diametro di quelle montate; la proposta le tiene fisse</t>
        </is>
      </c>
      <c r="E54" s="10" t="inlineStr">
        <is>
          <t>—</t>
        </is>
      </c>
      <c r="F54" s="10" t="inlineStr">
        <is>
          <t>indicazione di Panev Ascensori (29 settembre 2026)</t>
        </is>
      </c>
      <c r="G54" s="10" t="inlineStr">
        <is>
          <t>prassi di cantiere</t>
        </is>
      </c>
      <c r="H54" s="10" t="inlineStr">
        <is>
          <t>—</t>
        </is>
      </c>
      <c r="I54" s="11" t="n"/>
      <c r="J54" s="11" t="n"/>
      <c r="K54" s="11" t="n"/>
      <c r="L54" s="11" t="n"/>
      <c r="M54" s="11" t="n"/>
      <c r="N54" s="11" t="n"/>
    </row>
    <row r="55" ht="511" customHeight="1">
      <c r="A55" s="10" t="n">
        <v>53</v>
      </c>
      <c r="B55" s="10" t="inlineStr">
        <is>
          <t>Sostituzione (Italia)</t>
        </is>
      </c>
      <c r="C55" s="10" t="inlineStr">
        <is>
          <t>Rapporto tra i carichi cambiato (UNI 10411-1): stabilità allo scorrimento delle funi — Solo nella modifica secondo la UNI 10411-1 che cambia il rapporto tra i carichi appesi (voce impianto.variazione.carico), come verifica a sé (rapporto.d1) fuori dall’aderenza della UNI EN 81-50: il calcolo dell’argano non cambia. a è la decelerazione della verifica di frenatura del calcolo (a_e), che la relazione scrive con l’esito: quale decelerazione di frenatura intenda la D.1 (servizio o frenatura con la coppia reale del freno, che dà un C1 maggiore) non è precisato e la conferma il soggetto della verifica; con una maggiore il tecnico ripete la verifica. Con l’esito la relazione scrive anche, come informazione, la decelerazione a cui equivale il C1 minimo della fascia (a = g·(C1 − 1)/(C1 + 1): 0,47 / 0,68 / 0,89 / 1,09 m/s² nelle quattro fasce) e quella limite fino a cui la condizione regge nel caso più sfavorevole (C1 = e^(f·α)/((T1/T2)·C2)), che il soggetto della verifica può confrontare con la decelerazione misurata alla prova del freno; l’esito resta quello con il C1 sopra. Gola semicircolare senza intaglio: C2 = 1 come con l’intaglio; gola a V non temprata, con intaglio: il minore dei due f, C2 = 1,2 (scelte del software, a favore di sicurezza). Se la verifica della UNI EN 81-50, 5.11 valga al posto della D.1 lo decide il soggetto della verifica</t>
        </is>
      </c>
      <c r="D55" s="10" t="inlineStr">
        <is>
          <t>(T1/T2)·C1·C2 ≤ e^(f·α) con le tensioni statiche ai due lati della puleggia di frizione, cabina al piano più basso con 1,25·Q e cabina vuota al piano più alto; C1 = (g + a)/(g − a), mai sotto 1,10 fino a 0,63 m/s, 1,15 fino a 1,00 m/s, 1,20 fino a 1,60 m/s, 1,25 fino a 2,50 m/s, oltre calcolato e mai sotto 1,25; C2 = 1,2 con gola a cuneo, 1 con gola semicircolare; μ = 0,09: f = μ/sin(γ/2) con gola a cuneo, 4μ·(1 − sin(β/2))/(π − β − sin β) con gola semicircolare (β = 0 senza intaglio)</t>
        </is>
      </c>
      <c r="E55" s="10" t="inlineStr">
        <is>
          <t>UNI 10411-1:2024, 6.1 e D.1</t>
        </is>
      </c>
      <c r="F55" s="10" t="inlineStr">
        <is>
          <t>UNI 10411-1:2024, testo della norma, letto il 2026-10-06, pp. 6–7 e 33</t>
        </is>
      </c>
      <c r="G55" s="10" t="inlineStr">
        <is>
          <t>confermato</t>
        </is>
      </c>
      <c r="H55" s="10" t="inlineStr">
        <is>
          <t>—</t>
        </is>
      </c>
      <c r="I55" s="11" t="n"/>
      <c r="J55" s="11" t="n"/>
      <c r="K55" s="11" t="n"/>
      <c r="L55" s="11" t="n"/>
      <c r="M55" s="11" t="n"/>
      <c r="N55" s="11" t="n"/>
    </row>
    <row r="56" ht="43" customHeight="1">
      <c r="A56" s="10" t="n">
        <v>54</v>
      </c>
      <c r="B56" s="10" t="inlineStr">
        <is>
          <t>Modello di calcolo</t>
        </is>
      </c>
      <c r="C56" s="10" t="inlineStr">
        <is>
          <t>Accelerazione di gravità</t>
        </is>
      </c>
      <c r="D56" s="10" t="inlineStr">
        <is>
          <t>g = 9,81 m/s² (anche come limite di 1 g)</t>
        </is>
      </c>
      <c r="E56" s="10" t="inlineStr">
        <is>
          <t>UNI EN 81-20:2020, 5.2.1.8.5 (g_n = 9,81 m/s²)</t>
        </is>
      </c>
      <c r="F56" s="10" t="inlineStr">
        <is>
          <t>UNI EN 81-20:2020, testo della norma, letto il 2026-10-06, p. 27</t>
        </is>
      </c>
      <c r="G56" s="10" t="inlineStr">
        <is>
          <t>confermato</t>
        </is>
      </c>
      <c r="H56" s="10" t="inlineStr">
        <is>
          <t>—</t>
        </is>
      </c>
      <c r="I56" s="11" t="n"/>
      <c r="J56" s="11" t="n"/>
      <c r="K56" s="11" t="n"/>
      <c r="L56" s="11" t="n"/>
      <c r="M56" s="11" t="n"/>
      <c r="N56" s="11" t="n"/>
    </row>
    <row r="57" ht="69" customHeight="1">
      <c r="A57" s="10" t="n">
        <v>55</v>
      </c>
      <c r="B57" s="10" t="inlineStr">
        <is>
          <t>Modello di calcolo</t>
        </is>
      </c>
      <c r="C57" s="10" t="inlineStr">
        <is>
          <t>Tiri con il metodo del percorso della fune — Il fattore (r² + 2)/3 vale esattamente r per le taglie 1:1 e 2:1, le sole del software.</t>
        </is>
      </c>
      <c r="D57" s="10" t="inlineStr">
        <is>
          <t>masse per lato, funi di ogni tratto con il fattore (r² + 2)/3, inerzia delle pulegge di rinvio e, in taglia 2:1, delle pulegge di cabina e di contrappeso (termine III); attrito di guide e pulegge trascurato in aderenza</t>
        </is>
      </c>
      <c r="E57" s="10" t="inlineStr">
        <is>
          <t>UNI EN 81-50:2020, 5.11.3</t>
        </is>
      </c>
      <c r="F57" s="10" t="inlineStr">
        <is>
          <t>UNI EN 81-50:2020, testo della norma, letto il 2026-10-06, pp. 43–44</t>
        </is>
      </c>
      <c r="G57" s="10" t="inlineStr">
        <is>
          <t>confermato</t>
        </is>
      </c>
      <c r="H57" s="10" t="inlineStr">
        <is>
          <t>aderenza al caricamento; aderenza in frenatura, in discesa; aderenza in frenatura, in salita; aderenza alla decelerazione reale (avviso); cabina bloccata</t>
        </is>
      </c>
      <c r="I57" s="11" t="n"/>
      <c r="J57" s="11" t="n"/>
      <c r="K57" s="11" t="n"/>
      <c r="L57" s="11" t="n"/>
      <c r="M57" s="11" t="n"/>
      <c r="N57" s="11" t="n"/>
    </row>
    <row r="58" ht="108" customHeight="1">
      <c r="A58" s="10" t="n">
        <v>56</v>
      </c>
      <c r="B58" s="10" t="inlineStr">
        <is>
          <t>Modello di calcolo</t>
        </is>
      </c>
      <c r="C58" s="10" t="inlineStr">
        <is>
          <t>Pulegge di cabina e di contrappeso nella taglia 2:1 — La velocità della fune rispetto all’asse della puleggia di cabina è quella della cabina: la massa ridotta è J_p/R_p². Con più pulegge o pulegge diverse da quelle di rinvio, l’ingegnere inserisce l’inerzia equivalente.</t>
        </is>
      </c>
      <c r="D58" s="10" t="inlineStr">
        <is>
          <t>una puleggia per lato, con l’inerzia J_p e il diametro D_p delle pulegge di rinvio: massa ridotta J_p/R_p², con l’accelerazione della cabina divisa per r, nei tiri e nell’inerzia riportata al motore</t>
        </is>
      </c>
      <c r="E58" s="10" t="inlineStr">
        <is>
          <t>UNI EN 81-50:2020, 5.11.3 (termine III)</t>
        </is>
      </c>
      <c r="F58" s="10" t="inlineStr">
        <is>
          <t>UNI EN 81-50:2020, testo della norma, letto il 2026-10-06, pp. 43–44; numero e inerzia delle pulegge: scelta del software</t>
        </is>
      </c>
      <c r="G58" s="10" t="inlineStr">
        <is>
          <t>scelta del software</t>
        </is>
      </c>
      <c r="H58" s="10" t="inlineStr">
        <is>
          <t>aderenza in frenatura, in discesa; aderenza in frenatura, in salita; aderenza alla decelerazione reale (avviso)</t>
        </is>
      </c>
      <c r="I58" s="11" t="n"/>
      <c r="J58" s="11" t="n"/>
      <c r="K58" s="11" t="n"/>
      <c r="L58" s="11" t="n"/>
      <c r="M58" s="11" t="n"/>
      <c r="N58" s="11" t="n"/>
    </row>
    <row r="59" ht="69" customHeight="1">
      <c r="A59" s="10" t="n">
        <v>57</v>
      </c>
      <c r="B59" s="10" t="inlineStr">
        <is>
          <t>Modello di calcolo</t>
        </is>
      </c>
      <c r="C59" s="10" t="inlineStr">
        <is>
          <t>Macchina in basso: tratto tra la macchina e le pulegge in testata — Il testo stampa a in entrambe le edizioni; a 1:1 le due forme coincidono.</t>
        </is>
      </c>
      <c r="D59" s="10" t="inlineStr">
        <is>
          <t>con l’accelerazione a della cabina, come stampato nella norma; nella taglia 2:1 il software mostra anche l’esito con r·a, l’accelerazione fisica di quel tratto: «Attenzione» se supera il limite, mai «Non soddisfatta»</t>
        </is>
      </c>
      <c r="E59" s="10" t="inlineStr">
        <is>
          <t>UNI EN 81-50:2020, 5.11.3 (MSR1)</t>
        </is>
      </c>
      <c r="F59" s="10" t="inlineStr">
        <is>
          <t>UNI EN 81-50:2020, testo della norma, letto il 2026-10-06, p. 44</t>
        </is>
      </c>
      <c r="G59" s="10" t="inlineStr">
        <is>
          <t>confermato</t>
        </is>
      </c>
      <c r="H59" s="10" t="inlineStr">
        <is>
          <t>aderenza in frenatura, in discesa; aderenza in frenatura, in salita; tratto macchina–testata a r·a (avviso)</t>
        </is>
      </c>
      <c r="I59" s="11" t="n"/>
      <c r="J59" s="11" t="n"/>
      <c r="K59" s="11" t="n"/>
      <c r="L59" s="11" t="n"/>
      <c r="M59" s="11" t="n"/>
      <c r="N59" s="11" t="n"/>
    </row>
    <row r="60" ht="82" customHeight="1">
      <c r="A60" s="10" t="n">
        <v>58</v>
      </c>
      <c r="B60" s="10" t="inlineStr">
        <is>
          <t>Modello di calcolo</t>
        </is>
      </c>
      <c r="C60" s="10" t="inlineStr">
        <is>
          <t>Velocità nominale e compensazione</t>
        </is>
      </c>
      <c r="D60" s="10" t="inlineStr">
        <is>
          <t>oltre 1,75 m/s i mezzi di compensazione senza tensionamento vanno guidati vicino all’ansa («Attenzione»); oltre 3 m/s servono funi di compensazione con puleggia tenditrice, che il modello non contiene («Non soddisfatta»: fuori dal campo del software)</t>
        </is>
      </c>
      <c r="E60" s="10" t="inlineStr">
        <is>
          <t>UNI EN 81-20:2020, 5.5.6.1 a)–d)</t>
        </is>
      </c>
      <c r="F60" s="10" t="inlineStr">
        <is>
          <t>UNI EN 81-20:2020, testo della norma, letto il 2026-10-06, p. 76</t>
        </is>
      </c>
      <c r="G60" s="10" t="inlineStr">
        <is>
          <t>confermato</t>
        </is>
      </c>
      <c r="H60" s="10" t="inlineStr">
        <is>
          <t>velocità e compensazione</t>
        </is>
      </c>
      <c r="I60" s="11" t="n"/>
      <c r="J60" s="11" t="n"/>
      <c r="K60" s="11" t="n"/>
      <c r="L60" s="11" t="n"/>
      <c r="M60" s="11" t="n"/>
      <c r="N60" s="11" t="n"/>
    </row>
    <row r="61" ht="134" customHeight="1">
      <c r="A61" s="10" t="n">
        <v>59</v>
      </c>
      <c r="B61" s="10" t="inlineStr">
        <is>
          <t>Modello di calcolo</t>
        </is>
      </c>
      <c r="C61" s="10" t="inlineStr">
        <is>
          <t>Velocità nominale minima: campo dell’ascensore — nella modifica di un ascensore messo in servizio prima della Direttiva Ascensori le clausole citate non fissano da sole il limite (la UNI EN 81-20 vale per gli impianti nuovi, la UNI 10411-1 non pone una velocità minima nel suo campo): lì il limite è una scelta del software</t>
        </is>
      </c>
      <c r="D61" s="10" t="inlineStr">
        <is>
          <t>velocità nominale oltre 0,15 m/s; a 0,15 m/s o meno l’apparecchio è fuori dal campo di applicazione della UNI EN 81-20 (1.3 a) 2)), della Direttiva 2014/33/UE (art. 1 par. 2 a)) e del DPR 162/1999 (art. 1 c.3 a), testo vigente) e il software non lo calcola né lo progetta: il campo è segnato e il calcolo o il progetto non si salva</t>
        </is>
      </c>
      <c r="E61" s="10" t="inlineStr">
        <is>
          <t>UNI EN 81-20:2020, 1.3 a) 2); DPR 162/1999 e s.m.i., art. 1 c.3 lett. a); Direttiva 2014/33/UE, art. 1 par. 2 lett. a)</t>
        </is>
      </c>
      <c r="F61" s="10" t="inlineStr">
        <is>
          <t>UNI EN 81-20:2020, testo della norma, letto il 2026-10-06, p. 15; DPR 162/1999 e Direttiva 2014/33/UE: testi ufficiali (ricerca, cap. 16, §2 e §4.6)</t>
        </is>
      </c>
      <c r="G61" s="10" t="inlineStr">
        <is>
          <t>confermato</t>
        </is>
      </c>
      <c r="H61" s="10" t="inlineStr">
        <is>
          <t>—</t>
        </is>
      </c>
      <c r="I61" s="11" t="n"/>
      <c r="J61" s="11" t="n"/>
      <c r="K61" s="11" t="n"/>
      <c r="L61" s="11" t="n"/>
      <c r="M61" s="11" t="n"/>
      <c r="N61" s="11" t="n"/>
    </row>
    <row r="62" ht="121" customHeight="1">
      <c r="A62" s="10" t="n">
        <v>60</v>
      </c>
      <c r="B62" s="10" t="inlineStr">
        <is>
          <t>Modello di calcolo</t>
        </is>
      </c>
      <c r="C62" s="10" t="inlineStr">
        <is>
          <t>Compensazione e cavo flessibile — Nella 5.11.3 la massa della compensazione (0,5·H ± y) e del cavo (0,25·H ± 0,5·y) dipende dalla posizione della cabina e c’è anche sul lato del contrappeso; il software la tiene costante dentro P. Con catene o funi di compensazione il modello non vale.</t>
        </is>
      </c>
      <c r="D62" s="10" t="inlineStr">
        <is>
          <t>non modellati a parte: la loro massa sul lato cabina entra in P</t>
        </is>
      </c>
      <c r="E62" s="10" t="inlineStr">
        <is>
          <t>UNI EN 81-50:2020, 5.11.3</t>
        </is>
      </c>
      <c r="F62" s="10" t="inlineStr">
        <is>
          <t>limite del modello attuale</t>
        </is>
      </c>
      <c r="G62" s="10" t="inlineStr">
        <is>
          <t>scelta del software</t>
        </is>
      </c>
      <c r="H62" s="10" t="inlineStr">
        <is>
          <t>—</t>
        </is>
      </c>
      <c r="I62" s="11" t="n"/>
      <c r="J62" s="11" t="n"/>
      <c r="K62" s="11" t="n"/>
      <c r="L62" s="11" t="n"/>
      <c r="M62" s="11" t="n"/>
      <c r="N62" s="11" t="n"/>
    </row>
    <row r="63" ht="30" customHeight="1">
      <c r="A63" s="10" t="n">
        <v>61</v>
      </c>
      <c r="B63" s="10" t="inlineStr">
        <is>
          <t>Modello di calcolo</t>
        </is>
      </c>
      <c r="C63" s="10" t="inlineStr">
        <is>
          <t>Analisi di sensibilità</t>
        </is>
      </c>
      <c r="D63" s="10" t="inlineStr">
        <is>
          <t>P ±10%; k ±0,05 se il carico di equilibrio non è misurato</t>
        </is>
      </c>
      <c r="E63" s="10" t="inlineStr">
        <is>
          <t>—</t>
        </is>
      </c>
      <c r="F63" s="10" t="inlineStr">
        <is>
          <t>scelta del software (incertezza tipica del rilievo)</t>
        </is>
      </c>
      <c r="G63" s="10" t="inlineStr">
        <is>
          <t>scelta del software</t>
        </is>
      </c>
      <c r="H63" s="10" t="inlineStr">
        <is>
          <t>—</t>
        </is>
      </c>
      <c r="I63" s="11" t="n"/>
      <c r="J63" s="11" t="n"/>
      <c r="K63" s="11" t="n"/>
      <c r="L63" s="11" t="n"/>
      <c r="M63" s="11" t="n"/>
      <c r="N63" s="11" t="n"/>
    </row>
    <row r="64" ht="134" customHeight="1">
      <c r="A64" s="10" t="n">
        <v>62</v>
      </c>
      <c r="B64" s="10" t="inlineStr">
        <is>
          <t>Vano: cabina e portata</t>
        </is>
      </c>
      <c r="C64" s="10" t="inlineStr">
        <is>
          <t>Superficie utile massima della cabina per portata — la norma misura la superficie a 1 m dal pavimento tra le pareti strutturali, senza finiture (5.4.2.1.2), conta le nicchie e conta per intero la rientranza dell’ingresso profonda più di 100 mm (5.4.2.1.3); il software usa larghezza × profondità interne: nicchie e rientranze vanno aggiunte a mano</t>
        </is>
      </c>
      <c r="D64" s="10" t="inlineStr">
        <is>
          <t>100 kg 0,37 m²; 180 kg 0,58; 225 kg 0,70; 300 kg 0,90; 375 kg 1,10; 400 kg 1,17; 450 kg 1,30; 525 kg 1,45; 600 kg 1,60; 630 kg 1,66; 675 kg 1,75; 750 kg 1,90; 800 kg 2,00; 825 kg 2,05; 900 kg 2,20; 975 kg 2,35; 1000 kg 2,40; 1050 kg 2,50; 1125 kg 2,65; 1200 kg 2,80; 1250 kg 2,90; 1275 kg 2,95; 1350 kg 3,10; 1425 kg 3,25; 1500 kg 3,40; 1600 kg 3,56; 2000 kg 4,20; 2500 kg 5,00; oltre 2500 kg +0,16 m² ogni 100 kg; interpolazione lineare</t>
        </is>
      </c>
      <c r="E64" s="10" t="inlineStr">
        <is>
          <t>UNI EN 81-20:2020, 5.4.2.1.1 (Prospetto 6)</t>
        </is>
      </c>
      <c r="F64" s="10" t="inlineStr">
        <is>
          <t>UNI EN 81-20:2020, testo della norma, letto il 2026-10-06, pp. 63–64</t>
        </is>
      </c>
      <c r="G64" s="10" t="inlineStr">
        <is>
          <t>confermato</t>
        </is>
      </c>
      <c r="H64" s="10" t="inlineStr">
        <is>
          <t>superficie della cabina per la portata</t>
        </is>
      </c>
      <c r="I64" s="11" t="n"/>
      <c r="J64" s="11" t="n"/>
      <c r="K64" s="11" t="n"/>
      <c r="L64" s="11" t="n"/>
      <c r="M64" s="11" t="n"/>
      <c r="N64" s="11" t="n"/>
    </row>
    <row r="65" ht="95" customHeight="1">
      <c r="A65" s="10" t="n">
        <v>63</v>
      </c>
      <c r="B65" s="10" t="inlineStr">
        <is>
          <t>Vano: cabina e portata</t>
        </is>
      </c>
      <c r="C65" s="10" t="inlineStr">
        <is>
          <t>Numero di passeggeri</t>
        </is>
      </c>
      <c r="D65" s="10" t="inlineStr">
        <is>
          <t>il minore tra Q/75 arrotondato per difetto e il numero ammesso dalla superficie: 1 persona 0,28 m²; 2 0,49; 3 0,60; 4 0,79; 5 0,98; 6 1,17; 7 1,31; 8 1,45; 9 1,59; 10 1,73; 11 1,87; 12 2,01; 13 2,15; 14 2,29; 15 2,43; 16 2,57; 17 2,71; 18 2,85; 19 2,99; 20 3,13; oltre 20 +0,115 m² per persona</t>
        </is>
      </c>
      <c r="E65" s="10" t="inlineStr">
        <is>
          <t>UNI EN 81-20:2020, 5.4.2.3.1 (Prospetto 8)</t>
        </is>
      </c>
      <c r="F65" s="10" t="inlineStr">
        <is>
          <t>UNI EN 81-20:2020, testo della norma, letto il 2026-10-06, p. 66</t>
        </is>
      </c>
      <c r="G65" s="10" t="inlineStr">
        <is>
          <t>confermato</t>
        </is>
      </c>
      <c r="H65" s="10" t="inlineStr">
        <is>
          <t>—</t>
        </is>
      </c>
      <c r="I65" s="11" t="n"/>
      <c r="J65" s="11" t="n"/>
      <c r="K65" s="11" t="n"/>
      <c r="L65" s="11" t="n"/>
      <c r="M65" s="11" t="n"/>
      <c r="N65" s="11" t="n"/>
    </row>
    <row r="66" ht="186" customHeight="1">
      <c r="A66" s="10" t="n">
        <v>64</v>
      </c>
      <c r="B66" s="10" t="inlineStr">
        <is>
          <t>Vano: distanze in pianta</t>
        </is>
      </c>
      <c r="C66" s="10" t="inlineStr">
        <is>
          <t>Parete del vano di fronte all’entrata della cabina — le deroghe della norma (fino a 0,20 m per un tratto alto non più di 0,50 m o con porte verticali di ascensori per merci; nessun limite con la porta di cabina bloccata meccanicamente) non sono usate: la verifica è più severa. Il software misura fino alla soglia; la figura 3 della norma porta il limite anche al telaio e al bordo di chiusura delle ante di cabina: con la porta scelta lo verifica l’ingegnere sui dati del fornitore.</t>
        </is>
      </c>
      <c r="D66" s="10" t="inlineStr">
        <is>
          <t>distanza orizzontale dalla soglia o dal telaio della porta di cabina ≤ 150 mm (qui: profondità della porta di piano + gioco tra le soglie)</t>
        </is>
      </c>
      <c r="E66" s="10" t="inlineStr">
        <is>
          <t>UNI EN 81-20:2020, 5.2.5.3.1</t>
        </is>
      </c>
      <c r="F66" s="10" t="inlineStr">
        <is>
          <t>UNI EN 81-20:2020, testo della norma, letto il 2026-10-06, p. 33</t>
        </is>
      </c>
      <c r="G66" s="10" t="inlineStr">
        <is>
          <t>confermato</t>
        </is>
      </c>
      <c r="H66" s="10" t="inlineStr">
        <is>
          <t>parete di fronte all’entrata</t>
        </is>
      </c>
      <c r="I66" s="11" t="n"/>
      <c r="J66" s="11" t="n"/>
      <c r="K66" s="11" t="n"/>
      <c r="L66" s="11" t="n"/>
      <c r="M66" s="11" t="n"/>
      <c r="N66" s="11" t="n"/>
    </row>
    <row r="67" ht="95" customHeight="1">
      <c r="A67" s="10" t="n">
        <v>65</v>
      </c>
      <c r="B67" s="10" t="inlineStr">
        <is>
          <t>Vano: distanze in pianta</t>
        </is>
      </c>
      <c r="C67" s="10" t="inlineStr">
        <is>
          <t>Gioco tra soglia di cabina e soglia di piano — Non calcolato: tra il bordo d’attacco delle ante di cabina e le porte di piano al massimo 0,12 m (5.3.4.2; 11.2.3 nella UNI EN 81-1:2008), dato del fornitore delle porte.</t>
        </is>
      </c>
      <c r="D67" s="10" t="inlineStr">
        <is>
          <t>distanza orizzontale ≤ 35 mm</t>
        </is>
      </c>
      <c r="E67" s="10" t="inlineStr">
        <is>
          <t>UNI EN 81-20:2020, 5.3.4.1 (figura 3); 11.2.2 nella UNI EN 81-1 (1999, 2008)</t>
        </is>
      </c>
      <c r="F67" s="10" t="inlineStr">
        <is>
          <t>UNI EN 81-20:2020, testo della norma, letto il 2026-10-06, p. 50</t>
        </is>
      </c>
      <c r="G67" s="10" t="inlineStr">
        <is>
          <t>confermato</t>
        </is>
      </c>
      <c r="H67" s="10" t="inlineStr">
        <is>
          <t>gioco tra le soglie</t>
        </is>
      </c>
      <c r="I67" s="11" t="n"/>
      <c r="J67" s="11" t="n"/>
      <c r="K67" s="11" t="n"/>
      <c r="L67" s="11" t="n"/>
      <c r="M67" s="11" t="n"/>
      <c r="N67" s="11" t="n"/>
    </row>
    <row r="68" ht="69" customHeight="1">
      <c r="A68" s="10" t="n">
        <v>66</v>
      </c>
      <c r="B68" s="10" t="inlineStr">
        <is>
          <t>Vano: distanze in pianta</t>
        </is>
      </c>
      <c r="C68" s="10" t="inlineStr">
        <is>
          <t>Distanza tra cabina e contrappeso — il software misura tra le sagome di cabina e contrappeso: pattini e staffe non sono nel modello della pianta</t>
        </is>
      </c>
      <c r="D68" s="10" t="inlineStr">
        <is>
          <t>≥ 50 mm tra la cabina con i suoi componenti e il contrappeso con i suoi</t>
        </is>
      </c>
      <c r="E68" s="10" t="inlineStr">
        <is>
          <t>UNI EN 81-20:2020, 5.2.5.5.1 h)</t>
        </is>
      </c>
      <c r="F68" s="10" t="inlineStr">
        <is>
          <t>UNI EN 81-20:2020, testo della norma, letto il 2026-10-06, p. 35</t>
        </is>
      </c>
      <c r="G68" s="10" t="inlineStr">
        <is>
          <t>confermato</t>
        </is>
      </c>
      <c r="H68" s="10" t="inlineStr">
        <is>
          <t>distanza cabina–contrappeso</t>
        </is>
      </c>
      <c r="I68" s="11" t="n"/>
      <c r="J68" s="11" t="n"/>
      <c r="K68" s="11" t="n"/>
      <c r="L68" s="11" t="n"/>
      <c r="M68" s="11" t="n"/>
      <c r="N68" s="11" t="n"/>
    </row>
    <row r="69" ht="199" customHeight="1">
      <c r="A69" s="10" t="n">
        <v>67</v>
      </c>
      <c r="B69" s="10" t="inlineStr">
        <is>
          <t>Vano: distanze in pianta</t>
        </is>
      </c>
      <c r="C69" s="10" t="inlineStr">
        <is>
          <t>Pareti all’ultimo piano e in testata diverse dal piano principale</t>
        </is>
      </c>
      <c r="D69" s="10" t="inlineStr">
        <is>
          <t>negli edifici esistenti le pareti del vano all’ultima fermata e in testata possono stare altrove che al piano principale: cabina, guide e contrappeso restano a piombo; la cabina con soglie e operatori delle porte e il contrappeso passano ad almeno 25 mm dalle pareti spostate (meno: «Attenzione»; dentro la parete: «Non conforme»); le porte di piano dell’ultima fermata restano in linea con la cabina e la parete non entra nel loro spessore, i piedi delle guide e la staffa a ponte non entrano nelle pareti; le staffe arrivano alla parete dove sta (le staffe Panev si verificano anche lì); la distanza dalla parete di fronte all’entrata (voce distanze.parete.entrata) vale anche in testata</t>
        </is>
      </c>
      <c r="E69" s="10" t="inlineStr">
        <is>
          <t>UNI EN 81-20:2020, 5.2.5.3.1 (parete di fronte all’entrata); il resto scelta del software</t>
        </is>
      </c>
      <c r="F69" s="10" t="inlineStr">
        <is>
          <t>scelta del software: il margine di marcia va confermato con l’installatore</t>
        </is>
      </c>
      <c r="G69" s="10" t="inlineStr">
        <is>
          <t>scelta del software</t>
        </is>
      </c>
      <c r="H69" s="10" t="inlineStr">
        <is>
          <t>pareti in testata diverse dal piano principale</t>
        </is>
      </c>
      <c r="I69" s="11" t="n"/>
      <c r="J69" s="11" t="n"/>
      <c r="K69" s="11" t="n"/>
      <c r="L69" s="11" t="n"/>
      <c r="M69" s="11" t="n"/>
      <c r="N69" s="11" t="n"/>
    </row>
    <row r="70" ht="69" customHeight="1">
      <c r="A70" s="10" t="n">
        <v>68</v>
      </c>
      <c r="B70" s="10" t="inlineStr">
        <is>
          <t>Vano: accessibilità (DM 236/1989)</t>
        </is>
      </c>
      <c r="C70" s="10" t="inlineStr">
        <is>
          <t>Edifici residenziali nuovi: cabina e porta minime</t>
        </is>
      </c>
      <c r="D70" s="10" t="inlineStr">
        <is>
          <t>cabina larga 950 mm e profonda 1300 mm, porta di 800 mm sul lato corto; piattaforma davanti alla porta 1,50 × 1,50 m (fuori dal vano: da verificare in sito); pulsanti più alti delle bottoniere tra 1100 e 1400 mm dal pavimento</t>
        </is>
      </c>
      <c r="E70" s="10" t="inlineStr">
        <is>
          <t>DM 236/1989, 8.1.12</t>
        </is>
      </c>
      <c r="F70" s="10" t="inlineStr">
        <is>
          <t>DM 236/1989, 8.1.12, letto per intero su Normattiva il 2026-10-02 (ricerca, cap. 16, §4.1)</t>
        </is>
      </c>
      <c r="G70" s="10" t="inlineStr">
        <is>
          <t>confermato</t>
        </is>
      </c>
      <c r="H70" s="10" t="inlineStr">
        <is>
          <t>cabina minima (DM 236/1989); porta minima (DM 236/1989); porta sul lato corto; pulsanti più alti delle bottoniere (DM 236/1989)</t>
        </is>
      </c>
      <c r="I70" s="11" t="n"/>
      <c r="J70" s="11" t="n"/>
      <c r="K70" s="11" t="n"/>
      <c r="L70" s="11" t="n"/>
      <c r="M70" s="11" t="n"/>
      <c r="N70" s="11" t="n"/>
    </row>
    <row r="71" ht="69" customHeight="1">
      <c r="A71" s="10" t="n">
        <v>69</v>
      </c>
      <c r="B71" s="10" t="inlineStr">
        <is>
          <t>Vano: accessibilità (DM 236/1989)</t>
        </is>
      </c>
      <c r="C71" s="10" t="inlineStr">
        <is>
          <t>Edifici non residenziali nuovi: cabina e porta minime</t>
        </is>
      </c>
      <c r="D71" s="10" t="inlineStr">
        <is>
          <t>cabina larga 1100 mm e profonda 1400 mm, porta di 800 mm sul lato corto; piattaforma davanti alla porta 1,50 × 1,50 m (fuori dal vano: da verificare in sito); pulsanti più alti delle bottoniere tra 1100 e 1400 mm dal pavimento</t>
        </is>
      </c>
      <c r="E71" s="10" t="inlineStr">
        <is>
          <t>DM 236/1989, 8.1.12</t>
        </is>
      </c>
      <c r="F71" s="10" t="inlineStr">
        <is>
          <t>DM 236/1989, 8.1.12, letto per intero su Normattiva il 2026-10-02 (ricerca, cap. 16, §4.1)</t>
        </is>
      </c>
      <c r="G71" s="10" t="inlineStr">
        <is>
          <t>confermato</t>
        </is>
      </c>
      <c r="H71" s="10" t="inlineStr">
        <is>
          <t>cabina minima (DM 236/1989); porta minima (DM 236/1989); porta sul lato corto; pulsanti più alti delle bottoniere (DM 236/1989)</t>
        </is>
      </c>
      <c r="I71" s="11" t="n"/>
      <c r="J71" s="11" t="n"/>
      <c r="K71" s="11" t="n"/>
      <c r="L71" s="11" t="n"/>
      <c r="M71" s="11" t="n"/>
      <c r="N71" s="11" t="n"/>
    </row>
    <row r="72" ht="134" customHeight="1">
      <c r="A72" s="10" t="n">
        <v>70</v>
      </c>
      <c r="B72" s="10" t="inlineStr">
        <is>
          <t>Vano: accessibilità (DM 236/1989)</t>
        </is>
      </c>
      <c r="C72" s="10" t="inlineStr">
        <is>
          <t>Adeguamento di edifici esistenti: cabina e porta minime — Per un ascensore nuovo in un edificio esistente il caso è a) o b) secondo la destinazione; il c) è l’eccezione, scelta dal progettista.</t>
        </is>
      </c>
      <c r="D72" s="10" t="inlineStr">
        <is>
          <t>cabina larga 800 mm e profonda 1200 mm, porta di 750 mm sul lato corto; piattaforma davanti alla porta 1,40 × 1,40 m (fuori dal vano: da verificare in sito); pulsanti più alti delle bottoniere tra 1100 e 1400 mm dal pavimento; solo se l’edificio esistente non consente una cabina più grande: una cabina sotto le misure del caso b) (larga 950 mm, profonda 1300 mm, porta di 800 mm) chiede la motivazione scritta nel progetto («Attenzione» se manca)</t>
        </is>
      </c>
      <c r="E72" s="10" t="inlineStr">
        <is>
          <t>DM 236/1989, 8.1.12 c)</t>
        </is>
      </c>
      <c r="F72" s="10" t="inlineStr">
        <is>
          <t>DM 236/1989, 8.1.12, letto per intero su Normattiva il 2026-10-02 (ricerca, cap. 16, §4.1)</t>
        </is>
      </c>
      <c r="G72" s="10" t="inlineStr">
        <is>
          <t>confermato</t>
        </is>
      </c>
      <c r="H72" s="10" t="inlineStr">
        <is>
          <t>cabina minima (DM 236/1989); porta minima (DM 236/1989); porta sul lato corto; motivazione del caso c) (DM 236/1989); pulsanti più alti delle bottoniere (DM 236/1989)</t>
        </is>
      </c>
      <c r="I72" s="11" t="n"/>
      <c r="J72" s="11" t="n"/>
      <c r="K72" s="11" t="n"/>
      <c r="L72" s="11" t="n"/>
      <c r="M72" s="11" t="n"/>
      <c r="N72" s="11" t="n"/>
    </row>
    <row r="73" ht="43" customHeight="1">
      <c r="A73" s="10" t="n">
        <v>71</v>
      </c>
      <c r="B73" s="10" t="inlineStr">
        <is>
          <t>Vano: porte</t>
        </is>
      </c>
      <c r="C73" s="10" t="inlineStr">
        <is>
          <t>Ingombro della porta di piano lungo la parete del vano</t>
        </is>
      </c>
      <c r="D73" s="10" t="inlineStr">
        <is>
          <t>telescopica a 2 ante: 1,5·L + 110 mm; centrale a 2 ante: 2·L + 110 mm (L = luce netta)</t>
        </is>
      </c>
      <c r="E73" s="10" t="inlineStr">
        <is>
          <t>dato del fornitore delle porte</t>
        </is>
      </c>
      <c r="F73" s="10" t="inlineStr">
        <is>
          <t>valori tipici: scelta del software da confermare con il fornitore</t>
        </is>
      </c>
      <c r="G73" s="10" t="inlineStr">
        <is>
          <t>scelta del software</t>
        </is>
      </c>
      <c r="H73" s="10" t="inlineStr">
        <is>
          <t>ingombro della porta di piano</t>
        </is>
      </c>
      <c r="I73" s="11" t="n"/>
      <c r="J73" s="11" t="n"/>
      <c r="K73" s="11" t="n"/>
      <c r="L73" s="11" t="n"/>
      <c r="M73" s="11" t="n"/>
      <c r="N73" s="11" t="n"/>
    </row>
    <row r="74" ht="30" customHeight="1">
      <c r="A74" s="10" t="n">
        <v>72</v>
      </c>
      <c r="B74" s="10" t="inlineStr">
        <is>
          <t>Vano: porte</t>
        </is>
      </c>
      <c r="C74" s="10" t="inlineStr">
        <is>
          <t>Larghezza della cabina rispetto alla porta</t>
        </is>
      </c>
      <c r="D74" s="10" t="inlineStr">
        <is>
          <t>larghezza interna ≥ luce della porta + 50 mm; profondità interna ≥ 800 mm</t>
        </is>
      </c>
      <c r="E74" s="10" t="inlineStr">
        <is>
          <t>—</t>
        </is>
      </c>
      <c r="F74" s="10" t="inlineStr">
        <is>
          <t>scelta del software</t>
        </is>
      </c>
      <c r="G74" s="10" t="inlineStr">
        <is>
          <t>scelta del software</t>
        </is>
      </c>
      <c r="H74" s="10" t="inlineStr">
        <is>
          <t>la cabina entra nel vano</t>
        </is>
      </c>
      <c r="I74" s="11" t="n"/>
      <c r="J74" s="11" t="n"/>
      <c r="K74" s="11" t="n"/>
      <c r="L74" s="11" t="n"/>
      <c r="M74" s="11" t="n"/>
      <c r="N74" s="11" t="n"/>
    </row>
    <row r="75" ht="342" customHeight="1">
      <c r="A75" s="10" t="n">
        <v>73</v>
      </c>
      <c r="B75" s="10" t="inlineStr">
        <is>
          <t>Vano: porte</t>
        </is>
      </c>
      <c r="C75" s="10" t="inlineStr">
        <is>
          <t>Vano porta di piano e operatore della porta di cabina</t>
        </is>
      </c>
      <c r="D75" s="10" t="inlineStr">
        <is>
          <t>vano nel muro: luce netta + 2 × 50 mm di portale; operatore della porta di cabina lungo 1,5·L + 50 mm con porta telescopica (il lato di chiusura 25 mm oltre la luce) e 2·L + 60 mm con porta centrale, profondo 220 mm, dentro il vano; con il fornitore scelto: 2SG FLY/LIKE 1,5·L + 40 mm (telescopica) e 2·L + 20 mm (centrale), profondo 220 mm; Fermator 40/10 1,5·L + 50 mm e 2·L + 50 mm, profondo 144 mm; Dapa LOWER 1,5·L + 47 mm e 2·L + 50 mm, profondo 217 mm; con due accessi adiacenti gli operatori non devono sovrapporsi all’angolo tra le porte (altrimenti «Attenzione»: operatori da scegliere con il fornitore)</t>
        </is>
      </c>
      <c r="E75" s="10" t="inlineStr">
        <is>
          <t>dato del fornitore delle porte</t>
        </is>
      </c>
      <c r="F75" s="10" t="inlineStr">
        <is>
          <t>schede PDF 2SG FLY 2AT (ingombro massimo 1,5·A + 10; soglia 1,5·A + 20, + 40 con l’extracorsa: presa la più lunga) e 2AO (2·A + 20), profondità 220 letta sul disegno; catalogo tecnico Dapa LOWER (1,5·AP + 47, 2·AP + 50, profondità 217); Fermator 40/10 PM in copie presso terzi (1,5·PL + 50 e 2·PL + 50, le soglie + 40; profondità 120–144 sul disegno, con le staffe 183–280; chiusura a 15 mm dalla luce, il software ne tiene 25); Wittur Hydra Plus da una copia del catalogo Selcom (1,5·PL + 25 e 2·PL + 50, profondo 200); letti il 2 ottobre 2026 (research/argano-geared/18-porte-limitatori-tenditori-tutti.md). Il generico è l’inviluppo: il più lungo (Fermator, Dapa) e il più profondo (2SG FLY). Hydra Plus può superarlo dove la sua quota GM supera la GW; Prisma e CMM: lunghezza e profondità non trovate</t>
        </is>
      </c>
      <c r="G75" s="10" t="inlineStr">
        <is>
          <t>stima</t>
        </is>
      </c>
      <c r="H75" s="10" t="inlineStr">
        <is>
          <t>ingombro della porta di piano; ingombro della seconda porta di piano; operatori delle porte adiacenti</t>
        </is>
      </c>
      <c r="I75" s="11" t="n"/>
      <c r="J75" s="11" t="n"/>
      <c r="K75" s="11" t="n"/>
      <c r="L75" s="11" t="n"/>
      <c r="M75" s="11" t="n"/>
      <c r="N75" s="11" t="n"/>
    </row>
    <row r="76" ht="134" customHeight="1">
      <c r="A76" s="10" t="n">
        <v>74</v>
      </c>
      <c r="B76" s="10" t="inlineStr">
        <is>
          <t>Vano: porte</t>
        </is>
      </c>
      <c r="C76" s="10" t="inlineStr">
        <is>
          <t>Porta di piano spostata rispetto alla porta di cabina (disassamento) — nel 3D la leva della serratura con i rulli resta in linea con l’accoppiatore della porta di cabina: con il disassamento va montata spostata sull’anta della porta di piano (da concordare con il fornitore delle porte)</t>
        </is>
      </c>
      <c r="D76" s="10" t="inlineStr">
        <is>
          <t>la luce netta della porta di piano sporge al massimo 50 mm per lato oltre quella della porta di cabina: con la stessa luce, disassamento ≤ 50 mm (oltre: «Non conforme»); lo stesso spostamento a tutti i piani, per ciascun accesso, con il vano nel muro, il portale, gli imbotti, la soglia sulle staffe e la bottoniera della porta di piano; il passaggio libero è la parte comune delle due luci (luce − disassamento), ed è quello verificato per l’accessibilità (DM 236/1989)</t>
        </is>
      </c>
      <c r="E76" s="10" t="inlineStr">
        <is>
          <t>UNI EN 81-20:2020, 5.3.2.2</t>
        </is>
      </c>
      <c r="F76" s="10" t="inlineStr">
        <is>
          <t>UNI EN 81-20:2020, testo della norma, letto il 2026-10-06, p. 49</t>
        </is>
      </c>
      <c r="G76" s="10" t="inlineStr">
        <is>
          <t>confermato</t>
        </is>
      </c>
      <c r="H76" s="10" t="inlineStr">
        <is>
          <t>disassamento della porta di piano A; disassamento della porta di piano B</t>
        </is>
      </c>
      <c r="I76" s="11" t="n"/>
      <c r="J76" s="11" t="n"/>
      <c r="K76" s="11" t="n"/>
      <c r="L76" s="11" t="n"/>
      <c r="M76" s="11" t="n"/>
      <c r="N76" s="11" t="n"/>
    </row>
    <row r="77" ht="134" customHeight="1">
      <c r="A77" s="10" t="n">
        <v>75</v>
      </c>
      <c r="B77" s="10" t="inlineStr">
        <is>
          <t>Vano: porte</t>
        </is>
      </c>
      <c r="C77" s="10" t="inlineStr">
        <is>
          <t>Bottoniera di piano</t>
        </is>
      </c>
      <c r="D77" s="10" t="inlineStr">
        <is>
          <t>accanto a ogni porta di piano, sul pianerottolo: per default a destra guardando la porta, il centro della pulsantiera a 150 mm dal vano della porta e il centro del pulsante più alto a 1100 mm dal pavimento; pulsantiera di 120 × 300 mm, sporgente 15 mm dal muro; lato, distanza e altezza modificabili su ogni progetto</t>
        </is>
      </c>
      <c r="E77" s="10" t="inlineStr">
        <is>
          <t>DM 236/1989, 8.1.12 (bottoniere interna ed esterna con i pulsanti più alti tra 1,10 e 1,40 m dal pavimento: i 1100 mm stanno al limite inferiore); UNI EN 81-70:2021+A1:2022 (edizione fuori dall’archivio letto: altezze e distanze dei pulsanti sul pianerottolo da verificare su quel testo e in sito)</t>
        </is>
      </c>
      <c r="F77" s="10" t="inlineStr">
        <is>
          <t>scelta del software, entro il DM 236/1989, 8.1.12, letto per intero su Normattiva il 2026-10-02 (ricerca, cap. 16, §4.1)</t>
        </is>
      </c>
      <c r="G77" s="10" t="inlineStr">
        <is>
          <t>scelta del software</t>
        </is>
      </c>
      <c r="H77" s="10" t="inlineStr">
        <is>
          <t>—</t>
        </is>
      </c>
      <c r="I77" s="11" t="n"/>
      <c r="J77" s="11" t="n"/>
      <c r="K77" s="11" t="n"/>
      <c r="L77" s="11" t="n"/>
      <c r="M77" s="11" t="n"/>
      <c r="N77" s="11" t="n"/>
    </row>
    <row r="78" ht="186" customHeight="1">
      <c r="A78" s="10" t="n">
        <v>76</v>
      </c>
      <c r="B78" s="10" t="inlineStr">
        <is>
          <t>Vano: porte</t>
        </is>
      </c>
      <c r="C78" s="10" t="inlineStr">
        <is>
          <t>Imbotti della porta di piano (sostituzione con una luce più piccola) — Montanti e pannelli accanto alla porta più larghi di 150 mm che chiudono l’apertura vanno con la prova del pendolo della porta (UNI EN 81-20:2020, 5.3.5.3.4): la copre il fornitore.</t>
        </is>
      </c>
      <c r="D78" s="10" t="inlineStr">
        <is>
          <t>quando la porta nuova ha una luce più piccola del vano esistente tra i marmi, gli imbotti laterali (a sinistra e a destra guardando la porta dal pianerottolo) e quello superiore coprono la differenza: distanza tra i marmi = imbotto sinistro + luce + 2 × 50 mm di portale + imbotto destro; altezza sotto il marmo superiore = altezza della luce + 60 mm di architrave del portale + imbotto superiore (con il telaio proprio della porta, i suoi montanti e il suo frontalino al posto del portale); gli stessi imbotti per tutte le porte di piano, in lamiera sul filo del muro verso il pianerottolo, disegnati in pianta, in sezione e nel 3D</t>
        </is>
      </c>
      <c r="E78" s="10" t="inlineStr">
        <is>
          <t>dato del fornitore delle porte (imbotti su misura)</t>
        </is>
      </c>
      <c r="F78" s="10" t="inlineStr">
        <is>
          <t>scelta del software</t>
        </is>
      </c>
      <c r="G78" s="10" t="inlineStr">
        <is>
          <t>scelta del software</t>
        </is>
      </c>
      <c r="H78" s="10" t="inlineStr">
        <is>
          <t>—</t>
        </is>
      </c>
      <c r="I78" s="11" t="n"/>
      <c r="J78" s="11" t="n"/>
      <c r="K78" s="11" t="n"/>
      <c r="L78" s="11" t="n"/>
      <c r="M78" s="11" t="n"/>
      <c r="N78" s="11" t="n"/>
    </row>
    <row r="79" ht="316" customHeight="1">
      <c r="A79" s="10" t="n">
        <v>77</v>
      </c>
      <c r="B79" s="10" t="inlineStr">
        <is>
          <t>Vano: porte</t>
        </is>
      </c>
      <c r="C79" s="10" t="inlineStr">
        <is>
          <t>Telaio proprio delle porte di piano</t>
        </is>
      </c>
      <c r="D79" s="10" t="inlineStr">
        <is>
          <t>a scelta del progettista, al posto del portale (2 × 50 mm, architrave 60 mm): il telaio della porta, uguale a tutti i piani, per default il telaio standard con montanti da 120 mm a tutta altezza, frontalino da 220 mm sopra la luce tra i montanti e spessore 50 mm; montanti, frontalino e spessore modificabili su ogni progetto, montanti e frontalino da 25 mm (telai su misura). Il telaio sta tutto nel vano di corsa, contro la parete e sulla soglia: soglia e sospensione della porta sono fissate al telaio e le coppie Panev (sotto la soglia e sopra la sospensione) lo tengono alla parete; il vano nel muro è il suo ingombro esterno (luce + 2 montanti, altezza della luce + frontalino), gli imbotti stanno sul pavimento del pianerottolo. Lo spessore del telaio è dentro la profondità della porta di piano: le ante scorrono dietro il telaio, il binario più vicino alla parete (68 mm prima del bordo della soglia nelle porte telescopiche, 30 mm nelle centrali) almeno a filo del telaio, altrimenti «Attenzione» (si aumenta la profondità della porta di piano). Disegnato in pianta, in sezione e nel 3D; la bottoniera si misura dal bordo del vano nel muro</t>
        </is>
      </c>
      <c r="E79" s="10" t="inlineStr">
        <is>
          <t>dato del fornitore delle porte</t>
        </is>
      </c>
      <c r="F79" s="10" t="inlineStr">
        <is>
          <t>2SG, pagina del telaio standard (montanti 120, frontalino 220, spessore 50; lamiera autoportante 1/1,2 mm; montaggio sul pavimento finito, staffe e tasselli per il muro) e disegno del telaio (larghezza luce + 240) letti il 2 ottobre 2026; telai di dimensioni speciali con montanti e frontalino da 25 mm (research/argano-geared/14-porte-e-soglie.md, 18-porte-limitatori-tenditori-tutti.md). Il telaio nel vano di corsa con soglia e sospensione fissate, tenuto dalle coppie Panev, il vano nel muro della misura del telaio, lo spessore dentro la profondità della porta e gli imbotti sul pavimento del pianerottolo: indicazione del cliente (4 ottobre 2026)</t>
        </is>
      </c>
      <c r="G79" s="10" t="inlineStr">
        <is>
          <t>scelta del software</t>
        </is>
      </c>
      <c r="H79" s="10" t="inlineStr">
        <is>
          <t>le ante della porta di piano dietro il suo telaio</t>
        </is>
      </c>
      <c r="I79" s="11" t="n"/>
      <c r="J79" s="11" t="n"/>
      <c r="K79" s="11" t="n"/>
      <c r="L79" s="11" t="n"/>
      <c r="M79" s="11" t="n"/>
      <c r="N79" s="11" t="n"/>
    </row>
    <row r="80" ht="82" customHeight="1">
      <c r="A80" s="10" t="n">
        <v>78</v>
      </c>
      <c r="B80" s="10" t="inlineStr">
        <is>
          <t>Vano: porte</t>
        </is>
      </c>
      <c r="C80" s="10" t="inlineStr">
        <is>
          <t>Porte di soccorso tra due porte di piano lontane — il software non modella le porte di soccorso né le cabine adiacenti: oltre 11 m la verifica non passa e il progetto va completato a parte</t>
        </is>
      </c>
      <c r="D80" s="10" t="inlineStr">
        <is>
          <t>più di 11000 mm tra le soglie di due porte di piano consecutive (piani contigui con porte, qualunque accesso): porte di soccorso intermedie alte almeno 1800 mm e larghe almeno 500 mm, oppure cabine adiacenti con porta di soccorso</t>
        </is>
      </c>
      <c r="E80" s="10" t="inlineStr">
        <is>
          <t>UNI EN 81-20:2020, 5.2.3.1 e 5.2.3.2 d)</t>
        </is>
      </c>
      <c r="F80" s="10" t="inlineStr">
        <is>
          <t>UNI EN 81-20:2020, testo della norma, letto il 2026-10-06, p. 29</t>
        </is>
      </c>
      <c r="G80" s="10" t="inlineStr">
        <is>
          <t>confermato</t>
        </is>
      </c>
      <c r="H80" s="10" t="inlineStr">
        <is>
          <t>porte di soccorso oltre 11 m tra due porte di piano</t>
        </is>
      </c>
      <c r="I80" s="11" t="n"/>
      <c r="J80" s="11" t="n"/>
      <c r="K80" s="11" t="n"/>
      <c r="L80" s="11" t="n"/>
      <c r="M80" s="11" t="n"/>
      <c r="N80" s="11" t="n"/>
    </row>
    <row r="81" ht="186" customHeight="1">
      <c r="A81" s="10" t="n">
        <v>79</v>
      </c>
      <c r="B81" s="10" t="inlineStr">
        <is>
          <t>Vano: porte</t>
        </is>
      </c>
      <c r="C81" s="10" t="inlineStr">
        <is>
          <t>Lamiera sotto la soglia di piano — la zona di sbloccaggio sta sopra e sotto il piano: la metà della zona è la sua estensione da un lato (200 mm al massimo), lettura dal lato della sicurezza; rigidità (300 N su 5 cm²) e finitura sono del fornitore delle porte</t>
        </is>
      </c>
      <c r="D81" s="10" t="inlineStr">
        <is>
          <t>zona di sbloccaggio non oltre 200 mm sopra e sotto il piano (350 mm con porte di cabina e di piano motorizzate insieme); sotto ogni soglia di piano una superficie liscia e dura unita alla soglia, alta almeno metà della zona di sbloccaggio + 50 mm e larga almeno la luce dell’accesso di cabina + 25 mm per lato, sporgenze non oltre 5 mm; sotto, unita all’architrave della porta successiva oppure con uno smusso ad almeno 60° sull’orizzontale e almeno 20 mm di proiezione orizzontale. Il disegno la mette sotto il bordo della soglia di ogni porta di piano, alta la zona di sbloccaggio indicata + 50 mm (senza: 200 + 50 = 250 mm, «Attenzione»), con lo smusso fino al muro</t>
        </is>
      </c>
      <c r="E81" s="10" t="inlineStr">
        <is>
          <t>UNI EN 81-20:2020, 5.2.5.3.2 e 5.3.8.1</t>
        </is>
      </c>
      <c r="F81" s="10" t="inlineStr">
        <is>
          <t>UNI EN 81-20:2020, testo della norma, letto il 2026-10-06, pp. 34, 58</t>
        </is>
      </c>
      <c r="G81" s="10" t="inlineStr">
        <is>
          <t>confermato</t>
        </is>
      </c>
      <c r="H81" s="10" t="inlineStr">
        <is>
          <t>lamiera sotto la soglia di piano</t>
        </is>
      </c>
      <c r="I81" s="11" t="n"/>
      <c r="J81" s="11" t="n"/>
      <c r="K81" s="11" t="n"/>
      <c r="L81" s="11" t="n"/>
      <c r="M81" s="11" t="n"/>
      <c r="N81" s="11" t="n"/>
    </row>
    <row r="82" ht="199" customHeight="1">
      <c r="A82" s="10" t="n">
        <v>80</v>
      </c>
      <c r="B82" s="10" t="inlineStr">
        <is>
          <t>Vano: ingombri tipici</t>
        </is>
      </c>
      <c r="C82" s="10" t="inlineStr">
        <is>
          <t>Ingombri tipici nel vano (modificabili su ogni progetto) — pacchetto porta di catalogo (porta di cabina + gioco tra le soglie + porta di piano), da wittur.com: Hydra 210 mm a 2 ante telescopiche e 180 mm a 2 ante centrali, Hydra 3000 180 e 130, Augusta EVO 190 e 110, Sematic 2000 C-MOD 185 e 117, Fineline 115 e 85; Sematic 2000 B 255 e 165 (cabina 90 e 45, gioco 30, piano 135 e 90, da una copia della brochure). Con le porte scelte, i tre ingombri vanno portati alla somma del fornitore (oggi 80 + 30 + 80 = 190 mm)</t>
        </is>
      </c>
      <c r="D82" s="10" t="inlineStr">
        <is>
          <t>profondità della porta di piano 80 mm; gioco tra le soglie 30 mm; porta di cabina 80 mm; pareti della cabina 35 mm; guide e staffe della cabina 165 mm per lato; cabina–contrappeso 60 mm; spessore del contrappeso 140 mm; guide e staffe del contrappeso 80 mm; cabina–parete di fondo 60 mm; punta della guida–cabina 30 mm; contrappeso laterale–piede della guida di cabina 85 mm</t>
        </is>
      </c>
      <c r="E82" s="10" t="inlineStr">
        <is>
          <t>dati del costruttore di guide, porte e cabina</t>
        </is>
      </c>
      <c r="F82" s="10" t="inlineStr">
        <is>
          <t>valori tipici: scelta del software</t>
        </is>
      </c>
      <c r="G82" s="10" t="inlineStr">
        <is>
          <t>scelta del software</t>
        </is>
      </c>
      <c r="H82" s="10" t="inlineStr">
        <is>
          <t>la cabina entra nel vano</t>
        </is>
      </c>
      <c r="I82" s="11" t="n"/>
      <c r="J82" s="11" t="n"/>
      <c r="K82" s="11" t="n"/>
      <c r="L82" s="11" t="n"/>
      <c r="M82" s="11" t="n"/>
      <c r="N82" s="11" t="n"/>
    </row>
    <row r="83" ht="147" customHeight="1">
      <c r="A83" s="10" t="n">
        <v>81</v>
      </c>
      <c r="B83" s="10" t="inlineStr">
        <is>
          <t>Vano: ingombri tipici</t>
        </is>
      </c>
      <c r="C83" s="10" t="inlineStr">
        <is>
          <t>Contrappeso laterale</t>
        </is>
      </c>
      <c r="D83" s="10" t="inlineStr">
        <is>
          <t>tra la parete e la guida della cabina, centrato sull’asse delle guide di cabina, con le sue guide alle estremità (pattini 20 mm) e la guida di cabina su una staffa a ponte (a ogni staffa delle guide del contrappeso, al passo più fitto tra cabina e contrappeso, con la guida di cabina fissata alle stesse quote); a 40 mm dalle zone delle porte; lunghezza in pianta da 400 a 900 mm (sotto 400 mm: «Attenzione»); con il contrappeso sul fondo, al massimo la larghezza tra le guide della cabina</t>
        </is>
      </c>
      <c r="E83" s="10" t="inlineStr">
        <is>
          <t>—</t>
        </is>
      </c>
      <c r="F83" s="10" t="inlineStr">
        <is>
          <t>scelta del software</t>
        </is>
      </c>
      <c r="G83" s="10" t="inlineStr">
        <is>
          <t>scelta del software</t>
        </is>
      </c>
      <c r="H83" s="10" t="inlineStr">
        <is>
          <t>lunghezza del contrappeso</t>
        </is>
      </c>
      <c r="I83" s="11" t="n"/>
      <c r="J83" s="11" t="n"/>
      <c r="K83" s="11" t="n"/>
      <c r="L83" s="11" t="n"/>
      <c r="M83" s="11" t="n"/>
      <c r="N83" s="11" t="n"/>
    </row>
    <row r="84" ht="147" customHeight="1">
      <c r="A84" s="10" t="n">
        <v>82</v>
      </c>
      <c r="B84" s="10" t="inlineStr">
        <is>
          <t>Vano: ingombri tipici</t>
        </is>
      </c>
      <c r="C84" s="10" t="inlineStr">
        <is>
          <t>Arcata a zaino (due accessi adiacenti a 90°)</t>
        </is>
      </c>
      <c r="D84" s="10" t="inlineStr">
        <is>
          <t>entrambe le guide di cabina sulla parete opposta all’accesso laterale, con le lame affacciate lungo la parete (il momento della cabina a sbalzo va sulle facce delle lame); piedi delle guide a 20 mm dentro la profondità della piattaforma; contrappeso tra le guide, contro la parete, con le sue guide alle estremità e i piedi a 70 mm da quelli delle guide di cabina (staffe); la cabina a 10 mm dalle bride che tengono i piedi delle guide sulle staffe (bride forgiate della misura della guida, con la piastra oltre il piede)</t>
        </is>
      </c>
      <c r="E84" s="10" t="inlineStr">
        <is>
          <t>—</t>
        </is>
      </c>
      <c r="F84" s="10" t="inlineStr">
        <is>
          <t>scelta del software (principio: cataloghi di arcate a zaino); disposizione da confermare con il fornitore dell’arcata</t>
        </is>
      </c>
      <c r="G84" s="10" t="inlineStr">
        <is>
          <t>scelta del software</t>
        </is>
      </c>
      <c r="H84" s="10" t="inlineStr">
        <is>
          <t>—</t>
        </is>
      </c>
      <c r="I84" s="11" t="n"/>
      <c r="J84" s="11" t="n"/>
      <c r="K84" s="11" t="n"/>
      <c r="L84" s="11" t="n"/>
      <c r="M84" s="11" t="n"/>
      <c r="N84" s="11" t="n"/>
    </row>
    <row r="85" ht="212" customHeight="1">
      <c r="A85" s="10" t="n">
        <v>83</v>
      </c>
      <c r="B85" s="10" t="inlineStr">
        <is>
          <t>Vano: ingombri tipici</t>
        </is>
      </c>
      <c r="C85" s="10" t="inlineStr">
        <is>
          <t>Nicchie nelle pareti del vano</t>
        </is>
      </c>
      <c r="D85" s="10" t="inlineStr">
        <is>
          <t>contrappeso in nicchia: il contrappeso con le sue guide sta nella nicchia della parete su cui corre, con almeno 20 mm tra le guide e i fianchi della nicchia (con le staffe Panev, lo spazio della piastra del supporto dietro il piede di ogni guida); la distanza dalla parete si misura dal fondo della nicchia e la cabina guadagna la sua profondità, senza scendere sotto gli ingombri delle guide; luce del vano in nicchia: una nicchia alta 400 mm per lampada, le lampade 1500 mm sopra ogni piano e l’ultima a 80 mm sotto la soletta; canalina in nicchia: dal fondo della fossa alla soletta; ogni nicchia dentro la sua parete, fuori dai telai delle porte di piano e dalle altre nicchie, con almeno 50 mm di muro dietro; altrimenti «Non conforme»</t>
        </is>
      </c>
      <c r="E85" s="10" t="inlineStr">
        <is>
          <t>—</t>
        </is>
      </c>
      <c r="F85" s="10" t="inlineStr">
        <is>
          <t>scelta del software; la resistenza della parete con la nicchia va verificata dal progettista</t>
        </is>
      </c>
      <c r="G85" s="10" t="inlineStr">
        <is>
          <t>scelta del software</t>
        </is>
      </c>
      <c r="H85" s="10" t="inlineStr">
        <is>
          <t>nicchie nelle pareti</t>
        </is>
      </c>
      <c r="I85" s="11" t="n"/>
      <c r="J85" s="11" t="n"/>
      <c r="K85" s="11" t="n"/>
      <c r="L85" s="11" t="n"/>
      <c r="M85" s="11" t="n"/>
      <c r="N85" s="11" t="n"/>
    </row>
    <row r="86" ht="329" customHeight="1">
      <c r="A86" s="10" t="n">
        <v>84</v>
      </c>
      <c r="B86" s="10" t="inlineStr">
        <is>
          <t>Vano: ingombri tipici</t>
        </is>
      </c>
      <c r="C86" s="10" t="inlineStr">
        <is>
          <t>Staffe delle guide del contrappeso (catalogo Panev)</t>
        </is>
      </c>
      <c r="D86" s="10" t="inlineStr">
        <is>
          <t>per default il supporto Panev SU o SD con la guida SG, la guida serrata sulla flangia della SG da due bride N1: il supporto più corto il cui campo stampato prende la distanza della guida dalla parete (o dal fondo della nicchia) e la cui piastra sta sulla parete: SU, SD 150 e SD 220 lunghi 160 mm da 45 a 155 mm (SD 220 da 50), lunghi 180 mm da 45 a 195 mm, lunghi 200 mm da 45 a 215 mm; quando nessuno sta, vicino a un angolo, il supporto scorrevole SC sulla parete dietro il piede della guida con la SG lungo la parete: la flangia della SG da 2 mm oltre il bordo dell’SC fino a 70, 88, 130 e 140 mm dalla parete per SC 50, 60, 80 e 90, l’asse della guida entro il campo stampato da un’estremità dell’SC (lunghi 200 mm: 210, 213, 215 e 215 mm; lunghi 220 mm: 235, 235, 255 e 235 mm), fuori dai telai delle porte e dalle nicchie. Il progettista può scegliere l’articolo a mano (se non prende la guida: «Non conforme») o una soluzione su disegno esecutivo, SC 50 170 + SG 225 50 a misura o SN 60 65 + SN 65 200 + BRACCIO 160 190 all’angolo del vano: «Da verificare» sul disegno; nessuno adatto: «Non conforme» (si possono scegliere staffe generiche, da dimensionare a parte)</t>
        </is>
      </c>
      <c r="E86" s="10" t="inlineStr">
        <is>
          <t>catalogo staffe Panev 2026, pp. 20-62</t>
        </is>
      </c>
      <c r="F86" s="10" t="inlineStr">
        <is>
          <t>catalogo del costruttore (panev/docs/catalogo-staffe-panev-2026.pdf); le corse dell’SC lontano dalla parete lette sui disegni di montaggio (pp. 41-55)</t>
        </is>
      </c>
      <c r="G86" s="10" t="inlineStr">
        <is>
          <t>confermato</t>
        </is>
      </c>
      <c r="H86" s="10" t="inlineStr">
        <is>
          <t>staffe del catalogo per le guide del contrappeso</t>
        </is>
      </c>
      <c r="I86" s="11" t="n"/>
      <c r="J86" s="11" t="n"/>
      <c r="K86" s="11" t="n"/>
      <c r="L86" s="11" t="n"/>
      <c r="M86" s="11" t="n"/>
      <c r="N86" s="11" t="n"/>
    </row>
    <row r="87" ht="407" customHeight="1">
      <c r="A87" s="10" t="n">
        <v>85</v>
      </c>
      <c r="B87" s="10" t="inlineStr">
        <is>
          <t>Vano: ingombri tipici</t>
        </is>
      </c>
      <c r="C87" s="10" t="inlineStr">
        <is>
          <t>Staffe delle porte di piano (catalogo Panev)</t>
        </is>
      </c>
      <c r="D87" s="10" t="inlineStr">
        <is>
          <t>sotto ogni soglia di piano la coppia A + B della stessa sezione (65, 45 o 37 mm: le serie non sono intercambiabili): per default A 65 170 7 + B 65 320 (5 mm, regolazione ±8°), oppure quella scelta dal progettista; la piastra A tagliata alla profondità della soglia, 4 mm prima del suo bordo (se la piastra è più corta della soglia: da verificare); una coppia ogni 400 mm della luce, almeno tre, le estreme a 10 mm dai bordi della luce. Sopra ogni porta di piano la stessa coppia capovolta: B sulla parete sopra il vano con lo snodo in basso, la sospensione della porta appesa sotto la piattaforma di A con bulloni nei suoi fori, A tagliata come sotto la soglia; una coppia ogni 400 mm lungo la sospensione (la corsa delle ante e 30 mm per parte), almeno tre, le estreme a 10 mm dalle sue estremità; se le coppie della soglia del piano sopra arrivano alla stessa altezza, quella che cadrebbe su una di esse si sposta accanto (la faccia di B e 10 mm), dentro la sospensione. Con il telaio proprio della porta le coppie tengono il telaio, a cui sono fissate soglia e sospensione (porte.telaio). B vuole il muro dalla sommità della sospensione (230 mm sopra la luce) in su: se il vano nel muro (telaio o marmi) sale più in alto, o la coppia arriva alla soglia del piano sopra, a quel piano le coppie sopra la porta non sono poste né contate, e la verifica lo segnala come «Attenzione» (il fissaggio della sospensione va definito con il costruttore della porta)</t>
        </is>
      </c>
      <c r="E87" s="10" t="inlineStr">
        <is>
          <t>catalogo staffe Panev 2026, pp. 14-18 (coppie), p. 05 (taglio della piastra) e p. 04 (soglia o elemento portante della porta di piano)</t>
        </is>
      </c>
      <c r="F87" s="10" t="inlineStr">
        <is>
          <t>catalogo del costruttore (panev/docs/catalogo-staffe-panev-2026.pdf); il passo, il numero minimo, il montaggio capovolto sopra la porta e lo spostamento sono scelta del software (il montaggio sopra la porta va confermato con il costruttore della porta)</t>
        </is>
      </c>
      <c r="G87" s="10" t="inlineStr">
        <is>
          <t>scelta del software</t>
        </is>
      </c>
      <c r="H87" s="10" t="inlineStr">
        <is>
          <t>staffe Panev sopra le porte di piano: muro tra il vano della porta e la soglia del piano sopra</t>
        </is>
      </c>
      <c r="I87" s="11" t="n"/>
      <c r="J87" s="11" t="n"/>
      <c r="K87" s="11" t="n"/>
      <c r="L87" s="11" t="n"/>
      <c r="M87" s="11" t="n"/>
      <c r="N87" s="11" t="n"/>
    </row>
    <row r="88" ht="394" customHeight="1">
      <c r="A88" s="10" t="n">
        <v>86</v>
      </c>
      <c r="B88" s="10" t="inlineStr">
        <is>
          <t>Vano: ingombri tipici</t>
        </is>
      </c>
      <c r="C88" s="10" t="inlineStr">
        <is>
          <t>Limitatore di velocità e tenditore (pianta, locale macchina, 3D) — il disegno unico delle LK200–LK315 dà due altezze non spiegate (230 e 415 mm; un rivenditore scrive 370): è presa la maggiore. Per Bode la velocità nominale massima è nostra: la velocità di scatto massima diviso 1,15 (scatto ≥ 115 % della nominale), del GB 8 con 1,49 m/s del disegno invece dei 2,04 della brochure. Per le RQ-A e le RC Montanari 0,15–3,0 e 1,60–4,2 m/s sono i campi della famiglia: il limite di ogni taglia va letto sul manuale; fino al vano 2.24.0 il limite inferiore non era considerato e un RC si prendeva anche a 0,63 m/s. Delle basi pubblicate non sempre è detto quale lato stia nel piano della puleggia (il lato lungo è disegnato in quel piano, come nel LK200). Tenditore a leva: lungo 700 mm (quota «A» del PFB R4KE per LK200 in un listino di rivenditore, senza definizione), puleggia a 255 mm dalla cerniera e blocco di 150 × 185 mm: scelte del software; le masse di 22 e 44 kg sono quelle delle tabelle PFB (tenditori R4K e R4R per LK200, confermate dalla brochure)</t>
        </is>
      </c>
      <c r="D88" s="10" t="inlineStr">
        <is>
          <t>per velocità il più piccolo PFB che la regge: LK200 (Ø 200, fune 6) fino a 1,48 m/s, LK250 fino a 1,74, LK300 fino a 2,93, R12BF fino a 4,00; oppure il modello scelto se il suo campo comprende la velocità: PFB (LX, LK, R1, R3LR, R5, R6, R10BF), Bode (GB 7 fino a 2,98 m/s, GB 8 fino a 1,29), Dynatech (VEGA 200 da 0,10 a 2,40), Wittur (OL20 da 0,30 a 1,75, OL35 da 0,30 a 3,00, EOS da 0,15 a 2,50, OL100 da 0,51 a 10,00) o Montanari (RQ-A 200, 250 e 300 da 0,15 a 3,00, RC 200 e 300 da 1,60 a 4,20, NOR da 0,30 a 1,50 m/s, RG 200 da 0,15 a 0,30); un modello fuori dal suo campo resta quello della serie per la velocità. Con le quote dei disegni dei costruttori (altezza totale, tra parentesi l’asse dalla base): LK200, LK250, LK300 e LK315 415 (165) su base 220 × 165 (LK315 220 × 130); LX120 178 (70,5), LK120 270 (71), LX150 274 (86), LX180 322 (107), LX200 349 (110); R1 344 (190,5) su base 285 × 80; R3LR 348 (157); R5 261 (120); R6 335 (168); R10BF 488 (303) su base 460 × 196; R12BF 524 (337) su base 520 × 116; Bode GB 7 360 (205) e GB 8 315 (205); Dynatech VEGA 200 332 (199,5); Wittur e Montanari nelle proporzioni del software (Ø 200: alto 370, asse a 240). Tenditore in fossa sulla guida di cabina: a leva con 22 kg (come PFB R4K) o verticale con 44 kg (come PFB R4R)</t>
        </is>
      </c>
      <c r="E88" s="10" t="inlineStr">
        <is>
          <t>dati del fornitore del limitatore; la velocità d’intervento da tarare (almeno il 115 % della nominale e sotto il limite del paracadute di cabina): UNI EN 81-20:2020, 5.6.2.2.1.1 a) 1)–4), voce limitatore.scatto</t>
        </is>
      </c>
      <c r="F88" s="10" t="inlineStr">
        <is>
          <t>manuali d’uso PFB con i disegni quotati (download.pfb.it), brochure Bode e Wittur, manuale Dynatech VEGA e disegni Bode in copia presso un rivenditore (elevatorequipment.co.uk), letti il 2 ottobre 2026; basi delle LK da un listino di rivenditore; Montanari da estratti di ricerca del 1° ottobre 2026 (research/argano-geared/18-porte-limitatori-tenditori-tutti.md)</t>
        </is>
      </c>
      <c r="G88" s="10" t="inlineStr">
        <is>
          <t>stima</t>
        </is>
      </c>
      <c r="H88" s="10" t="inlineStr">
        <is>
          <t>—</t>
        </is>
      </c>
      <c r="I88" s="11" t="n"/>
      <c r="J88" s="11" t="n"/>
      <c r="K88" s="11" t="n"/>
      <c r="L88" s="11" t="n"/>
      <c r="M88" s="11" t="n"/>
      <c r="N88" s="11" t="n"/>
    </row>
    <row r="89" ht="368" customHeight="1">
      <c r="A89" s="10" t="n">
        <v>87</v>
      </c>
      <c r="B89" s="10" t="inlineStr">
        <is>
          <t>Vano: ingombri tipici</t>
        </is>
      </c>
      <c r="C89" s="10" t="inlineStr">
        <is>
          <t>Posizione del limitatore di velocità e della sua fune — con l’arcata a zaino, o senza una parete laterale libera, il software non mette il limitatore: la verifica della fune resta «Attenzione» senza valore e il limitatore va posizionato a mano</t>
        </is>
      </c>
      <c r="D89" s="10" t="inlineStr">
        <is>
          <t>la fune scorre a piombo su una parete laterale senza porte né contrappeso, nello spazio tra la cabina e la parete accanto alla guida di cabina: lontana almeno 50 mm dalla cabina, dalle pareti e dalla guida con la sua staffa e il montante dell’arcata (preso largo 60 mm per parte dall’asse della guida); il ramo agganciato alla cabina entro 400 mm dall’asse della guida, dove arriva la leva del paracadute. Il limitatore nel locale sta sopra la sua fune, fuori dall’ingombro dell’argano con il suo basamento, del quadro e dell’interruttore generale, dentro il locale, con accanto una superficie libera di 500 × 600 mm per la manutenzione (accanto a un lato più corto di 500 mm la superficie va oltre i suoi spigoli, entro i muri); il limitatore esistente rilevato con le funi attraverso la soletta ha il loro foro sopra l’interno del vano (a cavallo di un muro: attenzione; fuori dal vano: non passa, misura da ricontrollare). Lato, distanza dalla parete e ramo agganciato si scelgono a mano; altrimenti il software mette la fune a metà dello spazio accanto alla cabina, 145 mm dietro l’asse della guida, sull’ultima parete libera — o sull’altra parete libera quando solo lì il limitatore resta fuori dall’ingombro dell’argano nel locale (l’argano girato con il motore verso la cabina può arrivare sopra la fune)</t>
        </is>
      </c>
      <c r="E89" s="10" t="inlineStr">
        <is>
          <t>nessuna distanza della fune del limitatore nella norma (UNI EN 81-20:2020, 5.6.2.2.1); 50 mm scelta del software, come tra cabina e contrappeso in UNI EN 81-1:2008, 11.3; con la balaustra sul tetto 100 mm dentro il bordo, i 0,10 m di 5.4.7.4 d) sono rispettati; superficie libera per la manutenzione delle parti in movimento: UNI EN 81-20:2020, 5.2.6.3.2.1 b)</t>
        </is>
      </c>
      <c r="F89" s="10" t="inlineStr">
        <is>
          <t>scelta del software (50, 60 e 400 mm); UNI EN 81-20:2020, testo della norma, letto il 2026-10-06, pp. 43, 71–72, 82–83; UNI EN 81-1:2008, testo della norma, letto il 2026-10-06, p. 67</t>
        </is>
      </c>
      <c r="G89" s="10" t="inlineStr">
        <is>
          <t>scelta del software</t>
        </is>
      </c>
      <c r="H89" s="10" t="inlineStr">
        <is>
          <t>fune del limitatore lontana da cabina, pareti e guida; ramo della fune del limitatore entro la leva del paracadute; limitatore fuori dall’ingombro di argano, quadro e interruttore generale; superficie libera accanto al limitatore; sostituzione: funi del limitatore esistente attraverso la soletta sopra l’interno del vano</t>
        </is>
      </c>
      <c r="I89" s="11" t="n"/>
      <c r="J89" s="11" t="n"/>
      <c r="K89" s="11" t="n"/>
      <c r="L89" s="11" t="n"/>
      <c r="M89" s="11" t="n"/>
      <c r="N89" s="11" t="n"/>
    </row>
    <row r="90" ht="238" customHeight="1">
      <c r="A90" s="10" t="n">
        <v>88</v>
      </c>
      <c r="B90" s="10" t="inlineStr">
        <is>
          <t>Vano: ingombri tipici</t>
        </is>
      </c>
      <c r="C90" s="10" t="inlineStr">
        <is>
          <t>Pulegge del limitatore e diametro della fune — un modello con la fune più grossa del rapporto (fune «in deroga» del costruttore) non passa: si sceglie un altro modello o la fune che il rapporto ammette, salvo una deroga documentata dal certificato del costruttore. La forza all’intervento è del limitatore e la forza di presa del paracadute è del paracadute, entrambi componenti con esame di tipo: il software non le conosce e non verifica il coefficiente della fune (il carico P4 dei dati dell’impianto è quello sulla soletta, non questa forza); lo dice la relazione fra le verifiche che il software non calcola</t>
        </is>
      </c>
      <c r="D90" s="10" t="inlineStr">
        <is>
          <t>diametro primitivo delle pulegge del limitatore almeno 30 volte il diametro nominale della sua fune (dai dati del modello: diametro della puleggia e fune); dato del fornitore, da verificare: il carico minimo di rottura della fune almeno 8 volte la forza di trazione che il limitatore produce nella fune all’intervento (μ massimo 0,2 per i limitatori ad aderenza), e quella forza non sotto il doppio della forza che fa prendere il paracadute né sotto 300 N</t>
        </is>
      </c>
      <c r="E90" s="10" t="inlineStr">
        <is>
          <t>UNI EN 81-20:2020, 5.6.2.2.1.3 c); 5.6.2.2.1.3 b) e 5.6.2.2.1.1 d) (dati del fornitore)</t>
        </is>
      </c>
      <c r="F90" s="10" t="inlineStr">
        <is>
          <t>UNI EN 81-20:2020, testo della norma, letto il 2026-10-06, pp. 82–83</t>
        </is>
      </c>
      <c r="G90" s="10" t="inlineStr">
        <is>
          <t>confermato</t>
        </is>
      </c>
      <c r="H90" s="10" t="inlineStr">
        <is>
          <t>pulegge del limitatore: diametro sul diametro della fune</t>
        </is>
      </c>
      <c r="I90" s="11" t="n"/>
      <c r="J90" s="11" t="n"/>
      <c r="K90" s="11" t="n"/>
      <c r="L90" s="11" t="n"/>
      <c r="M90" s="11" t="n"/>
      <c r="N90" s="11" t="n"/>
    </row>
    <row r="91" ht="160" customHeight="1">
      <c r="A91" s="10" t="n">
        <v>89</v>
      </c>
      <c r="B91" s="10" t="inlineStr">
        <is>
          <t>Vano: ingombri tipici</t>
        </is>
      </c>
      <c r="C91" s="10" t="inlineStr">
        <is>
          <t>Velocità d’intervento del limitatore da tarare — la velocità d’intervento di un modello la tara il costruttore del limitatore: il software non la conosce e dà il campo da chiedere nell’ordine; la norma consiglia, oltre 1 m/s, di tararla il più vicino possibile al limite superiore e, con velocità basse, a quello inferiore</t>
        </is>
      </c>
      <c r="D91" s="10" t="inlineStr">
        <is>
          <t>almeno 1,15 volte la velocità nominale e sotto il limite del paracadute di cabina: 0,80 m/s con presa istantanea, 1 m/s con presa istantanea a rullo, 1,5 m/s con presa progressiva fino a una velocità nominale di 1 m/s, 1,25·v + 0,25/v oltre; il foglio 1, la relazione e la distinta dei materiali la danno per la velocità e il paracadute dei dati dell’impianto (senza paracadute indicato: progressivo); un modello del limitatore scelto a mano che non copre la velocità nominale (fuori dal campo del costruttore) non si prende e resta quello della serie per la velocità</t>
        </is>
      </c>
      <c r="E91" s="10" t="inlineStr">
        <is>
          <t>UNI EN 81-20:2020, 5.6.2.2.1.1 a) 1)–4); la velocità tarata sulla targa del limitatore: 5.6.2.2.1.8 d)</t>
        </is>
      </c>
      <c r="F91" s="10" t="inlineStr">
        <is>
          <t>UNI EN 81-20:2020, testo della norma, letto il 2026-10-06, pp. 82 e 84</t>
        </is>
      </c>
      <c r="G91" s="10" t="inlineStr">
        <is>
          <t>confermato</t>
        </is>
      </c>
      <c r="H91" s="10" t="inlineStr">
        <is>
          <t>—</t>
        </is>
      </c>
      <c r="I91" s="11" t="n"/>
      <c r="J91" s="11" t="n"/>
      <c r="K91" s="11" t="n"/>
      <c r="L91" s="11" t="n"/>
      <c r="M91" s="11" t="n"/>
      <c r="N91" s="11" t="n"/>
    </row>
    <row r="92" ht="212" customHeight="1">
      <c r="A92" s="10" t="n">
        <v>90</v>
      </c>
      <c r="B92" s="10" t="inlineStr">
        <is>
          <t>Vano: ingombri tipici</t>
        </is>
      </c>
      <c r="C92" s="10" t="inlineStr">
        <is>
          <t>Macchina in basso: limitatore di velocità nel vano — la mensola, il cavo del comando a distanza e il ripristino sono del costruttore del limitatore: da confermare sulla sua scheda</t>
        </is>
      </c>
      <c r="D92" s="10" t="inlineStr">
        <is>
          <t>con le pulegge di rinvio appese sotto la soletta il limitatore sta nel vano, su una mensola fissata alla parete laterale della sua fune, con l’asse a 420 mm sotto il soffitto, fuori dalla pianta della cabina; non è raggiungibile da fuori del vano: si ordina con l’intervento comandato a distanza via cavo da fuori del vano (dal quadro), raggiungibile per ispezione e manutenzione dal tetto di cabina, con il ritorno automatico in posizione normale quando la cabina o il contrappeso salgono e le parti elettriche ripristinabili a distanza; la fune del limitatore va dal soffitto del vano alla fossa. Con il locale delle pulegge sopra il vano il limitatore sta in quel locale. Il carico del limitatore (P4) va sulla parete della mensola</t>
        </is>
      </c>
      <c r="E92" s="10" t="inlineStr">
        <is>
          <t>UNI EN 81-20:2020, 5.6.2.2.1.4 a), b) e c) 1)–3), 5.6.2.2.1.5</t>
        </is>
      </c>
      <c r="F92" s="10" t="inlineStr">
        <is>
          <t>scelta del software (420 mm); UNI EN 81-20:2020, testo della norma, letto il 2026-10-06, p. 83</t>
        </is>
      </c>
      <c r="G92" s="10" t="inlineStr">
        <is>
          <t>scelta del software</t>
        </is>
      </c>
      <c r="H92" s="10" t="inlineStr">
        <is>
          <t>—</t>
        </is>
      </c>
      <c r="I92" s="11" t="n"/>
      <c r="J92" s="11" t="n"/>
      <c r="K92" s="11" t="n"/>
      <c r="L92" s="11" t="n"/>
      <c r="M92" s="11" t="n"/>
      <c r="N92" s="11" t="n"/>
    </row>
    <row r="93" ht="121" customHeight="1">
      <c r="A93" s="10" t="n">
        <v>91</v>
      </c>
      <c r="B93" s="10" t="inlineStr">
        <is>
          <t>Vano: ingombri tipici</t>
        </is>
      </c>
      <c r="C93" s="10" t="inlineStr">
        <is>
          <t>Staffe delle guide di cabina (generiche)</t>
        </is>
      </c>
      <c r="D93" s="10" t="inlineStr">
        <is>
          <t>una squadra alta 100 mm, larga 90 mm, spessa 8 mm, su una piastra a muro 160 × 200 × 12 mm con 2 tasselli M12; oltre 150 mm dal muro due squadre serrate da 4 bulloni M12 in asola; la guida sulla piastra con due graffe; il disegno dà il tipo, la distanza dal muro al piede della guida e le quote delle staffe; la reazione di ogni staffa per la verifica degli ancoraggi è la spinta sulla guida del foglio 1</t>
        </is>
      </c>
      <c r="E93" s="10" t="inlineStr">
        <is>
          <t>—</t>
        </is>
      </c>
      <c r="F93" s="10" t="inlineStr">
        <is>
          <t>scelta del software, da dimensionare a parte con il fornitore e con la verifica degli ancoraggi</t>
        </is>
      </c>
      <c r="G93" s="10" t="inlineStr">
        <is>
          <t>scelta del software</t>
        </is>
      </c>
      <c r="H93" s="10" t="inlineStr">
        <is>
          <t>—</t>
        </is>
      </c>
      <c r="I93" s="11" t="n"/>
      <c r="J93" s="11" t="n"/>
      <c r="K93" s="11" t="n"/>
      <c r="L93" s="11" t="n"/>
      <c r="M93" s="11" t="n"/>
      <c r="N93" s="11" t="n"/>
    </row>
    <row r="94" ht="82" customHeight="1">
      <c r="A94" s="10" t="n">
        <v>92</v>
      </c>
      <c r="B94" s="10" t="inlineStr">
        <is>
          <t>Vano: sezione, spazi di rifugio e ammortizzatori</t>
        </is>
      </c>
      <c r="C94" s="10" t="inlineStr">
        <is>
          <t>Spazi di rifugio sul tetto di cabina e in fossa</t>
        </is>
      </c>
      <c r="D94" s="10" t="inlineStr">
        <is>
          <t>tipo 1 (in piedi) 400 × 500 mm in pianta, alto 2000 mm; tipo 2 (accucciato) 500 × 700 mm, alto 1000 mm; tipo 3 (disteso, solo in fossa) 700 × 1000 mm, alto 500 mm; in testata con la cabina nella posizione più alta, in fossa con la cabina sugli ammortizzatori compressi</t>
        </is>
      </c>
      <c r="E94" s="10" t="inlineStr">
        <is>
          <t>UNI EN 81-20:2020, 5.2.5.7.1 (Prospetto 3) e 5.2.5.8.1 (Prospetto 4)</t>
        </is>
      </c>
      <c r="F94" s="10" t="inlineStr">
        <is>
          <t>UNI EN 81-20:2020, testo della norma, letto il 2026-10-06, pp. 37–40</t>
        </is>
      </c>
      <c r="G94" s="10" t="inlineStr">
        <is>
          <t>confermato</t>
        </is>
      </c>
      <c r="H94" s="10" t="inlineStr">
        <is>
          <t>spazio di rifugio in testata; spazio di rifugio in fossa</t>
        </is>
      </c>
      <c r="I94" s="11" t="n"/>
      <c r="J94" s="11" t="n"/>
      <c r="K94" s="11" t="n"/>
      <c r="L94" s="11" t="n"/>
      <c r="M94" s="11" t="n"/>
      <c r="N94" s="11" t="n"/>
    </row>
    <row r="95" ht="95" customHeight="1">
      <c r="A95" s="10" t="n">
        <v>93</v>
      </c>
      <c r="B95" s="10" t="inlineStr">
        <is>
          <t>Vano: sezione, spazi di rifugio e ammortizzatori</t>
        </is>
      </c>
      <c r="C95" s="10" t="inlineStr">
        <is>
          <t>Posizione più alta della cabina — vale per gli ascensori a frizione; le riduzioni di 5.2.5.6.1.2 (rallentamento controllato) e 5.2.5.6.1.3 (puleggia tenditrice con antirimbalzo) non sono usate: la verifica è più severa</t>
        </is>
      </c>
      <c r="D95" s="10" t="inlineStr">
        <is>
          <t>contrappeso sugli ammortizzatori completamente compressi, più il salto 0,035·v² m (v velocità nominale)</t>
        </is>
      </c>
      <c r="E95" s="10" t="inlineStr">
        <is>
          <t>UNI EN 81-20:2020, 5.2.5.6.1.1 (Prospetto 2)</t>
        </is>
      </c>
      <c r="F95" s="10" t="inlineStr">
        <is>
          <t>UNI EN 81-20:2020, testo della norma, letto il 2026-10-06, p. 36</t>
        </is>
      </c>
      <c r="G95" s="10" t="inlineStr">
        <is>
          <t>confermato</t>
        </is>
      </c>
      <c r="H95" s="10" t="inlineStr">
        <is>
          <t>spazio di rifugio in testata; distanze libere dal soffitto</t>
        </is>
      </c>
      <c r="I95" s="11" t="n"/>
      <c r="J95" s="11" t="n"/>
      <c r="K95" s="11" t="n"/>
      <c r="L95" s="11" t="n"/>
      <c r="M95" s="11" t="n"/>
      <c r="N95" s="11" t="n"/>
    </row>
    <row r="96" ht="147" customHeight="1">
      <c r="A96" s="10" t="n">
        <v>94</v>
      </c>
      <c r="B96" s="10" t="inlineStr">
        <is>
          <t>Vano: sezione, spazi di rifugio e ammortizzatori</t>
        </is>
      </c>
      <c r="C96" s="10" t="inlineStr">
        <is>
          <t>Distanze libere dal soffitto con la cabina nella posizione più alta — I valori 500, 100 e 300 mm sono confermati. Il software dà alla traversa dell’arcata i 100 mm di b) e avvisa sotto i 500 mm di a) (voce spazi.testata.traversa). Con il soffitto piano, 300 mm sopra il corrimano danno anche i 500 mm in obliquo oltre i 400 mm (c) 2)); sotto pulegge o travi appese no.</t>
        </is>
      </c>
      <c r="D96" s="10" t="inlineStr">
        <is>
          <t>≥ 500 mm sopra le apparecchiature sul tetto di cabina (operatore); ≥ 100 mm sopra pattini, attacchi delle funi e traversa dell’arcata; ≥ 300 mm sopra il corrimano della balaustra</t>
        </is>
      </c>
      <c r="E96" s="10" t="inlineStr">
        <is>
          <t>UNI EN 81-20:2020, 5.2.5.7.2 a)–c)</t>
        </is>
      </c>
      <c r="F96" s="10" t="inlineStr">
        <is>
          <t>UNI EN 81-20:2020, testo della norma, letto il 2026-10-06, p. 38</t>
        </is>
      </c>
      <c r="G96" s="10" t="inlineStr">
        <is>
          <t>da verificare</t>
        </is>
      </c>
      <c r="H96" s="10" t="inlineStr">
        <is>
          <t>distanze libere dal soffitto</t>
        </is>
      </c>
      <c r="I96" s="11" t="n"/>
      <c r="J96" s="11" t="n"/>
      <c r="K96" s="11" t="n"/>
      <c r="L96" s="11" t="n"/>
      <c r="M96" s="11" t="n"/>
      <c r="N96" s="11" t="n"/>
    </row>
    <row r="97" ht="82" customHeight="1">
      <c r="A97" s="10" t="n">
        <v>95</v>
      </c>
      <c r="B97" s="10" t="inlineStr">
        <is>
          <t>Vano: sezione, spazi di rifugio e ammortizzatori</t>
        </is>
      </c>
      <c r="C97" s="10" t="inlineStr">
        <is>
          <t>Traversa dell’arcata sotto il soffitto — La b) nomina la traversa delle porte e le parti delle porte a scorrimento verticale; quella dell’arcata non è nominata. Da concordare con l’organismo.</t>
        </is>
      </c>
      <c r="D97" s="10" t="inlineStr">
        <is>
          <t>≥ 100 mm come parte di b); sotto 500 mm «Attenzione»: se l’organismo la considera un’apparecchiatura vale a) (500 mm)</t>
        </is>
      </c>
      <c r="E97" s="10" t="inlineStr">
        <is>
          <t>UNI EN 81-20:2020, 5.2.5.7.2 a)–b); UNI EN 81-1:2008, 5.7.1.1 c)</t>
        </is>
      </c>
      <c r="F97" s="10" t="inlineStr">
        <is>
          <t>UNI EN 81-20:2020, testo della norma, letto il 2026-10-06, p. 38; UNI EN 81-1:2008, testo della norma, letto il 2026-10-06, p. 26</t>
        </is>
      </c>
      <c r="G97" s="10" t="inlineStr">
        <is>
          <t>da verificare</t>
        </is>
      </c>
      <c r="H97" s="10" t="inlineStr">
        <is>
          <t>traversa dell’arcata sotto il soffitto</t>
        </is>
      </c>
      <c r="I97" s="11" t="n"/>
      <c r="J97" s="11" t="n"/>
      <c r="K97" s="11" t="n"/>
      <c r="L97" s="11" t="n"/>
      <c r="M97" s="11" t="n"/>
      <c r="N97" s="11" t="n"/>
    </row>
    <row r="98" ht="108" customHeight="1">
      <c r="A98" s="10" t="n">
        <v>96</v>
      </c>
      <c r="B98" s="10" t="inlineStr">
        <is>
          <t>Vano: sezione, spazi di rifugio e ammortizzatori</t>
        </is>
      </c>
      <c r="C98" s="10" t="inlineStr">
        <is>
          <t>Parte più alta della cabina sotto ciò che pende sopra — fino alla versione 1.17.0 del motore del progetto la puleggia di cabina era verificata a 100 mm; i 100 mm della traversa sono la stessa lettura di spazi.testata.parti</t>
        </is>
      </c>
      <c r="D98" s="10" t="inlineStr">
        <is>
          <t>con la cabina nella posizione più alta: a 2:1 la puleggia di cabina (Dp + 30 mm sopra la traversa) è un’apparecchiatura sul tetto, distanza libera ≥ 500 mm dal soffitto o dalle pulegge appese; a 1:1 con la macchina in basso la traversa sotto le pulegge appese alla soletta (asse a Dp/2 + 120 mm sotto il soffitto), distanza libera ≥ 100 mm, quella della traversa</t>
        </is>
      </c>
      <c r="E98" s="10" t="inlineStr">
        <is>
          <t>UNI EN 81-20:2020, 5.2.5.7.2 a) e b)</t>
        </is>
      </c>
      <c r="F98" s="10" t="inlineStr">
        <is>
          <t>UNI EN 81-20:2020, testo della norma, letto il 2026-10-06, p. 38</t>
        </is>
      </c>
      <c r="G98" s="10" t="inlineStr">
        <is>
          <t>confermato</t>
        </is>
      </c>
      <c r="H98" s="10" t="inlineStr">
        <is>
          <t>parte più alta della cabina sotto ciò che pende sopra; parte più alta della cabina sotto le pulegge appese alla soletta</t>
        </is>
      </c>
      <c r="I98" s="11" t="n"/>
      <c r="J98" s="11" t="n"/>
      <c r="K98" s="11" t="n"/>
      <c r="L98" s="11" t="n"/>
      <c r="M98" s="11" t="n"/>
      <c r="N98" s="11" t="n"/>
    </row>
    <row r="99" ht="160" customHeight="1">
      <c r="A99" s="10" t="n">
        <v>97</v>
      </c>
      <c r="B99" s="10" t="inlineStr">
        <is>
          <t>Vano: sezione, spazi di rifugio e ammortizzatori</t>
        </is>
      </c>
      <c r="C99" s="10" t="inlineStr">
        <is>
          <t>Spazio di rifugio sul tetto sotto le parti appese alla soletta — pianta delle pulegge appese: Dp lungo il loro piano per la larghezza delle guance del telaio (come il 3D); con un riparo fisso sul tetto sotto le pulegge l’area non è più un posto in piedi: è una scelta del progettista. Fino alla versione 1.28.0 del motore del progetto il rifugio e la sua altezza non vedevano le pulegge appese</t>
        </is>
      </c>
      <c r="D99" s="10" t="inlineStr">
        <is>
          <t>con la cabina nella posizione più alta, ciò che pende sotto la soletta (le pulegge di rinvio appese della macchina in basso con il loro telaio, il tratto orizzontale delle funi fra due rinvii a 90°, gli attacchi delle funi della taglia 2:1) più in basso dell’altezza del rifugio sopra il tetto toglie la sua pianta dalle parti libere del tetto, come gli operatori: il rifugio deve stare tutto fuori; l’altezza libera del rifugio si misura fino alla parte più bassa sopra ogni parte libera del tetto, dove si sta in piedi</t>
        </is>
      </c>
      <c r="E99" s="10" t="inlineStr">
        <is>
          <t>UNI EN 81-20:2020, 5.2.5.7.1 (prospetto 3), 5.2.5.7.2 e 5.2.5.7.3</t>
        </is>
      </c>
      <c r="F99" s="10" t="inlineStr">
        <is>
          <t>UNI EN 81-20:2020, testo della norma, letto il 2026-10-06, pp. 37–39</t>
        </is>
      </c>
      <c r="G99" s="10" t="inlineStr">
        <is>
          <t>confermato</t>
        </is>
      </c>
      <c r="H99" s="10" t="inlineStr">
        <is>
          <t>spazio di rifugio sul tetto di cabina: altezza libera fino a ciò che pende sotto la soletta; spazio di rifugio sul tetto di cabina fuori da ciò che pende sotto la soletta</t>
        </is>
      </c>
      <c r="I99" s="11" t="n"/>
      <c r="J99" s="11" t="n"/>
      <c r="K99" s="11" t="n"/>
      <c r="L99" s="11" t="n"/>
      <c r="M99" s="11" t="n"/>
      <c r="N99" s="11" t="n"/>
    </row>
    <row r="100" ht="134" customHeight="1">
      <c r="A100" s="10" t="n">
        <v>98</v>
      </c>
      <c r="B100" s="10" t="inlineStr">
        <is>
          <t>Vano: sezione, spazi di rifugio e ammortizzatori</t>
        </is>
      </c>
      <c r="C100" s="10" t="inlineStr">
        <is>
          <t>Ammortizzatori e spazio di rifugio in fossa, in pianta</t>
        </is>
      </c>
      <c r="D100" s="10" t="inlineStr">
        <is>
          <t>lo spazio di rifugio in fossa resta libero dagli ammortizzatori di cabina: il software lo mette sotto il centro della cabina o, se un piatto vi entra, nel posto libero più vicino sotto l’interno della cabina; due o più ammortizzatori di cabina a 160 mm dai fianchi della piattaforma, più in fuori finché i piatti escono dalla pianta del rifugio, sempre sotto la piattaforma; la verifica vale anche per quelli messi dal software (margine ≥ 0)</t>
        </is>
      </c>
      <c r="E100" s="10" t="inlineStr">
        <is>
          <t>UNI EN 81-20:2020, 5.2.5.8.1</t>
        </is>
      </c>
      <c r="F100" s="10" t="inlineStr">
        <is>
          <t>scelta del software sul modello della fossa (posizioni tipiche, da confermare con i dati del fornitore degli ammortizzatori)</t>
        </is>
      </c>
      <c r="G100" s="10" t="inlineStr">
        <is>
          <t>scelta del software</t>
        </is>
      </c>
      <c r="H100" s="10" t="inlineStr">
        <is>
          <t>ammortizzatori fissati a mano: sotto cabina e contrappeso, fuori dal rifugio</t>
        </is>
      </c>
      <c r="I100" s="11" t="n"/>
      <c r="J100" s="11" t="n"/>
      <c r="K100" s="11" t="n"/>
      <c r="L100" s="11" t="n"/>
      <c r="M100" s="11" t="n"/>
      <c r="N100" s="11" t="n"/>
    </row>
    <row r="101" ht="82" customHeight="1">
      <c r="A101" s="10" t="n">
        <v>99</v>
      </c>
      <c r="B101" s="10" t="inlineStr">
        <is>
          <t>Vano: sezione, spazi di rifugio e ammortizzatori</t>
        </is>
      </c>
      <c r="C101" s="10" t="inlineStr">
        <is>
          <t>Distanze in fossa con la cabina sugli ammortizzatori compressi</t>
        </is>
      </c>
      <c r="D101" s="10" t="inlineStr">
        <is>
          <t>≥ 500 mm dal pavimento della fossa alle parti più basse della cabina; grembiule sotto la soglia di cabina: tratto verticale ≥ 750 mm, poi uno smusso a ≥ 60° sull’orizzontale con proiezione orizzontale ≥ 20 mm (circa 35 mm più in basso), con ≥ 100 mm liberi dal pavimento della fossa</t>
        </is>
      </c>
      <c r="E101" s="10" t="inlineStr">
        <is>
          <t>UNI EN 81-20:2020, 5.2.5.8.2 a) e 5.4.5.1–5.4.5.2</t>
        </is>
      </c>
      <c r="F101" s="10" t="inlineStr">
        <is>
          <t>UNI EN 81-20:2020, testo della norma, letto il 2026-10-06, pp. 40–41, 69</t>
        </is>
      </c>
      <c r="G101" s="10" t="inlineStr">
        <is>
          <t>confermato</t>
        </is>
      </c>
      <c r="H101" s="10" t="inlineStr">
        <is>
          <t>spazio di rifugio in fossa; grembiule sugli ammortizzatori compressi</t>
        </is>
      </c>
      <c r="I101" s="11" t="n"/>
      <c r="J101" s="11" t="n"/>
      <c r="K101" s="11" t="n"/>
      <c r="L101" s="11" t="n"/>
      <c r="M101" s="11" t="n"/>
      <c r="N101" s="11" t="n"/>
    </row>
    <row r="102" ht="108" customHeight="1">
      <c r="A102" s="10" t="n">
        <v>100</v>
      </c>
      <c r="B102" s="10" t="inlineStr">
        <is>
          <t>Vano: sezione, spazi di rifugio e ammortizzatori</t>
        </is>
      </c>
      <c r="C102" s="10" t="inlineStr">
        <is>
          <t>Balaustra sul tetto di cabina — fino alla versione 2.12.0 del motore del vano il software misurava i 500 mm dal bordo del tetto; la norma vuole la balaustra entro 150 mm dal bordo: se è più interna, la distanza cresce e può servire l’altezza maggiore</t>
        </is>
      </c>
      <c r="D102" s="10" t="inlineStr">
        <is>
          <t>richiesta se dal bordo esterno del tetto alla parete ci sono più di 300 mm; alta 700 mm se dal bordo interno del corrimano alla parete ci sono fino a 500 mm, 1100 mm oltre; il corrimano (30 mm) con la faccia esterna a 100 mm dal bordo del tetto, come nel 3D</t>
        </is>
      </c>
      <c r="E102" s="10" t="inlineStr">
        <is>
          <t>UNI EN 81-20:2020, 5.4.7.2 b) e 5.4.7.4 b)–c)</t>
        </is>
      </c>
      <c r="F102" s="10" t="inlineStr">
        <is>
          <t>UNI EN 81-20:2020, testo della norma, letto il 2026-10-06, pp. 70–72</t>
        </is>
      </c>
      <c r="G102" s="10" t="inlineStr">
        <is>
          <t>confermato</t>
        </is>
      </c>
      <c r="H102" s="10" t="inlineStr">
        <is>
          <t>balaustra sul tetto di cabina</t>
        </is>
      </c>
      <c r="I102" s="11" t="n"/>
      <c r="J102" s="11" t="n"/>
      <c r="K102" s="11" t="n"/>
      <c r="L102" s="11" t="n"/>
      <c r="M102" s="11" t="n"/>
      <c r="N102" s="11" t="n"/>
    </row>
    <row r="103" ht="121" customHeight="1">
      <c r="A103" s="10" t="n">
        <v>101</v>
      </c>
      <c r="B103" s="10" t="inlineStr">
        <is>
          <t>Vano: sezione, spazi di rifugio e ammortizzatori</t>
        </is>
      </c>
      <c r="C103" s="10" t="inlineStr">
        <is>
          <t>Spazio di rifugio e posti in piedi sul tetto di cabina — L’operatore delle porte sul tetto è profondo meno di 250 mm (cataloghi): non è un posto in piedi e conta come apparecchiatura (500 mm, h_clear). La UNI EN 81-1:2008 (8.13.2) chiedeva un’area ≥ 0,12 m² con il lato minore ≥ 0,25 m.</t>
        </is>
      </c>
      <c r="D103" s="10" t="inlineStr">
        <is>
          <t>sul tetto c’è posto per la pianta del rifugio scelto (tipo 1: 400 × 500 mm; tipo 2: 500 × 700 mm), in un verso o nell’altro; ogni area continua ≥ 0,12 m² con il lato minore oltre 250 mm (anche su un apparecchio) è un posto in piedi e sopra di essa serve l’altezza del rifugio (h_refuge per il tetto); l’area disegnata (400 × 300 mm) indica dove stare</t>
        </is>
      </c>
      <c r="E103" s="10" t="inlineStr">
        <is>
          <t>UNI EN 81-20:2020, 5.2.5.7.1 (prospetto 3) e 5.2.5.7.3; UNI EN 81-1:2008, 8.13.2</t>
        </is>
      </c>
      <c r="F103" s="10" t="inlineStr">
        <is>
          <t>UNI EN 81-20:2020, testo della norma, letto il 2026-10-06, pp. 38–39; UNI EN 81-1:2008, testo della norma, letto il 2026-10-06, p. 52</t>
        </is>
      </c>
      <c r="G103" s="10" t="inlineStr">
        <is>
          <t>confermato</t>
        </is>
      </c>
      <c r="H103" s="10" t="inlineStr">
        <is>
          <t>spazio di rifugio sul tetto di cabina; spazio di rifugio in testata</t>
        </is>
      </c>
      <c r="I103" s="11" t="n"/>
      <c r="J103" s="11" t="n"/>
      <c r="K103" s="11" t="n"/>
      <c r="L103" s="11" t="n"/>
      <c r="M103" s="11" t="n"/>
      <c r="N103" s="11" t="n"/>
    </row>
    <row r="104" ht="134" customHeight="1">
      <c r="A104" s="10" t="n">
        <v>102</v>
      </c>
      <c r="B104" s="10" t="inlineStr">
        <is>
          <t>Vano: sezione, spazi di rifugio e ammortizzatori</t>
        </is>
      </c>
      <c r="C104" s="10" t="inlineStr">
        <is>
          <t>Spazio di rifugio sul tetto: traversa dell’arcata e operatori delle porte — fino alla versione 2.17.0 del motore del vano la verifica misurava il rifugio sull’intero tetto e il disegno lo metteva sopra la traversa; non contati: la puleggia di cabina della taglia 2:1 (verifica della testata del progetto) e il corrimano della balaustra</t>
        </is>
      </c>
      <c r="D104" s="10" t="inlineStr">
        <is>
          <t>la traversa dell’arcata centrale attraversa il tetto sull’asse delle guide, profonda 210 mm (105 mm per parte) e alta 170 mm sotto la sommità dell’arcata: dove il suo lato inferiore sta sopra il tetto meno dell’altezza del rifugio, la pianta del rifugio sta tutta davanti o tutta dietro la traversa; l’operatore di ogni porta di cabina occupa 150 mm del tetto dal lato del suo accesso; la verifica dà il margine nel posto migliore e il disegno vi mette il rifugio</t>
        </is>
      </c>
      <c r="E104" s="10" t="inlineStr">
        <is>
          <t>UNI EN 81-20:2020, 5.2.5.7.1 (prospetto 3)</t>
        </is>
      </c>
      <c r="F104" s="10" t="inlineStr">
        <is>
          <t>misure dell’arcata e dell’operatore del disegno del software (tipiche, da confermare con il fornitore dell’arcata e delle porte)</t>
        </is>
      </c>
      <c r="G104" s="10" t="inlineStr">
        <is>
          <t>stima</t>
        </is>
      </c>
      <c r="H104" s="10" t="inlineStr">
        <is>
          <t>spazio di rifugio sul tetto di cabina</t>
        </is>
      </c>
      <c r="I104" s="11" t="n"/>
      <c r="J104" s="11" t="n"/>
      <c r="K104" s="11" t="n"/>
      <c r="L104" s="11" t="n"/>
      <c r="M104" s="11" t="n"/>
      <c r="N104" s="11" t="n"/>
    </row>
    <row r="105" ht="212" customHeight="1">
      <c r="A105" s="10" t="n">
        <v>103</v>
      </c>
      <c r="B105" s="10" t="inlineStr">
        <is>
          <t>Vano: sezione, spazi di rifugio e ammortizzatori</t>
        </is>
      </c>
      <c r="C105" s="10" t="inlineStr">
        <is>
          <t>Altezza libera degli accessi e della cabina — negli impianti esistenti (DPR 1497/1963, artt. 24, 27 e 29, non riletto) le porte possono essere alte 1,90 m e la cabina 2,00 m; con la sola sostituzione della macchina le altezze restano (parti esistenti); la UNI 10411-1:2024 ammette porte di piano nuove non più basse delle esistenti (19.1), una cabina nuova sotto 2 m se non più bassa dell’esistente e mai sotto 1,90 m (22 m)) e accessi di cabina mai sotto 1,80 m (22 n)), con avvertimenti: il software non conosce le esistenti e segnala ogni porta sotto 2000 mm</t>
        </is>
      </c>
      <c r="D105" s="10" t="inlineStr">
        <is>
          <t>luce netta in altezza delle porte di piano e di cabina ≥ 2000 mm; altezza libera interna della cabina ≥ 2000 mm</t>
        </is>
      </c>
      <c r="E105" s="10" t="inlineStr">
        <is>
          <t>UNI EN 81-20:2020, 5.3.2.1 e 5.4.1</t>
        </is>
      </c>
      <c r="F105" s="10" t="inlineStr">
        <is>
          <t>UNI EN 81-20:2020, testo della norma, letto il 2026-10-06, pp. 49, 63; 2 m anche in DM 587/1987 (UNI EN 81-1), 7.3.1, 8.1.1 e 8.1.2</t>
        </is>
      </c>
      <c r="G105" s="10" t="inlineStr">
        <is>
          <t>confermato</t>
        </is>
      </c>
      <c r="H105" s="10" t="inlineStr">
        <is>
          <t>altezza libera degli accessi; altezza libera interna della cabina</t>
        </is>
      </c>
      <c r="I105" s="11" t="n"/>
      <c r="J105" s="11" t="n"/>
      <c r="K105" s="11" t="n"/>
      <c r="L105" s="11" t="n"/>
      <c r="M105" s="11" t="n"/>
      <c r="N105" s="11" t="n"/>
    </row>
    <row r="106" ht="160" customHeight="1">
      <c r="A106" s="10" t="n">
        <v>104</v>
      </c>
      <c r="B106" s="10" t="inlineStr">
        <is>
          <t>Vano: sezione, spazi di rifugio e ammortizzatori</t>
        </is>
      </c>
      <c r="C106" s="10" t="inlineStr">
        <is>
          <t>Corsa guidata in testata (contrappeso e cabina)</t>
        </is>
      </c>
      <c r="D106" s="10" t="inlineStr">
        <is>
          <t>con la cabina sugli ammortizzatori completamente compressi le guide del contrappeso lo guidano ancora per almeno 0,1 + 0,035·v² m (v velocità nominale): dalla sommità del contrappeso, salito della corsa sotto la cabina (extracorsa e corsa degli ammortizzatori), alla sommità delle guide, che il software pone 50 mm sotto la soletta (voce foglio.stime); la cabina nella sua posizione più alta (salto compreso) ha ancora almeno 0,1 m di guida sopra la sommità dell’arcata, dove il software mette i pattini superiori (avviso: l’altezza reale dei pattini è del fornitore)</t>
        </is>
      </c>
      <c r="E106" s="10" t="inlineStr">
        <is>
          <t>UNI EN 81-20:2020, 5.2.5.6.2 e 5.2.5.6.1.1 (Prospetto 2: cabina sugli ammortizzatori compressi più 0,035·v²); stesso valore in UNI EN 81-1 (1999, 2008), 5.7.1.2</t>
        </is>
      </c>
      <c r="F106" s="10" t="inlineStr">
        <is>
          <t>UNI EN 81-20:2020, testo della norma, letto il 2026-10-06, p. 36; UNI EN 81-1:2008, testo della norma, letto il 2026-10-06, p. 27</t>
        </is>
      </c>
      <c r="G106" s="10" t="inlineStr">
        <is>
          <t>confermato</t>
        </is>
      </c>
      <c r="H106" s="10" t="inlineStr">
        <is>
          <t>corsa guidata del contrappeso in testata; corsa guidata della cabina in testata</t>
        </is>
      </c>
      <c r="I106" s="11" t="n"/>
      <c r="J106" s="11" t="n"/>
      <c r="K106" s="11" t="n"/>
      <c r="L106" s="11" t="n"/>
      <c r="M106" s="11" t="n"/>
      <c r="N106" s="11" t="n"/>
    </row>
    <row r="107" ht="82" customHeight="1">
      <c r="A107" s="10" t="n">
        <v>105</v>
      </c>
      <c r="B107" s="10" t="inlineStr">
        <is>
          <t>Vano: sezione, spazi di rifugio e ammortizzatori</t>
        </is>
      </c>
      <c r="C107" s="10" t="inlineStr">
        <is>
          <t>Schermo del contrappeso in fossa — bordo inferiore, larghezza e spazio tra le guide e la parete (5.2.5.5.1 c)–e)): voce contrappeso.schermo.pianta; fino alla versione 2.22.0 del motore del vano non erano verificati</t>
        </is>
      </c>
      <c r="D107" s="10" t="inlineStr">
        <is>
          <t>dal punto più basso del contrappeso sugli ammortizzatori compressi fino ad almeno 2000 mm sopra il pavimento della fossa (altezza dello schermo modificabile sul progetto, mai sotto questo valore)</t>
        </is>
      </c>
      <c r="E107" s="10" t="inlineStr">
        <is>
          <t>UNI EN 81-20:2020, 5.2.5.5.1 b)</t>
        </is>
      </c>
      <c r="F107" s="10" t="inlineStr">
        <is>
          <t>UNI EN 81-20:2020, testo della norma, letto il 2026-10-06, p. 35</t>
        </is>
      </c>
      <c r="G107" s="10" t="inlineStr">
        <is>
          <t>confermato</t>
        </is>
      </c>
      <c r="H107" s="10" t="inlineStr">
        <is>
          <t>protezione del contrappeso in fossa</t>
        </is>
      </c>
      <c r="I107" s="11" t="n"/>
      <c r="J107" s="11" t="n"/>
      <c r="K107" s="11" t="n"/>
      <c r="L107" s="11" t="n"/>
      <c r="M107" s="11" t="n"/>
      <c r="N107" s="11" t="n"/>
    </row>
    <row r="108" ht="56" customHeight="1">
      <c r="A108" s="10" t="n">
        <v>106</v>
      </c>
      <c r="B108" s="10" t="inlineStr">
        <is>
          <t>Vano: sezione, spazi di rifugio e ammortizzatori</t>
        </is>
      </c>
      <c r="C108" s="10" t="inlineStr">
        <is>
          <t>Ammortizzatori ad accumulo di energia lineari (molle)</t>
        </is>
      </c>
      <c r="D108" s="10" t="inlineStr">
        <is>
          <t>ammessi fino a 1 m/s; corsa ≥ 0,135·v² m e comunque ≥ 65 mm</t>
        </is>
      </c>
      <c r="E108" s="10" t="inlineStr">
        <is>
          <t>UNI EN 81-20:2020, 5.8.1.5 (fino a 1 m/s) e 5.8.2.1.1.1 (corsa)</t>
        </is>
      </c>
      <c r="F108" s="10" t="inlineStr">
        <is>
          <t>UNI EN 81-20:2020, testo della norma, letto il 2026-10-06, p. 98</t>
        </is>
      </c>
      <c r="G108" s="10" t="inlineStr">
        <is>
          <t>confermato</t>
        </is>
      </c>
      <c r="H108" s="10" t="inlineStr">
        <is>
          <t>tipo di ammortizzatori per la velocità; corsa degli ammortizzatori di cabina; corsa dell’ammortizzatore del contrappeso</t>
        </is>
      </c>
      <c r="I108" s="11" t="n"/>
      <c r="J108" s="11" t="n"/>
      <c r="K108" s="11" t="n"/>
      <c r="L108" s="11" t="n"/>
      <c r="M108" s="11" t="n"/>
      <c r="N108" s="11" t="n"/>
    </row>
    <row r="109" ht="82" customHeight="1">
      <c r="A109" s="10" t="n">
        <v>107</v>
      </c>
      <c r="B109" s="10" t="inlineStr">
        <is>
          <t>Vano: sezione, spazi di rifugio e ammortizzatori</t>
        </is>
      </c>
      <c r="C109" s="10" t="inlineStr">
        <is>
          <t>Extracorsa della cabina e del contrappeso</t>
        </is>
      </c>
      <c r="D109" s="10" t="inlineStr">
        <is>
          <t>dalla fermata estrema agli ammortizzatori ≥ 0 per la cabina e per il contrappeso, con ogni tipo di ammortizzatore: la norma non dà un’extracorsa minima in metri, l’interruttore di extracorsa interviene prima che la cabina o il contrappeso tocchino gli ammortizzatori</t>
        </is>
      </c>
      <c r="E109" s="10" t="inlineStr">
        <is>
          <t>UNI EN 81-20:2020, 5.12.2.1 (interruttori di extracorsa); nessuna extracorsa minima in metri</t>
        </is>
      </c>
      <c r="F109" s="10" t="inlineStr">
        <is>
          <t>UNI EN 81-20:2020, testo della norma, letto il 2026-10-06, p. 131</t>
        </is>
      </c>
      <c r="G109" s="10" t="inlineStr">
        <is>
          <t>confermato</t>
        </is>
      </c>
      <c r="H109" s="10" t="inlineStr">
        <is>
          <t>extracorsa di cabina e contrappeso</t>
        </is>
      </c>
      <c r="I109" s="11" t="n"/>
      <c r="J109" s="11" t="n"/>
      <c r="K109" s="11" t="n"/>
      <c r="L109" s="11" t="n"/>
      <c r="M109" s="11" t="n"/>
      <c r="N109" s="11" t="n"/>
    </row>
    <row r="110" ht="121" customHeight="1">
      <c r="A110" s="10" t="n">
        <v>108</v>
      </c>
      <c r="B110" s="10" t="inlineStr">
        <is>
          <t>Vano: sezione, spazi di rifugio e ammortizzatori</t>
        </is>
      </c>
      <c r="C110" s="10" t="inlineStr">
        <is>
          <t>Ammortizzatori ad accumulo di energia non lineari (tamponi in poliuretano) — il tampone tipico alto 80 mm è un dato di catalogo, non della norma: va sostituito con quello montato</t>
        </is>
      </c>
      <c r="D110" s="10" t="inlineStr">
        <is>
          <t>ammessi fino a 1 m/s come le molle; nessuna corsa minima da formula: il campo di masse del certificato di esame di tipo per la velocità deve comprendere, per ogni tampone, la cabina vuota e a pieno carico (o il contrappeso); «completamente compresso» vuol dire compresso del 90 % dell’altezza, quindi la corsa è 0,9·H negli spazi in fossa e in testata; tampone tipico alti 80 mm (P+S Diepocell D, Ø da 80 a 220 mm; ACLA AUTAN XL)</t>
        </is>
      </c>
      <c r="E110" s="10" t="inlineStr">
        <is>
          <t>UNI EN 81-20:2020, 5.8.1.5, 5.8.1.7, 5.8.2.1.2.1 e 5.8.2.1.2.2 (compresso al 90 %); UNI EN 81-50:2020, 5.5.4 (esame di tipo)</t>
        </is>
      </c>
      <c r="F110" s="10" t="inlineStr">
        <is>
          <t>UNI EN 81-20:2020, testo della norma, letto il 2026-10-06, pp. 98–99; UNI EN 81-50:2020, testo della norma, letto il 2026-10-06, p. 24; il tampone tipico dai cataloghi P+S Diepocell (wwlift.de) e ACLA AUTAN XL (acla.de), estratti di ricerca del 1° ottobre 2026</t>
        </is>
      </c>
      <c r="G110" s="10" t="inlineStr">
        <is>
          <t>confermato</t>
        </is>
      </c>
      <c r="H110" s="10" t="inlineStr">
        <is>
          <t>tipo di ammortizzatori per la velocità; corsa degli ammortizzatori di cabina; corsa dell’ammortizzatore del contrappeso</t>
        </is>
      </c>
      <c r="I110" s="11" t="n"/>
      <c r="J110" s="11" t="n"/>
      <c r="K110" s="11" t="n"/>
      <c r="L110" s="11" t="n"/>
      <c r="M110" s="11" t="n"/>
      <c r="N110" s="11" t="n"/>
    </row>
    <row r="111" ht="173" customHeight="1">
      <c r="A111" s="10" t="n">
        <v>109</v>
      </c>
      <c r="B111" s="10" t="inlineStr">
        <is>
          <t>Vano: sezione, spazi di rifugio e ammortizzatori</t>
        </is>
      </c>
      <c r="C111" s="10" t="inlineStr">
        <is>
          <t>Ammortizzatori a dissipazione di energia (idraulici) — gli ammortizzatori Oleo sono dati di catalogo, non della norma: vanno sostituiti con quelli montati. Fino al vano 2.24.0 senza tipo scelto restavano le molle anche oltre 1 m/s: la verifica del tipo non passava e quella della corsa chiedeva la corsa delle molle (0,135·v²) per un tipo non ammesso</t>
        </is>
      </c>
      <c r="D111" s="10" t="inlineStr">
        <is>
          <t>a ogni velocità; corsa ≥ 0,0674·v² m (arresto per gravità al 115 % della velocità nominale); la corsa ridotta con il controllo del rallentamento non è considerata; ammortizzatori tipici: Oleo LSB10 fino a 1 m/s, alto 222,2 mm con corsa 73,4 mm; LSB16 fino a 1,6 m/s, alto 485,5 mm con corsa 173,5 mm; senza tipo scelto, oltre 1 m/s (dove le molle e i tamponi non sono ammessi) il software prende gli idraulici con l’ammortizzatore tipico per la velocità, per la cabina e per il contrappeso: altezza e corsa lasciate allo standard diventano le sue, la base si sposta perché la sommità resti dov’era</t>
        </is>
      </c>
      <c r="E111" s="10" t="inlineStr">
        <is>
          <t>UNI EN 81-20:2020, 5.8.1.6 e 5.8.2.2.1 (corsa); la corsa ridotta di 5.8.2.2.2 non è usata</t>
        </is>
      </c>
      <c r="F111" s="10" t="inlineStr">
        <is>
          <t>UNI EN 81-20:2020, testo della norma, letto il 2026-10-06, p. 99; gli ammortizzatori tipici dal catalogo Oleo LSB e SEB (oleo.co.uk), estratti di ricerca del 1° ottobre 2026</t>
        </is>
      </c>
      <c r="G111" s="10" t="inlineStr">
        <is>
          <t>confermato</t>
        </is>
      </c>
      <c r="H111" s="10" t="inlineStr">
        <is>
          <t>tipo di ammortizzatori per la velocità; corsa degli ammortizzatori di cabina; corsa dell’ammortizzatore del contrappeso</t>
        </is>
      </c>
      <c r="I111" s="11" t="n"/>
      <c r="J111" s="11" t="n"/>
      <c r="K111" s="11" t="n"/>
      <c r="L111" s="11" t="n"/>
      <c r="M111" s="11" t="n"/>
      <c r="N111" s="11" t="n"/>
    </row>
    <row r="112" ht="186" customHeight="1">
      <c r="A112" s="10" t="n">
        <v>110</v>
      </c>
      <c r="B112" s="10" t="inlineStr">
        <is>
          <t>Vano: sezione, spazi di rifugio e ammortizzatori</t>
        </is>
      </c>
      <c r="C112" s="10" t="inlineStr">
        <is>
          <t>Accesso alla fossa: scala nel vano</t>
        </is>
      </c>
      <c r="D112" s="10" t="inlineStr">
        <is>
          <t>fossa profonda fino a 2500 mm: porta di accesso oppure scala dentro il vano, comoda da raggiungere dalla porta di piano più bassa; più profonda: porta di accesso. Scala custodita in fossa, di alluminio o acciaio: in uso i montanti arrivano ad almeno 1100 mm sopra la soglia di piano, pioli larghi almeno 280 mm con almeno 200 mm liberi dietro fino alla parete; a riposo a non più di 800 mm dal bordo dell’accesso, in uso la mezzeria dei pioli a non più di 600 mm e il primo piolo il più possibile a filo della soglia di piano; a riposo fuori dagli spazi di rifugio (se può urtare parti in moto fuori dal riposo, un contatto di sicurezza)</t>
        </is>
      </c>
      <c r="E112" s="10" t="inlineStr">
        <is>
          <t>UNI EN 81-20:2020, 5.2.2.4 e appendice F (F.2.3, F.3.2, F.5)</t>
        </is>
      </c>
      <c r="F112" s="10" t="inlineStr">
        <is>
          <t>UNI EN 81-20:2020, testo della norma, letto il 2026-10-06, pp. 28–29, 151–152</t>
        </is>
      </c>
      <c r="G112" s="10" t="inlineStr">
        <is>
          <t>confermato</t>
        </is>
      </c>
      <c r="H112" s="10" t="inlineStr">
        <is>
          <t>—</t>
        </is>
      </c>
      <c r="I112" s="11" t="n"/>
      <c r="J112" s="11" t="n"/>
      <c r="K112" s="11" t="n"/>
      <c r="L112" s="11" t="n"/>
      <c r="M112" s="11" t="n"/>
      <c r="N112" s="11" t="n"/>
    </row>
    <row r="113" ht="212" customHeight="1">
      <c r="A113" s="10" t="n">
        <v>111</v>
      </c>
      <c r="B113" s="10" t="inlineStr">
        <is>
          <t>Vano: sezione, spazi di rifugio e ammortizzatori</t>
        </is>
      </c>
      <c r="C113" s="10" t="inlineStr">
        <is>
          <t>Dotazioni della fossa: arresto, ispezione, presa, luce, cartello</t>
        </is>
      </c>
      <c r="D113" s="10" t="inlineStr">
        <is>
          <t>fossa profonda fino a 1600 mm: un dispositivo di arresto (STOP) almeno 400 mm sopra il pavimento della fermata più bassa e non oltre 2000 mm dal fondo della fossa; più profonda: due, quello alto almeno 1000 mm sopra la fermata, quello basso non oltre 1200 mm dal fondo e manovrabile da uno spazio di rifugio; ogni arresto a non più di 750 mm in orizzontale dal bordo interno del telaio della porta di accesso; comando d’ispezione manovrabile da non oltre 300 mm da uno spazio di rifugio; una presa di corrente; comando della luce del vano a non più di 750 mm dal telaio e almeno 1000 mm sopra il pavimento di accesso; in fossa un cartello, leggibile dall’accesso, con il numero di persone ammesse e la postura dello spazio di rifugio</t>
        </is>
      </c>
      <c r="E113" s="10" t="inlineStr">
        <is>
          <t>UNI EN 81-20:2020, 5.2.1.5.1 a)–d) e 5.2.5.8.1 (cartello)</t>
        </is>
      </c>
      <c r="F113" s="10" t="inlineStr">
        <is>
          <t>UNI EN 81-20:2020, testo della norma, letto il 2026-10-06, pp. 25–26, 40</t>
        </is>
      </c>
      <c r="G113" s="10" t="inlineStr">
        <is>
          <t>confermato</t>
        </is>
      </c>
      <c r="H113" s="10" t="inlineStr">
        <is>
          <t>—</t>
        </is>
      </c>
      <c r="I113" s="11" t="n"/>
      <c r="J113" s="11" t="n"/>
      <c r="K113" s="11" t="n"/>
      <c r="L113" s="11" t="n"/>
      <c r="M113" s="11" t="n"/>
      <c r="N113" s="11" t="n"/>
    </row>
    <row r="114" ht="381" customHeight="1">
      <c r="A114" s="10" t="n">
        <v>112</v>
      </c>
      <c r="B114" s="10" t="inlineStr">
        <is>
          <t>Vano: sezione, spazi di rifugio e ammortizzatori</t>
        </is>
      </c>
      <c r="C114" s="10" t="inlineStr">
        <is>
          <t>Scala e pulsantiera della fossa nei disegni</t>
        </is>
      </c>
      <c r="D114" s="10" t="inlineStr">
        <is>
          <t>la scala disegnata larga 370 mm e profonda 100 mm, con montanti da 35 mm (il massimo di F.3.1 a)) e pioli tondi da 30 mm (entro F.3.2 c)), in uso con i montanti fino a 1100 mm sopra la soglia e i pioli a passo di 280 mm dal primo, a filo della soglia, in giù fino al fondo; la pulsantiera della fossa (arresto, presa, comando della luce) larga 150 mm, profonda 80 mm, alta 120 mm per apparecchio, con l’arresto 500 mm e il comando della luce 1100 mm sopra la fermata più bassa (fossa oltre 1600 mm: l’arresto alto 1000 mm sopra la fermata e quello basso sotto la pulsantiera, con il bordo superiore 1200 mm sopra il fondo); ognuna contro una parete, il più vicino possibile al bordo dell’accesso di quella fermata (la scala entro il limite di uso, la pulsantiera entro quello dell’arresto), fuori dalla cabina con le soglie, dagli operatori delle porte se con la cabina sugli ammortizzatori compressi scendono fino a 100 mm sopra la scala o la pulsantiera, dal contrappeso e dalla sua protezione con tutto lo spazio che chiude fino alla parete, dalle guide con le staffe, dalla porta di piano (la scala, che sale sopra la soglia, anche dal telaio con le ante impacchettate, e dalla lamiera sottosoglia), dalla fune del limitatore e, per la scala in fossa, dagli ammortizzatori, dallo spazio di rifugio e dal tenditore del limitatore; senza un posto libero il disegno non la mette e la nota lo dice</t>
        </is>
      </c>
      <c r="E114" s="10" t="inlineStr">
        <is>
          <t>—</t>
        </is>
      </c>
      <c r="F114" s="10" t="inlineStr">
        <is>
          <t>scelta del software: tipo, misure e posizione definitivi del fornitore della scala e del quadro</t>
        </is>
      </c>
      <c r="G114" s="10" t="inlineStr">
        <is>
          <t>scelta del software</t>
        </is>
      </c>
      <c r="H114" s="10" t="inlineStr">
        <is>
          <t>—</t>
        </is>
      </c>
      <c r="I114" s="11" t="n"/>
      <c r="J114" s="11" t="n"/>
      <c r="K114" s="11" t="n"/>
      <c r="L114" s="11" t="n"/>
      <c r="M114" s="11" t="n"/>
      <c r="N114" s="11" t="n"/>
    </row>
    <row r="115" ht="147" customHeight="1">
      <c r="A115" s="10" t="n">
        <v>113</v>
      </c>
      <c r="B115" s="10" t="inlineStr">
        <is>
          <t>Vano: sezione, spazi di rifugio e ammortizzatori</t>
        </is>
      </c>
      <c r="C115" s="10" t="inlineStr">
        <is>
          <t>Protezione del contrappeso in fossa: bordo inferiore e larghezza — p_screenlo e p_screenw sono informazioni, non verifiche: il bordo e la larghezza sono quelli che il disegno dà accanto ai valori della norma; la protezione montata si controlla al collaudo</t>
        </is>
      </c>
      <c r="D115" s="10" t="inlineStr">
        <is>
          <t>bordo inferiore non oltre 300 mm dal fondo della fossa; larga almeno quanto il contrappeso; se tra le guide del contrappeso e una parete ci sono più di 300 mm, la protezione arriva anche alla parete. Il disegno la mette davanti al contrappeso e alle sue guide, 40 mm oltre da ogni lato, fino alla parete dove resterebbero più di 300 mm; davanti a una porta di piano su quella parete si ferma prima della soglia, della lamiera sottosoglia e delle ante impacchettate (resta aperta la sola profondità della soglia)</t>
        </is>
      </c>
      <c r="E115" s="10" t="inlineStr">
        <is>
          <t>UNI EN 81-20:2020, 5.2.5.5.1 c)–e)</t>
        </is>
      </c>
      <c r="F115" s="10" t="inlineStr">
        <is>
          <t>UNI EN 81-20:2020, testo della norma, letto il 2026-10-06, p. 35</t>
        </is>
      </c>
      <c r="G115" s="10" t="inlineStr">
        <is>
          <t>confermato</t>
        </is>
      </c>
      <c r="H115" s="10" t="inlineStr">
        <is>
          <t>protezione del contrappeso: bordo inferiore; protezione del contrappeso: larghezza e spazio tra guide e parete</t>
        </is>
      </c>
      <c r="I115" s="11" t="n"/>
      <c r="J115" s="11" t="n"/>
      <c r="K115" s="11" t="n"/>
      <c r="L115" s="11" t="n"/>
      <c r="M115" s="11" t="n"/>
      <c r="N115" s="11" t="n"/>
    </row>
    <row r="116" ht="186" customHeight="1">
      <c r="A116" s="10" t="n">
        <v>114</v>
      </c>
      <c r="B116" s="10" t="inlineStr">
        <is>
          <t>Vano: sezione, spazi di rifugio e ammortizzatori</t>
        </is>
      </c>
      <c r="C116" s="10" t="inlineStr">
        <is>
          <t>Gioco massimo tra contrappeso e ammortizzatore (cartello)</t>
        </is>
      </c>
      <c r="D116" s="10" t="inlineStr">
        <is>
          <t>il cartello sulla protezione del contrappeso o accanto riporta il gioco massimo ammesso tra contrappeso e ammortizzatore con la cabina al piano più alto: l’extracorsa del progetto più il margine più piccolo delle verifiche che il gioco riduce (spazio di rifugio sul tetto, anche sotto le pulegge e gli attacchi appesi nel vano, distanze libere dal soffitto, parte più alta della cabina sotto ciò che pende sopra, corsa guidata del contrappeso con la cabina sugli ammortizzatori e, finché passano, gli avvisi della traversa sotto il soffitto e della corsa guidata della cabina), arrotondato per difetto a 5 mm: con quel gioco nessuna verifica del progetto cambia esito</t>
        </is>
      </c>
      <c r="E116" s="10" t="inlineStr">
        <is>
          <t>UNI EN 81-20:2020, 5.2.5.7.1</t>
        </is>
      </c>
      <c r="F116" s="10" t="inlineStr">
        <is>
          <t>UNI EN 81-20:2020, testo della norma, letto il 2026-10-06, pp. 37–38; il calcolo del margine è del software</t>
        </is>
      </c>
      <c r="G116" s="10" t="inlineStr">
        <is>
          <t>confermato</t>
        </is>
      </c>
      <c r="H116" s="10" t="inlineStr">
        <is>
          <t>gioco massimo contrappeso–ammortizzatore (cartello)</t>
        </is>
      </c>
      <c r="I116" s="11" t="n"/>
      <c r="J116" s="11" t="n"/>
      <c r="K116" s="11" t="n"/>
      <c r="L116" s="11" t="n"/>
      <c r="M116" s="11" t="n"/>
      <c r="N116" s="11" t="n"/>
    </row>
    <row r="117" ht="498" customHeight="1">
      <c r="A117" s="10" t="n">
        <v>115</v>
      </c>
      <c r="B117" s="10" t="inlineStr">
        <is>
          <t>Locale del macchinario</t>
        </is>
      </c>
      <c r="C117" s="10" t="inlineStr">
        <is>
          <t>Locale del macchinario — davanti al quadro il software verifica la profondità libera fino a ciò che sta sul pavimento (l’argano con il basamento e il rinvio, il limitatore, l’interruttore generale) e che la parete sia lunga almeno quanto il maggiore tra 500 mm e il quadro; la larghezza dei percorsi la misura dalla porta su una griglia di circa 20 mm, per difetto; l’altezza dei percorsi segue quella del locale; il verso di apertura della porta non è un dato del progetto (i disegni la danno apribile verso l’esterno); lo spazio sopra le parti rotanti lo misura dal loro punto più alto al soffitto più basso (avvertimento: con le parti protette da un carter il tecnico lo indica e la verifica non serve; fino a LIFT 1.28.0 e ROOM 1.12.0 non era verificato). Con la modifica di un impianto esistente (UNI 10411-1/-11:2024, 9.2) la superficie davanti al quadro entra nell’esito anche quando cambia solo la macchina, che le può stare davanti; l’altezza e la porta del locale restano «esistente» (la 9.2 ammette l’altezza attuale: le condizioni sono tra i punti da verificare in sito). Con la macchina in basso le stesse verifiche valgono per il suo locale, accanto al vano o sotto la fossa, con l’argano come ciò che sta sul pavimento; un locale sopra il vano non ha la macchina (con i rinvii è il locale delle pulegge, locale.pulegge)</t>
        </is>
      </c>
      <c r="D117" s="10" t="inlineStr">
        <is>
          <t>altezza libera delle zone di lavoro ≥ 2100 mm (1800 mm sui percorsi); davanti al quadro una superficie libera profonda ≥ 700 mm e larga ≥ 500 mm o quanto il quadro; per la manutenzione delle parti in movimento e la manovra di emergenza una superficie libera di almeno 500 × 600 mm (il software la cerca accanto all’argano, fino a muri, quadro, limitatore e interruttore generale, sul lato del volantino se ci sta: locale.volantino; la disegna in pianta con i percorsi dalla porta); almeno 300 mm liberi in verticale sopra le parti rotanti non protette (la puleggia di frizione con le funi, il volantino, la puleggia di rinvio nel locale); percorsi dalla porta alle superfici libere larghi ≥ 500 mm (il software chiede 500 mm ovunque, anche dove la norma ammette 0,40 m) e alti ≥ 1800 mm; porta di accesso ≥ 600 × 2000 mm, che non si apre verso l’interno del locale; aperture nella soletta sopra il vano ridotte al minimo, con manicotti o bordi che sporgono almeno 50 mm dal pavimento</t>
        </is>
      </c>
      <c r="E117" s="10" t="inlineStr">
        <is>
          <t>UNI EN 81-20:2020, 5.2.6.3.2.1 (2,10 m e superfici libere), 5.2.6.3.2.2 (percorsi: 0,50 m di larghezza, 1,80 m di altezza), 5.2.6.3.2.3 (0,30 m sopra le parti rotanti non protette), 5.2.3.2 a) (porta), 5.2.3.3 a) (verso di apertura) e 5.2.6.3.3 (aperture)</t>
        </is>
      </c>
      <c r="F117" s="10" t="inlineStr">
        <is>
          <t>UNI EN 81-20:2020, testo della norma, letto il 2026-10-06, pp. 29–30, 43; le superfici libere anche in UNI EN 81-1:1999, 6.3.2.1 (edizione 2008: 6.3.3.1)</t>
        </is>
      </c>
      <c r="G117" s="10" t="inlineStr">
        <is>
          <t>confermato</t>
        </is>
      </c>
      <c r="H117" s="10" t="inlineStr">
        <is>
          <t>altezza del locale macchina; superficie libera davanti al quadro; superficie libera accanto all’argano; percorsi dalla porta alle superfici libere; porta del locale macchina; spazio libero sopra le parti rotanti non protette dell’argano</t>
        </is>
      </c>
      <c r="I117" s="11" t="n"/>
      <c r="J117" s="11" t="n"/>
      <c r="K117" s="11" t="n"/>
      <c r="L117" s="11" t="n"/>
      <c r="M117" s="11" t="n"/>
      <c r="N117" s="11" t="n"/>
    </row>
    <row r="118" ht="160" customHeight="1">
      <c r="A118" s="10" t="n">
        <v>116</v>
      </c>
      <c r="B118" s="10" t="inlineStr">
        <is>
          <t>Locale del macchinario</t>
        </is>
      </c>
      <c r="C118" s="10" t="inlineStr">
        <is>
          <t>Locale del macchinario esistente nella modifica — nella nota del foglio della sostituzione; nell’esito l’altezza e la porta restano «esistente», la superficie davanti al quadro entra quando cambia la macchina; fino a SHAFT 2.25.0 la voce diceva «con la macchina nuova», come se ogni modifica la portasse</t>
        </is>
      </c>
      <c r="D118" s="10" t="inlineStr">
        <is>
          <t>nella modifica il locale segue la UNI EN 81-20 5.2.6.3 attorno alle apparecchiature sostituite o aggiunte (la macchina nuova, il quadro nuovo o le apparecchiature spostate); in un locale dove nulla si sposta né si aggiunge il punto 9 non si applica; l’altezza libera esistente sulle zone di lavoro può restare sotto 2100 mm se non si riduce; con la UNI 10411-1, sotto 2000 mm zone segnalate, materiale ammortizzante al soffitto e almeno 1800 mm liberi sotto di esso (UNI EN 81-21:2022, 5.9); con la UNI 10411-11 resta l’altezza esistente</t>
        </is>
      </c>
      <c r="E118" s="10" t="inlineStr">
        <is>
          <t>UNI 10411-1:2024, 9.1–9.2; UNI 10411-11:2024, 9.2; UNI EN 81-21:2022, 5.9</t>
        </is>
      </c>
      <c r="F118" s="10" t="inlineStr">
        <is>
          <t>UNI 10411-1:2024, testo della norma, letto il 2026-10-06, p. 9; UNI 10411-11:2024, testo della norma, letto il 2026-10-06, p. 9; UNI EN 81-21:2022, testo della norma, letto il 2026-10-06, p. 23</t>
        </is>
      </c>
      <c r="G118" s="10" t="inlineStr">
        <is>
          <t>confermato</t>
        </is>
      </c>
      <c r="H118" s="10" t="inlineStr">
        <is>
          <t>—</t>
        </is>
      </c>
      <c r="I118" s="11" t="n"/>
      <c r="J118" s="11" t="n"/>
      <c r="K118" s="11" t="n"/>
      <c r="L118" s="11" t="n"/>
      <c r="M118" s="11" t="n"/>
      <c r="N118" s="11" t="n"/>
    </row>
    <row r="119" ht="212" customHeight="1">
      <c r="A119" s="10" t="n">
        <v>117</v>
      </c>
      <c r="B119" s="10" t="inlineStr">
        <is>
          <t>Locale del macchinario</t>
        </is>
      </c>
      <c r="C119" s="10" t="inlineStr">
        <is>
          <t>Locale delle pulegge di rinvio (macchina in basso) — con la macchina in basso e i rinvii in un locale sopra il vano, il software verifica l’altezza e la porta di quel locale con questi valori e lo spazio sopra le pulegge, con i loro assi dove li mette il software (impianto.basso.schema; avvertimento: non serve con le pulegge protette); non verifica la superficie libera. Fino a LIFT 1.23.0 quel locale era verificato come un locale del macchinario (2100 mm, porta 600 × 2000 mm, quadro) e il locale della macchina in basso solo per l’ingombro</t>
        </is>
      </c>
      <c r="D119" s="10" t="inlineStr">
        <is>
          <t>percorsi alti almeno 1500 mm fino alle apparecchiature, una superficie libera di 500 × 600 mm dove si lavora, almeno 300 mm liberi sopra le pulegge non protette; porta di accesso ≥ 600 × 1400 mm, che non si apre verso l’interno; un dispositivo di arresto presso ogni accesso; aperture sopra il vano con manicotti o bordi di almeno 50 mm; né quadro né interruttore generale, che stanno nel locale della macchina</t>
        </is>
      </c>
      <c r="E119" s="10" t="inlineStr">
        <is>
          <t>UNI EN 81-20:2020, 5.2.6.7.1 (altezza e superfici), 5.2.6.7.2 (aperture), 5.2.3.2 b) (porta), 5.2.1.5.2 c) (arresto) e 5.10.5.1.2 (interruttore generale)</t>
        </is>
      </c>
      <c r="F119" s="10" t="inlineStr">
        <is>
          <t>UNI EN 81-20:2020, testo della norma, letto il 2026-10-06, pp. 26, 29, 49</t>
        </is>
      </c>
      <c r="G119" s="10" t="inlineStr">
        <is>
          <t>confermato</t>
        </is>
      </c>
      <c r="H119" s="10" t="inlineStr">
        <is>
          <t>altezza libera del locale delle pulegge; porta del locale delle pulegge; spazio libero sopra le pulegge non protette</t>
        </is>
      </c>
      <c r="I119" s="11" t="n"/>
      <c r="J119" s="11" t="n"/>
      <c r="K119" s="11" t="n"/>
      <c r="L119" s="11" t="n"/>
      <c r="M119" s="11" t="n"/>
      <c r="N119" s="11" t="n"/>
    </row>
    <row r="120" ht="95" customHeight="1">
      <c r="A120" s="10" t="n">
        <v>118</v>
      </c>
      <c r="B120" s="10" t="inlineStr">
        <is>
          <t>Locale del macchinario</t>
        </is>
      </c>
      <c r="C120" s="10" t="inlineStr">
        <is>
          <t>Il quadro di manovra fuori dall’ingombro dell’argano</t>
        </is>
      </c>
      <c r="D120" s="10" t="inlineStr">
        <is>
          <t>il quadro, con la larghezza e la profondità inserite, sta dentro il locale e non entra nell’ingombro in pianta di ciò che sta sul pavimento: l’argano sul suo basamento con il telaio del rinvio o il supporto del rinvio, il limitatore di velocità, l’interruttore generale; la distanza minima tra i contorni non è negativa</t>
        </is>
      </c>
      <c r="E120" s="10" t="inlineStr">
        <is>
          <t>—</t>
        </is>
      </c>
      <c r="F120" s="10" t="inlineStr">
        <is>
          <t>geometria del progetto: la pianta del locale, il quadro inserito o posto dal software, gli ingombri dell’argano, del basamento, del rinvio e del limitatore come li disegna la pianta del locale</t>
        </is>
      </c>
      <c r="G120" s="10" t="inlineStr">
        <is>
          <t>derivazione</t>
        </is>
      </c>
      <c r="H120" s="10" t="inlineStr">
        <is>
          <t>quadro di manovra fuori dall’ingombro di argano, limitatore e interruttore generale</t>
        </is>
      </c>
      <c r="I120" s="11" t="n"/>
      <c r="J120" s="11" t="n"/>
      <c r="K120" s="11" t="n"/>
      <c r="L120" s="11" t="n"/>
      <c r="M120" s="11" t="n"/>
      <c r="N120" s="11" t="n"/>
    </row>
    <row r="121" ht="238" customHeight="1">
      <c r="A121" s="10" t="n">
        <v>119</v>
      </c>
      <c r="B121" s="10" t="inlineStr">
        <is>
          <t>Locale del macchinario</t>
        </is>
      </c>
      <c r="C121" s="10" t="inlineStr">
        <is>
          <t>Dove il software mette il quadro di manovra</t>
        </is>
      </c>
      <c r="D121" s="10" t="inlineStr">
        <is>
          <t>con la posizione del quadro lasciata al software il quadro sta contro una parete: fuori dall’ingombro dell’argano, del limitatore e dell’interruttore generale, se si può ad almeno 100 mm da essi e dalla luce della porta (il suo telaio); né il quadro né la superficie libera davanti a esso davanti alla porta (la luce della porta per 700 mm dentro il locale); la superficie libera davanti al quadro profonda ≥ 700 mm, quella accanto all’argano conservata, percorsi di almeno 500 mm dalla porta a entrambe. Tra i posti che lo permettono, provati ogni 50 mm lungo le pareti, quello più vicino alla porta a piedi, poi quello con la superficie libera più profonda; se nessuno va bene, quello con meno mancanze, e le verifiche dicono quali. L’interruttore generale sta accanto alla porta, 150 mm oltre lo stipite (prima della porta se la parete finisce)</t>
        </is>
      </c>
      <c r="E121" s="10" t="inlineStr">
        <is>
          <t>UNI EN 81-20:2020, 5.2.6.3.2.1 a) e 5.2.6.3.2.2 (superficie davanti al quadro e percorsi), 5.10.5.2 (interruttore generale raggiungibile dall’ingresso) e 5.12.1.6.1 e) (la macchina visibile dai comandi della manovra elettrica di emergenza: nel locale senza pareti divisorie del software lo è); il resto scelta del software</t>
        </is>
      </c>
      <c r="F121" s="10" t="inlineStr">
        <is>
          <t>UNI EN 81-20:2020, testo della norma, letto il 2026-10-06, pp. 43, 117, 129; la vicinanza alla porta, la distanza laterale e il passo sono scelte del software</t>
        </is>
      </c>
      <c r="G121" s="10" t="inlineStr">
        <is>
          <t>scelta del software</t>
        </is>
      </c>
      <c r="H121" s="10" t="inlineStr">
        <is>
          <t>—</t>
        </is>
      </c>
      <c r="I121" s="11" t="n"/>
      <c r="J121" s="11" t="n"/>
      <c r="K121" s="11" t="n"/>
      <c r="L121" s="11" t="n"/>
      <c r="M121" s="11" t="n"/>
      <c r="N121" s="11" t="n"/>
    </row>
    <row r="122" ht="134" customHeight="1">
      <c r="A122" s="10" t="n">
        <v>120</v>
      </c>
      <c r="B122" s="10" t="inlineStr">
        <is>
          <t>Locale del macchinario</t>
        </is>
      </c>
      <c r="C122" s="10" t="inlineStr">
        <is>
          <t>La superficie libera accanto all’argano presso il volantino — la leva di sblocco del freno sta accanto al freno, fra riduttore e motore: il tecnico conferma che si manovra dalla stessa superficie</t>
        </is>
      </c>
      <c r="D122" s="10" t="inlineStr">
        <is>
          <t>la superficie libera di 500 × 600 mm per la manutenzione serve anche la manovra manuale di emergenza: il software la prende sul lato dell’argano dove arriva entro 300 mm dal volantino (all’estremità del motore, o dove lo mette la scheda del costruttore) se lì è profonda quanto serve, altrimenti sul lato più libero; quando nessuna superficie libera arriva entro 300 mm dal volantino la verifica avverte (margine = 300 mm meno la distanza)</t>
        </is>
      </c>
      <c r="E122" s="10" t="inlineStr">
        <is>
          <t>UNI EN 81-20:2020, 5.2.6.3.2.1 b) (superficie libera dove servono manutenzione e manovra manuale di emergenza, 5.9.2.3.1); la distanza dal volantino è una scelta del software</t>
        </is>
      </c>
      <c r="F122" s="10" t="inlineStr">
        <is>
          <t>UNI EN 81-20:2020, testo della norma, letto il 2026-10-06, p. 43; il volantino e la leva di sblocco del freno dalle schede dei costruttori o dall’argano generico del software</t>
        </is>
      </c>
      <c r="G122" s="10" t="inlineStr">
        <is>
          <t>scelta del software</t>
        </is>
      </c>
      <c r="H122" s="10" t="inlineStr">
        <is>
          <t>superficie libera accanto all’argano presso il volantino</t>
        </is>
      </c>
      <c r="I122" s="11" t="n"/>
      <c r="J122" s="11" t="n"/>
      <c r="K122" s="11" t="n"/>
      <c r="L122" s="11" t="n"/>
      <c r="M122" s="11" t="n"/>
      <c r="N122" s="11" t="n"/>
    </row>
    <row r="123" ht="147" customHeight="1">
      <c r="A123" s="10" t="n">
        <v>121</v>
      </c>
      <c r="B123" s="10" t="inlineStr">
        <is>
          <t>Locale del macchinario</t>
        </is>
      </c>
      <c r="C123" s="10" t="inlineStr">
        <is>
          <t>Altezza del locale esistente sotto 2,0 m (modifica con la UNI 10411-1) — fino a ROOM 1.12.0 e LIFT 1.28.0 le misure della UNI EN 81-21 erano solo nella nota del foglio, stampata sempre; ora la nota le dice quando il locale è più basso di 2000 mm</t>
        </is>
      </c>
      <c r="D123" s="10" t="inlineStr">
        <is>
          <t>nella modifica collaudata con la UNI 10411-1 il software verifica l’altezza libera del locale esistente: almeno 2000 mm passa; fra 1800 mm più lo spessore del materiale ammortizzante (50 mm, se non indicato) e 2000 mm avverte — zone segnalate a strisce gialle e nere o con un cartello, materiale ammortizzante sotto il soffitto e almeno 1800 mm liberi sotto di esso; sotto non passa. Con la UNI 10411-11 l’altezza esistente resta e la verifica non entra nell’esito; per un impianto nuovo vale la verifica dell’altezza di 2100 mm</t>
        </is>
      </c>
      <c r="E123" s="10" t="inlineStr">
        <is>
          <t>UNI 10411-1:2024, 9.2; UNI EN 81-21:2022, 5.9; UNI 10411-11:2024, 9.2</t>
        </is>
      </c>
      <c r="F123" s="10" t="inlineStr">
        <is>
          <t>UNI 10411-1:2024, testo della norma, letto il 2026-10-06, p. 9; UNI EN 81-21:2022, testo della norma, letto il 2026-10-06, p. 23; lo spessore di 50 mm del materiale ammortizzante è una scelta del software, da sostituire con quello del prodotto posato</t>
        </is>
      </c>
      <c r="G123" s="10" t="inlineStr">
        <is>
          <t>scelta del software</t>
        </is>
      </c>
      <c r="H123" s="10" t="inlineStr">
        <is>
          <t>modifica (UNI 10411-1): altezza del locale esistente sotto 2,0 m</t>
        </is>
      </c>
      <c r="I123" s="11" t="n"/>
      <c r="J123" s="11" t="n"/>
      <c r="K123" s="11" t="n"/>
      <c r="L123" s="11" t="n"/>
      <c r="M123" s="11" t="n"/>
      <c r="N123" s="11" t="n"/>
    </row>
    <row r="124" ht="407" customHeight="1">
      <c r="A124" s="10" t="n">
        <v>122</v>
      </c>
      <c r="B124" s="10" t="inlineStr">
        <is>
          <t>Locale del macchinario</t>
        </is>
      </c>
      <c r="C124" s="10" t="inlineStr">
        <is>
          <t>Fori nella soletta: misura, posizione e bordi — fino a SHAFT 2.25.0 anche l’argano che resta si disegnava su un basamento nuovo, con i fori bordati e la verifica m_holes</t>
        </is>
      </c>
      <c r="D124" s="10" t="inlineStr">
        <is>
          <t>ogni foro della soletta sopra il vano (funi di trazione, puleggia di rinvio che vi scende, attacchi delle funi in taglia 2:1) ha i lati a 30 mm dalle funi nelle due posizioni estreme della cabina e dalla puleggia (con l’argano sotto la fossa lo stesso per i fori della soletta della fossa attorno alle funi che scendono all’argano: pianta della fossa, sezione A-A e 3D); fori più vicini di 80 mm diventano uno; ogni foro ha un bordo in lamiera d’acciaio alto 50 mm sul pavimento finito e spesso 25 mm tutto attorno (lo stesso nel 3D), e le putrelle HEB sui muri del vano, che stanno 30 mm sopra la soletta, ne restano fuori in pianta (m_hebkerb, locale.putrelle.vano); la pianta del locale dà di ogni foro la misura («FORO L × P»: L lungo x, P lungo y del locale; con la linea delle calate obliqua lungo e di traverso le calate) e la posizione del centro dai muri interni del vano (x dal muro di sinistra, y dal muro dell’accesso A, come nel rilievo); la sezione B-B disegna e quota i bordi; nella sostituzione le aperture esistenti rilevate sono disegnate tratteggiate e gli appoggi del nuovo basamento ne stanno ad almeno 100 mm dal bordo (m_holes, avviso: un’apertura si può chiudere); con l’argano che resta sul suo basamento esistente (locale.basamento.esistente) le aperture sono quelle esistenti, tratteggiate («FORO ESISTENTE»), senza bordi e senza m_holes, e nulla di nuovo si disegna: i 100 mm dagli appoggi valgono solo con un basamento nuovo</t>
        </is>
      </c>
      <c r="E124" s="10" t="inlineStr">
        <is>
          <t>UNI EN 81-20:2020, 5.2.6.3.3 (aperture ridotte al minimo, bordi di almeno 50 mm); il gioco e lo spessore del bordo sono scelte del software</t>
        </is>
      </c>
      <c r="F124" s="10" t="inlineStr">
        <is>
          <t>UNI EN 81-20:2020, testo della norma, letto il 2026-10-06, p. 43; gioco di 30 mm e bordo in lamiera di 25 mm come il 3D che taglia la soletta; un bordo in calcestruzzo, più spesso, si adatta in sito</t>
        </is>
      </c>
      <c r="G124" s="10" t="inlineStr">
        <is>
          <t>scelta del software</t>
        </is>
      </c>
      <c r="H124" s="10" t="inlineStr">
        <is>
          <t>sostituzione: appoggi del nuovo basamento lontani dalle aperture esistenti della soletta</t>
        </is>
      </c>
      <c r="I124" s="11" t="n"/>
      <c r="J124" s="11" t="n"/>
      <c r="K124" s="11" t="n"/>
      <c r="L124" s="11" t="n"/>
      <c r="M124" s="11" t="n"/>
      <c r="N124" s="11" t="n"/>
    </row>
    <row r="125" ht="147" customHeight="1">
      <c r="A125" s="10" t="n">
        <v>123</v>
      </c>
      <c r="B125" s="10" t="inlineStr">
        <is>
          <t>Locale del macchinario</t>
        </is>
      </c>
      <c r="C125" s="10" t="inlineStr">
        <is>
          <t>Gancio di sollevamento sopra l’argano — la portata va marcata sul gancio; il gancio e il suo ancoraggio nel solaio li verifica il tecnico strutturale (con un gancio esistente la portata targata va confrontata con quella del disegno); il tecnico può prescriverne un’altra</t>
        </is>
      </c>
      <c r="D125" s="10" t="inlineStr">
        <is>
          <t>un gancio di sollevamento fissato al soffitto sopra il baricentro dell’argano (al centro del suo ingombro in pianta), quotato in pianta da due muri del locale; la portata è il pezzo più pesante da sollevare — l’argano con il suo telaio, il telaio con il rinvio del costruttore, nella sostituzione anche l’argano esistente — arrotondato per eccesso al multiplo di 500 kg, almeno 1000 kg; l’occhio del gancio 150 mm sotto il soffitto: la sezione B-B quota l’altezza libera sotto di esso</t>
        </is>
      </c>
      <c r="E125" s="10" t="inlineStr">
        <is>
          <t>UNI EN 81-20:2020, 5.2.1.7 (ganci o punti di ancoraggio con la portata indicata, ben posizionati); posizione, arrotondamento e minimo sono scelte del software</t>
        </is>
      </c>
      <c r="F125" s="10" t="inlineStr">
        <is>
          <t>UNI EN 81-20:2020, testo della norma, letto il 2026-10-06, p. 26; portate commerciali dei ganci e dei golfari da soffitto</t>
        </is>
      </c>
      <c r="G125" s="10" t="inlineStr">
        <is>
          <t>scelta del software</t>
        </is>
      </c>
      <c r="H125" s="10" t="inlineStr">
        <is>
          <t>—</t>
        </is>
      </c>
      <c r="I125" s="11" t="n"/>
      <c r="J125" s="11" t="n"/>
      <c r="K125" s="11" t="n"/>
      <c r="L125" s="11" t="n"/>
      <c r="M125" s="11" t="n"/>
      <c r="N125" s="11" t="n"/>
    </row>
    <row r="126" ht="121" customHeight="1">
      <c r="A126" s="10" t="n">
        <v>124</v>
      </c>
      <c r="B126" s="10" t="inlineStr">
        <is>
          <t>Locale del macchinario</t>
        </is>
      </c>
      <c r="C126" s="10" t="inlineStr">
        <is>
          <t>Attacchi delle funi in taglia 2:1 — attacchi su una trave o sul telaio dell’argano sono un’alternativa: il tecnico lo indica, e allora P2 e P3 vanno nel carico del basamento</t>
        </is>
      </c>
      <c r="D126" s="10" t="inlineStr">
        <is>
          <t>in taglia 2:1 le funi finiscono negli attacchi sulla soletta del locale: una piastra d’acciaio sotto la soletta, quadrata di 180 mm e spessa 20 mm, con tirafondi passanti e una contropiastra sul pavimento del locale; i carichi P2 (lato cabina) e P3 (lato contrappeso) agiscono lì, separati da P1 (il basamento dell’argano); la pianta del locale li segna e quota il loro centro dai muri interni del vano</t>
        </is>
      </c>
      <c r="E126" s="10" t="inlineStr">
        <is>
          <t>UNI EN 81-20:2020, 5.2.1.8.1 (carichi sull’edificio) e 5.5.2.3.1 (attacchi delle funi ai punti fissi dei tratti morti); dimensioni scelta del software</t>
        </is>
      </c>
      <c r="F126" s="10" t="inlineStr">
        <is>
          <t>scelta del software (attacchi delle funi sulla soletta come nella pratica italiana), da verificare dal tecnico strutturale</t>
        </is>
      </c>
      <c r="G126" s="10" t="inlineStr">
        <is>
          <t>scelta del software</t>
        </is>
      </c>
      <c r="H126" s="10" t="inlineStr">
        <is>
          <t>—</t>
        </is>
      </c>
      <c r="I126" s="11" t="n"/>
      <c r="J126" s="11" t="n"/>
      <c r="K126" s="11" t="n"/>
      <c r="L126" s="11" t="n"/>
      <c r="M126" s="11" t="n"/>
      <c r="N126" s="11" t="n"/>
    </row>
    <row r="127" ht="147" customHeight="1">
      <c r="A127" s="10" t="n">
        <v>125</v>
      </c>
      <c r="B127" s="10" t="inlineStr">
        <is>
          <t>Locale del macchinario</t>
        </is>
      </c>
      <c r="C127" s="10" t="inlineStr">
        <is>
          <t>Luce, interruttori, prese, aerazione e canaline nel locale</t>
        </is>
      </c>
      <c r="D127" s="10" t="inlineStr">
        <is>
          <t>la pianta del locale disegna con la loro legenda: i punti luce sopra le zone di lavoro (almeno 200 lx al pavimento, illuminazione), l’interruttore della luce presso l’accesso, entro 1000 mm dalla porta, accanto all’interruttore generale; una presa 2P+PE per ogni area di lavoro (accanto all’argano e accanto al quadro); la griglia di aerazione; le canaline dal quadro all’argano e al vano, coperte dove si cammina; interruttore, prese e griglia fuori dal vano della porta con il suo telaio</t>
        </is>
      </c>
      <c r="E127" s="10" t="inlineStr">
        <is>
          <t>UNI EN 81-20:2020, 5.2.1.4.2 (luce), 5.2.1.5.2 a)–b) (interruttore a ogni accesso, una presa per area di lavoro), 5.10.7.2 (prese 2P+PE), 5.10.8.2 (interruttore entro 1 m dall’accesso), 5.2.1.3 (ventilazione) e 5.2.6.3.2.5 (canaline a pavimento coperte); le posizioni sono una proposta del software</t>
        </is>
      </c>
      <c r="F127" s="10" t="inlineStr">
        <is>
          <t>UNI EN 81-20:2020, testo della norma, letto il 2026-10-06, pp. 25–26, 43, 119</t>
        </is>
      </c>
      <c r="G127" s="10" t="inlineStr">
        <is>
          <t>scelta del software</t>
        </is>
      </c>
      <c r="H127" s="10" t="inlineStr">
        <is>
          <t>—</t>
        </is>
      </c>
      <c r="I127" s="11" t="n"/>
      <c r="J127" s="11" t="n"/>
      <c r="K127" s="11" t="n"/>
      <c r="L127" s="11" t="n"/>
      <c r="M127" s="11" t="n"/>
      <c r="N127" s="11" t="n"/>
    </row>
    <row r="128" ht="69" customHeight="1">
      <c r="A128" s="10" t="n">
        <v>126</v>
      </c>
      <c r="B128" s="10" t="inlineStr">
        <is>
          <t>Locale del macchinario</t>
        </is>
      </c>
      <c r="C128" s="10" t="inlineStr">
        <is>
          <t>Illuminazione del vano e del locale del macchinario</t>
        </is>
      </c>
      <c r="D128" s="10" t="inlineStr">
        <is>
          <t>vano: luce fissa, almeno 50 lux a un metro dal tetto di cabina e dal fondo della fossa, 20 lux nel resto; locale del macchinario: almeno 200 lux al pavimento dove si lavora e 50 lux sui percorsi; 50 lux anche sull’accesso al macchinario</t>
        </is>
      </c>
      <c r="E128" s="10" t="inlineStr">
        <is>
          <t>UNI EN 81-20:2020, 5.2.1.4.1 a)–c), 5.2.1.4.2 e 5.2.2.2</t>
        </is>
      </c>
      <c r="F128" s="10" t="inlineStr">
        <is>
          <t>UNI EN 81-20:2020, testo della norma, letto il 2026-10-06, p. 25</t>
        </is>
      </c>
      <c r="G128" s="10" t="inlineStr">
        <is>
          <t>confermato</t>
        </is>
      </c>
      <c r="H128" s="10" t="inlineStr">
        <is>
          <t>—</t>
        </is>
      </c>
      <c r="I128" s="11" t="n"/>
      <c r="J128" s="11" t="n"/>
      <c r="K128" s="11" t="n"/>
      <c r="L128" s="11" t="n"/>
      <c r="M128" s="11" t="n"/>
      <c r="N128" s="11" t="n"/>
    </row>
    <row r="129" ht="43" customHeight="1">
      <c r="A129" s="10" t="n">
        <v>127</v>
      </c>
      <c r="B129" s="10" t="inlineStr">
        <is>
          <t>Locale del macchinario</t>
        </is>
      </c>
      <c r="C129" s="10" t="inlineStr">
        <is>
          <t>Temperatura dei locali del macchinario e degli armadi</t>
        </is>
      </c>
      <c r="D129" s="10" t="inlineStr">
        <is>
          <t>temperatura ambiente mantenuta tra +5 °C e +40 °C: ipotesi della norma, da garantire nell’edificio</t>
        </is>
      </c>
      <c r="E129" s="10" t="inlineStr">
        <is>
          <t>UNI EN 81-20:2020, 0.4.16 (ipotesi della norma, vale anche per il vano)</t>
        </is>
      </c>
      <c r="F129" s="10" t="inlineStr">
        <is>
          <t>UNI EN 81-20:2020, testo della norma, letto il 2026-10-06, p. 14</t>
        </is>
      </c>
      <c r="G129" s="10" t="inlineStr">
        <is>
          <t>confermato</t>
        </is>
      </c>
      <c r="H129" s="10" t="inlineStr">
        <is>
          <t>—</t>
        </is>
      </c>
      <c r="I129" s="11" t="n"/>
      <c r="J129" s="11" t="n"/>
      <c r="K129" s="11" t="n"/>
      <c r="L129" s="11" t="n"/>
      <c r="M129" s="11" t="n"/>
      <c r="N129" s="11" t="n"/>
    </row>
    <row r="130" ht="407" customHeight="1">
      <c r="A130" s="10" t="n">
        <v>128</v>
      </c>
      <c r="B130" s="10" t="inlineStr">
        <is>
          <t>Locale del macchinario</t>
        </is>
      </c>
      <c r="C130" s="10" t="inlineStr">
        <is>
          <t>Basamento dell’argano — fino a SHAFT 2.21.0, LIFT 1.27.0 e ROOM 1.11.0 sotto gli antivibranti dell’argano andavano altri 30 mm di tamponi (due stadi elastici in serie, l’asse 30 mm più alto) su telaio, putrelle, piastre e plinto; il telaio erano tre profilati senza traverse; telaio e plinto andavano 100 mm oltre l’argano anche dentro un muro</t>
        </is>
      </c>
      <c r="D130" s="10" t="inlineStr">
        <is>
          <t>su spessori di livellamento sotto gli appoggi (per l’argano generico l’asse della puleggia dove lo mette il software; l’argano di catalogo sugli stessi spessori, l’asse dove lo porta il suo telaio, mai una pila di spessori), su telaio di tre profilati sul pavimento, uno sotto ogni ferro del telaio dell’argano (locale.telaio; tipico UPN 200, alto quanto il profilato come i telai bassi universali), su tre putrelle da muro a muro, una sotto ogni ferro, che possono stare sollevate dal pavimento (tipiche IPE 200, appoggio nei muri 150 mm), su piastre d’acciaio sotto gli appoggi (tipiche 20 mm) o su plinto in calcestruzzo (tipico 250 mm) in un blocco per parte delle funi, o — con un rinvio — sul telaio con rinvio (locale.rinvio); gli antivibranti del telaio dell’argano (locale.telaio) poggiano direttamente sul basamento, imbullonati ai profilati o alle piastre, ancorati al plinto — un solo stadio elastico (sul telaio con rinvio gli antivibranti sotto le gambe); il telaio saldato con una traversa dello stesso profilato a ogni estremità; telaio e plinto 100 mm oltre il telaio dell’argano a ogni estremità, meno dove così arriverebbero a meno di 30 mm da un muro (mai più corti del telaio dell’argano: lì lo dice m_fit); una lunghezza data a mano copre gli appoggi dell’argano (m_base); un telaio o le putrelle mai più bassi del loro profilato; l’altezza del basamento porta l’asse della puleggia, che il calcolo (tratto di fune oltre la corsa) e il 3D seguono</t>
        </is>
      </c>
      <c r="E130" s="10" t="inlineStr">
        <is>
          <t>UNI EN 81-20:2020, 5.2.1.8 (carichi sull’edificio); scelta del costruttore</t>
        </is>
      </c>
      <c r="F130" s="10" t="inlineStr">
        <is>
          <t>telaio basso universale per argano alto 200 mm (lift-store.it); antivibranti del telaio dell’argano 25–30 mm (catalogo Donati); piastre di 20 mm e plinto di 250–300 mm nella pratica di installazione (fonti estere, da confermare); estratti di ricerca del 1° ottobre 2026</t>
        </is>
      </c>
      <c r="G130" s="10" t="inlineStr">
        <is>
          <t>scelta del software</t>
        </is>
      </c>
      <c r="H130" s="10" t="inlineStr">
        <is>
          <t>telaio o plinto sotto tutti gli appoggi dell’argano</t>
        </is>
      </c>
      <c r="I130" s="11" t="n"/>
      <c r="J130" s="11" t="n"/>
      <c r="K130" s="11" t="n"/>
      <c r="L130" s="11" t="n"/>
      <c r="M130" s="11" t="n"/>
      <c r="N130" s="11" t="n"/>
    </row>
    <row r="131" ht="303" customHeight="1">
      <c r="A131" s="10" t="n">
        <v>129</v>
      </c>
      <c r="B131" s="10" t="inlineStr">
        <is>
          <t>Locale del macchinario</t>
        </is>
      </c>
      <c r="C131" s="10" t="inlineStr">
        <is>
          <t>Argano che resta sul suo basamento esistente — posizione, altezza, appoggi e portata del basamento esistente non sono verificati: se le forze sulle strutture dell’edificio crescono o si spostano a sfavore della sicurezza (per esempio con portata o velocità maggiori), la prova della struttura è a cura del proprietario (punto 5), da confermare dal tecnico strutturale; l’asse dalla L0 ne eredita la precisione; fino a SHAFT 2.25.0 e LIFT 1.31.0 l’argano che resta si disegnava su un basamento nuovo del software, con le sue verifiche</t>
        </is>
      </c>
      <c r="D131" s="10" t="inlineStr">
        <is>
          <t>con l’argano che resta (calcolo di un impianto esistente il cui collaudo non sostituisce la macchina, qualunque sia il tipo di intervento) i disegni del locale lo mettono sul suo basamento esistente: un blocco tratteggiato «BASAMENTO ESISTENTE — DA RILEVARE: POSIZIONE, ALTEZZA E APPOGGI», l’asse della puleggia dove lo porta la L0 del calcolo (un asse che l’argano non può avere è un problema di L0), senza telaio, antivibranti, putrelle HEB, gancio né supporto del rinvio; le aperture nella soletta esistenti, tratteggiate; L0, dx e h vengono dal calcolo; non si calcolano le verifiche di un basamento nuovo (m_beam, m_heb, m_bedplate, m_base, m_stand, m_rinvio, m_holes, m_calata), restano quelle dell’argano nel locale (m_fit, m_free, m_panel, m_quadro, m_route); il foglio 1 dà «ARGANO ESISTENTE» con la massa del calcolo, «BASAMENTO ESISTENTE (DA RILEVARE)» senza massa e una risultante sul basamento, statica e con il coefficiente dinamico, con la ripartizione sugli appoggi da rilevare; il tipo di basamento indicato (spessori, telaio, putrelle, plinto, non chiaro) è solo descrittivo</t>
        </is>
      </c>
      <c r="E131" s="10" t="inlineStr">
        <is>
          <t>UNI 10411-1:2024, 9.1–9.2 e 5; UNI 10411-11:2024, 9.2 e 5; UNI EN 81-20:2020, 5.2.6.3.3 (aperture, qui esistenti); DPR 162/1999, art. 12 c.4</t>
        </is>
      </c>
      <c r="F131" s="10" t="inlineStr">
        <is>
          <t>UNI 10411-1:2024 e UNI 10411-11:2024, punti 5 e 9 letti sul testo; come si disegna l’argano che resta e quale asse prende: scelta del software</t>
        </is>
      </c>
      <c r="G131" s="10" t="inlineStr">
        <is>
          <t>scelta del software</t>
        </is>
      </c>
      <c r="H131" s="10" t="inlineStr">
        <is>
          <t>—</t>
        </is>
      </c>
      <c r="I131" s="11" t="n"/>
      <c r="J131" s="11" t="n"/>
      <c r="K131" s="11" t="n"/>
      <c r="L131" s="11" t="n"/>
      <c r="M131" s="11" t="n"/>
      <c r="N131" s="11" t="n"/>
    </row>
    <row r="132" ht="420" customHeight="1">
      <c r="A132" s="10" t="n">
        <v>130</v>
      </c>
      <c r="B132" s="10" t="inlineStr">
        <is>
          <t>Locale del macchinario</t>
        </is>
      </c>
      <c r="C132" s="10" t="inlineStr">
        <is>
          <t>Telaio sotto l’argano — fino a LIFT 1.24.0, ROOM 1.8.0 e SHAFT 2.18.0 il telaio aveva due soli ferri, sotto le file di fori, con la puleggia a sbalzo oltre di essi; fino a LIFT 1.26.0, ROOM 1.10.0 e SHAFT 2.20.0 sotto l’argano di catalogo era alto quanto teneva l’asse dove lo tiene l’argano generico (fino a 285 mm, i ferri su ritti), anche sopra il telaio con rinvio</t>
        </is>
      </c>
      <c r="D132" s="10" t="inlineStr">
        <is>
          <t>il telaio ha sempre tre ferri sopra e la puleggia sta fra i ferri, così il carico delle funi cade fra gli appoggi e il telaio non si ribalta: un ferro sotto ogni fila di fori dei piedi e, se nessuna fila (il supporto esterno) sta oltre la puleggia, un terzo ferro oltre di essa, distante dal suo piano quanto la fila più vicina sta prima (come i supporti esterni dei costruttori) e con l’ala almeno 20 mm oltre la faccia esterna della puleggia; le traverse alle estremità stanno almeno 20 mm oltre il bordo della puleggia, così le funi scendono dentro il telaio; antivibranti alle estremità di ogni ferro, il telaio 40 mm oltre l’argano a ogni estremità; l’argano generico del software ha lo stesso telaio (ferri a −160, +160 e +520 mm dal piano della vite, la puleggia a 340 mm, alla puleggia Ø 560); sotto l’argano di catalogo il telaio è alto quanto serve all’argano e non di più: almeno 80 mm, il bordo della puleggia e quanto pende sotto i piedi 30 mm sopra il suo piano d’appoggio (gli argani compatti hanno la puleggia a sbalzo, sotto il piano dei piedi); ogni ferro è un profilato alto quanto il telaio sugli antivibranti, mai su ritti; l’asse della puleggia sta dove lo porta il telaio e il calcolo segue (h, L0); sul telaio con rinvio l’argano non ha un telaio proprio: i piedi stanno sui ferri del telaio con rinvio (locale.rinvio), sul telaio del costruttore sul piedistallo del costruttore; con la macchina in basso accanto al vano la puleggia passa il muro: il telaio resta nel locale con i soli ferri sotto i piedi</t>
        </is>
      </c>
      <c r="E132" s="10" t="inlineStr">
        <is>
          <t>regola del committente (Panev): il telaio ha tre ferri sopra e la puleggia fra i ferri, altrimenti si ribalterebbe</t>
        </is>
      </c>
      <c r="F132" s="10" t="inlineStr">
        <is>
          <t>quote dei piedi, dei fori e dell’asse della puleggia dalle schede tecniche del costruttore; i supporti esterni dei costruttori a catalogo (SICOR MR35, Montanari M73S, M75S, M95, M98, Sassi MF94, MB94, MB95, GEM HW134L, HW135L-VF, HW140CL, FAER P58F, P60F, P68F, P70F, P80F) stanno oltre la puleggia da 0,84 a 1,26 volte la distanza della fila prima; altezza e terzo ferro scelti dal software, da adattare al telaio fornito</t>
        </is>
      </c>
      <c r="G132" s="10" t="inlineStr">
        <is>
          <t>scelta del software</t>
        </is>
      </c>
      <c r="H132" s="10" t="inlineStr">
        <is>
          <t>—</t>
        </is>
      </c>
      <c r="I132" s="11" t="n"/>
      <c r="J132" s="11" t="n"/>
      <c r="K132" s="11" t="n"/>
      <c r="L132" s="11" t="n"/>
      <c r="M132" s="11" t="n"/>
      <c r="N132" s="11" t="n"/>
    </row>
    <row r="133" ht="576" customHeight="1">
      <c r="A133" s="10" t="n">
        <v>131</v>
      </c>
      <c r="B133" s="10" t="inlineStr">
        <is>
          <t>Locale del macchinario</t>
        </is>
      </c>
      <c r="C133" s="10" t="inlineStr">
        <is>
          <t>Puleggia di rinvio nel locale del macchinario — fino a LIFT 1.27.0 e ROOM 1.11.0 il telaio del costruttore era disegnato e verificato lungo quanto il nostro (l’argano e il rinvio più 100 mm a ogni estremità), non quanto a catalogo</t>
        </is>
      </c>
      <c r="D133" s="10" t="inlineStr">
        <is>
          <t>con l’argano in alto il rinvio sta sempre nel locale del macchinario, mai nel vano: nel telaio dell’argano (il basamento che il software prende quando c’è un rinvio), con l’asse del rinvio a 320 mm dal pavimento (il bordo almeno 60 mm sopra il pavimento: Dp/2 + 60 oltre Ø 520), il piano del telaio a 736 mm (almeno 176 mm sopra il rinvio), gambe di tubo quadro da 80 mm su antivibranti da 28 mm, travi UPN 160 sotto i ferri del telaio dell’argano — le due laterali sotto i ferri esterni, oppure, se così il telaio è più stretto di 655 mm (o di quello del costruttore), largo 655 mm (o quanto quello del costruttore) e centrato sui ferri; una trave propria sotto ogni ferro che le laterali non portano: ogni appoggio dell’argano sta su una trave —, 100 mm oltre l’argano e il rinvio a ogni estremità, il rinvio appeso fra le travi; l’argano di catalogo con i piedi direttamente sui ferri, senza un telaio proprio (l’asse della puleggia sulla sommità quanto quello dell’argano sui piedi; l’argano generico sul suo basamento); con un argano SICOR che ha il suo telaio a catalogo (SV110 e SH110B XTE0517/XTE0516, SH130 e SH130G XTE3022/XTE3023, SH140 XTE6026/XTE6027, SH160 XTE5708, SH190 XTE3988) le quote del costruttore: asse del rinvio, asse della puleggia (A), piano del telaio (A − B), l’argano sul piedistallo del costruttore alto B meno l’asse della puleggia sui piedi (SH140 114 mm, SH160 240, SH190 307), calata del contrappeso entro L max dall’asse della puleggia (verifica di avvertimento: oltre, telaio su misura), il telaio del costruttore lungo quanto a catalogo con l’asse della puleggia dove lo mette lui dall’estremità verso la cabina (X + D/2 della sua tabella: SV110, SH110B, SH130, SH140 380 mm, SH160 495, SH190 600), l’argano e il rinvio dentro la sua lunghezza (m_bedplate; un argano girato che ne esce vuole il telaio su misura); h del calcolo = asse della puleggia − asse del rinvio, dx dalla pianta; con un altro basamento scelto il rinvio sta su un supporto proprio sul pavimento, alla stessa altezza; una h inserita a mano che porta il rinvio sotto il pavimento è segnalata</t>
        </is>
      </c>
      <c r="E133" s="10" t="inlineStr">
        <is>
          <t>regola del committente (Panev): il rinvio sta nel telaio del locale macchina, mai nel vano; UNI EN 81-20:2020, 5.2.1.8 (carichi sull’edificio)</t>
        </is>
      </c>
      <c r="F133" s="10" t="inlineStr">
        <is>
          <t>brochure Geared SICOR, aprile 2026, pp. 16, 23, 41, 47, 58, 68 e 80 (telai «top machine with diverting pulley for CSW wrapping»), letta il 2 ottobre 2026; i telai «corti» MR21, MR26 e MR35 portano il rinvio sotto il pavimento (Hmin = Dt/2 + 75) e non sono usati; le quote del telaio del software sono quelle dei telai SICOR, da adattare al telaio fornito</t>
        </is>
      </c>
      <c r="G133" s="10" t="inlineStr">
        <is>
          <t>scelta del software</t>
        </is>
      </c>
      <c r="H133" s="10" t="inlineStr">
        <is>
          <t>calata del contrappeso nel telaio con rinvio del costruttore; argano e rinvio dentro la lunghezza del telaio con rinvio del costruttore</t>
        </is>
      </c>
      <c r="I133" s="11" t="n"/>
      <c r="J133" s="11" t="n"/>
      <c r="K133" s="11" t="n"/>
      <c r="L133" s="11" t="n"/>
      <c r="M133" s="11" t="n"/>
      <c r="N133" s="11" t="n"/>
    </row>
    <row r="134" ht="485" customHeight="1">
      <c r="A134" s="10" t="n">
        <v>132</v>
      </c>
      <c r="B134" s="10" t="inlineStr">
        <is>
          <t>Locale del macchinario</t>
        </is>
      </c>
      <c r="C134" s="10" t="inlineStr">
        <is>
          <t>L’argano dentro il locale del macchinario — fino a LIFT 1.25.0, ROOM 1.9.0 e SHAFT 2.19.0 l’argano stava sempre con il motore verso il contrappeso, anche quando così entrava nel muro, e l’ingombro non contava quanto il telaio o il plinto sporgono oltre il telaio dell’argano; fino a LIFT 1.27.0 i rami della macchina in basso stretti fra contrappeso e parete erano solo un avviso nel modulo, e a linea delle calate obliqua i rami, l’argano e il suo locale seguivano la linea delle calate invece della parete</t>
        </is>
      </c>
      <c r="D134" s="10" t="inlineStr">
        <is>
          <t>l’argano sul suo basamento — con il telaio del rinvio o con il supporto del rinvio — sta dentro il locale in pianta e sotto il soffitto: la distanza minima dai muri e dal soffitto non è negativa; nell’ingombro in pianta il telaio dell’argano e quanto il basamento sporge oltre di esso (i profilati di un telaio e i blocchi di un plinto per tutta la loro lunghezza; le putrelle appoggiano nei muri); ingombri dalle quote del costruttore per gli argani disegnati com’è, dall’argano generico del software (scalato alla puleggia) per gli altri. L’argano sta lungo la linea delle calate con la puleggia sopra le funi e il motore verso il contrappeso; quando solo così sta dentro il locale, o ne esce di meno, il software lo gira di 180° attorno all’asse verticale della puleggia (motore verso la calata della cabina, riduttore sull’altro lato della linea delle calate), non sul telaio con rinvio del costruttore, che la porta come la monta lui; il verso si può scegliere a mano (sul telaio del costruttore un argano girato deve stare nella sua lunghezza: m_bedplate). La puleggia di rinvio sul suo supporto sotto l’argano libera il basamento dell’argano sopra di essa (solo le putrelle sollevate la scavalcano); con la macchina in basso l’argano — corpo e puleggia — sta dentro il suo locale, accanto al vano o sotto di esso, con le misure date sui disegni o quelle del software, e i due rami alla macchina salgono dietro il contrappeso liberi dalla parete, dal contrappeso, dalle staffe delle sue guide e dai muri laterali con il margine della macchina in basso (m_runs: il margine minimo non è negativo), la puleggia con il piano parallelo alla parete anche a linea delle calate obliqua (l’obliquità la prendono le pulegge in testata, ognuna nel piano delle due verticali che unisce)</t>
        </is>
      </c>
      <c r="E134" s="10" t="inlineStr">
        <is>
          <t>—</t>
        </is>
      </c>
      <c r="F134" s="10" t="inlineStr">
        <is>
          <t>geometria del progetto: la pianta e l’altezza del locale inserite, gli ingombri dell’argano e del basamento; il verso dell’argano: scelta del software</t>
        </is>
      </c>
      <c r="G134" s="10" t="inlineStr">
        <is>
          <t>derivazione</t>
        </is>
      </c>
      <c r="H134" s="10" t="inlineStr">
        <is>
          <t>argano dentro il locale (muri e soffitto); puleggia di rinvio sul suo supporto sotto l’argano; rami alla macchina in basso liberi da parete, contrappeso, staffe e muri</t>
        </is>
      </c>
      <c r="I134" s="11" t="n"/>
      <c r="J134" s="11" t="n"/>
      <c r="K134" s="11" t="n"/>
      <c r="L134" s="11" t="n"/>
      <c r="M134" s="11" t="n"/>
      <c r="N134" s="11" t="n"/>
    </row>
    <row r="135" ht="316" customHeight="1">
      <c r="A135" s="10" t="n">
        <v>133</v>
      </c>
      <c r="B135" s="10" t="inlineStr">
        <is>
          <t>Locale del macchinario</t>
        </is>
      </c>
      <c r="C135" s="10" t="inlineStr">
        <is>
          <t>Verifica delle putrelle sotto l’argano — verifica semplice a carico concentrato in mezzeria su trave appoggiata; gli appoggi nei muri e la muratura vanno verificati dal progettista; fino a LIFT 1.24.0 e ROOM 1.8.0 le putrelle erano due, sotto le file di fori con la puleggia a sbalzo oltre di esse; fino a LIFT 1.27.0 e ROOM 1.11.0, a linea delle calate obliqua, le tre putrelle avevano la luce di quella sotto la linea delle calate</t>
        </is>
      </c>
      <c r="D135" s="10" t="inlineStr">
        <is>
          <t>una putrella sotto ogni ferro del telaio dell’argano (tre, la puleggia fra il secondo e il terzo: locale.telaio), lungo la linea delle calate da muro a muro, ciascuna fra i suoi muri (a linea delle calate obliqua ognuna li incontra altrove) e appoggiata 150 mm per parte nella muratura, mai nel vano della porta del locale (m_beamwall: la distanza della sua ala dallo stipite più vicino ≥ 0); il carico dell’argano (il suo peso al centro del suo ingombro più il carico statico sull’asse per il coefficiente dinamico, sulle calate delle funi nel piano della puleggia) cade fra le putrelle esterne e si ripartisce tra le tre linearmente (telaio rigido su putrelle di pari rigidezza); ognuna porta la sua parte come forza concentrata in mezzeria (a favore di sicurezza), più il proprio peso, sulla luce tra i centri degli appoggi nei muri (luce libera più 150 mm): σ = M/Wel,y ≤ fyk/γM0 con acciaio S275 (fyk 275 MPa) e γM0 = 1,05; freccia elastica f = F·L³/(48·E·I) + 5·q·L⁴/(384·E·I) ≤ 1/1500 della luce libera con E = 210000 MPa, sulla putrella più caricata, ognuna sulla sua luce; proprietà dei profili EN 10365</t>
        </is>
      </c>
      <c r="E135" s="10" t="inlineStr">
        <is>
          <t>NTC 2018, §4.2.4.1.1 (γM0), Tab. 11.3.IX (S275), §11.3.4.1 (E), §3.1.4 (carichi del macchinario); DPR 1497/1963, art. 5.1–5.2 (carichi fissi più 1,5 volte il carico statico delle funi, sicurezza ≥ 6, freccia ≤ 1/1500 della luce libera: regola storica degli impianti esistenti, letta su Normattiva)</t>
        </is>
      </c>
      <c r="F135" s="10" t="inlineStr">
        <is>
          <t>NTC 2018 (DM 17/01/2018); catalogo dei profilati ArcelorMittal (EN 10365) confrontato con due tabelle indipendenti; IPE 330, 360 e 400 dalle tabelle EN 10365 di eurocodeapplied.com e dalla scheda tecnica degli IPE di STAD, concordi, lette il 7 ottobre 2026; DPR 1497/1963 letto per intero (research/argano-geared, cap. 15, §1.1)</t>
        </is>
      </c>
      <c r="G135" s="10" t="inlineStr">
        <is>
          <t>da verificare</t>
        </is>
      </c>
      <c r="H135" s="10" t="inlineStr">
        <is>
          <t>tensione nelle putrelle sotto l’argano; freccia delle putrelle sotto l’argano; appoggio delle putrelle sotto l’argano nei muri, fuori dalla porta</t>
        </is>
      </c>
      <c r="I135" s="11" t="n"/>
      <c r="J135" s="11" t="n"/>
      <c r="K135" s="11" t="n"/>
      <c r="L135" s="11" t="n"/>
      <c r="M135" s="11" t="n"/>
      <c r="N135" s="11" t="n"/>
    </row>
    <row r="136" ht="147" customHeight="1">
      <c r="A136" s="10" t="n">
        <v>134</v>
      </c>
      <c r="B136" s="10" t="inlineStr">
        <is>
          <t>Locale del macchinario</t>
        </is>
      </c>
      <c r="C136" s="10" t="inlineStr">
        <is>
          <t>Sostituzione dell’argano: calate esistenti e calate della nuova macchina — con il tiro diretto la nuova puleggia può essere più piccola delle calate esistenti: ogni ramo scende inclinato di (calate − D)/2 fino agli attacchi (la relazione tecnica lo scrive con l’angolo); i fori nella soletta seguono le funi al loro livello</t>
        </is>
      </c>
      <c r="D136" s="10" t="inlineStr">
        <is>
          <t>nella sola sostituzione dell’argano la cabina e il contrappeso restano dove sono: le funi della nuova macchina devono scendere sulle calate esistenti, rilevate nel locale dall’angolo interno del vano. La distanza tra le calate data dal calcolo (rinvio: D/2 + dx ± Dp/2, più Dp in taglia 2:1; tiro diretto: il diametro della puleggia esistente, se inserita, altrimenti della nuova, più Dp in taglia 2:1) e quella misurata differiscono al più di 10 mm; oltre, il calcolo va ripetuto con la geometria misurata (dx, puleggia esistente)</t>
        </is>
      </c>
      <c r="E136" s="10" t="inlineStr">
        <is>
          <t>—</t>
        </is>
      </c>
      <c r="F136" s="10" t="inlineStr">
        <is>
          <t>tolleranza scelta dal software per il rilievo in sito (le funi a qualche metro dal basamento): da confermare con l’installatore</t>
        </is>
      </c>
      <c r="G136" s="10" t="inlineStr">
        <is>
          <t>scelta del software</t>
        </is>
      </c>
      <c r="H136" s="10" t="inlineStr">
        <is>
          <t>sostituzione: calate della nuova macchina sulle calate esistenti</t>
        </is>
      </c>
      <c r="I136" s="11" t="n"/>
      <c r="J136" s="11" t="n"/>
      <c r="K136" s="11" t="n"/>
      <c r="L136" s="11" t="n"/>
      <c r="M136" s="11" t="n"/>
      <c r="N136" s="11" t="n"/>
    </row>
    <row r="137" ht="693" customHeight="1">
      <c r="A137" s="10" t="n">
        <v>135</v>
      </c>
      <c r="B137" s="10" t="inlineStr">
        <is>
          <t>Locale del macchinario</t>
        </is>
      </c>
      <c r="C137" s="10" t="inlineStr">
        <is>
          <t>Putrelle HEB sui muri del vano sotto l’argano — verifica semplice di trave appoggiata con il carico nella risultante; i disegni mostrano le piastre sopra i muri, il distacco dalla soletta e l’appoggio quotato, e le gambe del basamento fissate alle ali con piastre e bulloni (o morsetti) — dettaglio da confermare; in alternativa le putrelle in tasche nei muri sotto la soletta, che il tecnico disegna a parte; fino a LIFT 1.28.0 e ROOM 1.12.0 le putrelle erano disegnate appoggiate sulla soletta per tutta la lunghezza e potevano passare sopra i bordi dei fori (nessuna verifica m_hebkerb); il bordo è quello in lamiera del disegno (locale.fori): un bordo in calcestruzzo, più spesso, il tecnico lo tiene fuori dalle putrelle; gli appoggi nei muri del vano, la muratura sotto di essi, il fissaggio dell’argano alle putrelle, il collegamento tra le due putrelle e lo sbalzo del telaio oltre di esse vanno verificati dal progettista; fino a LIFT 1.27.0 e ROOM 1.11.0 il nostro telaio con il rinvio stava sulle gambe ai suoi angoli, le putrelle sotto di esse (oltre il muro di fondo nell’esempio: nessuna scelta passava), e le putrelle sotto un telaio che le attraversa non evitavano le funi; con un basamento sui piedi e la linea delle calate obliqua (spessori, piastre, il telaio del costruttore) i piedi non stanno tutti sulle ali: il telaio basso che le attraversa è la scelta che passa</t>
        </is>
      </c>
      <c r="D137" s="10" t="inlineStr">
        <is>
          <t>quando la soletta tra il locale e il vano non ha una verifica strutturale, il basamento dell’argano (i suoi piedi, le estremità del telaio, le gambe del telaio con il rinvio, il supporto del rinvio) poggia su due putrelle HEB 120, HEB 140 o HEB 160 che scavalcano il vano da muro a muro, lungo la sua larghezza o la sua profondità, con un appoggio di 200 mm in ognuno dei due muri del vano: ogni estremità poggia su una piastra di ripartizione sopra il muro, lunga quanto l’appoggio, larga 250 mm e spessa 15 mm, su un letto di malta antiritiro di 15 mm, così l’intradosso della putrella sta 30 mm sopra la soletta e non la tocca fra gli appoggi (il distacco supera la freccia ammessa più 10 mm: la verifica della freccia lo garantisce); le due putrelle stanno sotto i piedi più esterni del basamento (le gambe del telaio con il rinvio del costruttore), e sotto il nostro telaio basso o il nostro telaio con il rinvio, che le attraversano, il più lontane possibile tra loro entro i muri del vano e a non meno di 50 mm dalle funi che attraversano la soletta (anche quella del limitatore) e fuori dai bordi dei loro fori (locale.fori: la putrella sta 30 mm sopra la soletta, sotto la sommità del bordo di 50 mm): il telaio può sporgere oltre di esse, le gambe del nostro telaio con il rinvio stanno dove i suoi lati incrociano le putrelle, sulle loro ali, anche con la linea delle calate obliqua. Ognuna è una trave appoggiata tra i centri degli appoggi (luce libera più 200 mm) che porta la sua parte del carico dell’argano (il suo peso più il carico statico sull’asse per il coefficiente dinamico, nella risultante del peso dell’argano e delle due calate) per la regola della leva, più il proprio peso: σ = M/Wel,y ≤ fyk/γM0 e freccia ≤ 1/1500 della luce libera come per le putrelle sotto l’argano; la risultante tra le due putrelle, i piedi sulle ali delle putrelle (un telaio che le attraversa solo entro la loro lunghezza), le funi che attraversano la soletta (anche quella del limitatore) ad almeno 50 mm dalle putrelle, le putrelle fuori dai bordi dei fori in pianta (anche a filo), i muri del vano spessi almeno quanto l’appoggio e le due putrelle sopra i muri che le portano, entro le loro facce esterne (sotto piedi oltre il vano una putrella non poggia su nulla e la verifica non passa). Delle sei scelte (due direzioni, tre profili) il software prende le putrelle più corte che passano le verifiche, poi le più leggere — le più facili da portare nel locale, anche con l’argano girato; profilo e direzione si scelgono a mano</t>
        </is>
      </c>
      <c r="E137" s="10" t="inlineStr">
        <is>
          <t>UNI EN 81-20:2020, 5.2.1.8.1 e appendice E.1 (carichi sull’edificio); NTC 2018, §4.2.4.1.1 (γM0), Tab. 11.3.IX (S275), §11.3.4.1 (E); DPR 1497/1963, art. 5.1–5.2 (freccia ≤ 1/1500 della luce libera); proprietà dei profili EN 10365</t>
        </is>
      </c>
      <c r="F137" s="10" t="inlineStr">
        <is>
          <t>scelta del committente (putrelle HEB 120/140/160 sui muri del vano quando manca la verifica della soletta); scelta del software (appoggio di 200 mm, piastre di ripartizione e malta antiritiro secondo la pratica di cantiere, 50 mm dalle funi, le più corte e poi le più leggere); UNI EN 81-20:2020, testo della norma, letto il 2026-10-06, pp. 26, 148</t>
        </is>
      </c>
      <c r="G137" s="10" t="inlineStr">
        <is>
          <t>scelta del software</t>
        </is>
      </c>
      <c r="H137" s="10" t="inlineStr">
        <is>
          <t>tensione nelle putrelle HEB sui muri del vano; freccia delle putrelle HEB sui muri del vano; basamento dell’argano sulle putrelle HEB; funi lontane dalle putrelle HEB; putrelle HEB fuori dai bordi dei fori nella soletta; appoggio delle putrelle HEB nei muri del vano</t>
        </is>
      </c>
      <c r="I137" s="11" t="n"/>
      <c r="J137" s="11" t="n"/>
      <c r="K137" s="11" t="n"/>
      <c r="L137" s="11" t="n"/>
      <c r="M137" s="11" t="n"/>
      <c r="N137" s="11" t="n"/>
    </row>
    <row r="138" ht="147" customHeight="1">
      <c r="A138" s="10" t="n">
        <v>136</v>
      </c>
      <c r="B138" s="10" t="inlineStr">
        <is>
          <t>Carichi sull’edificio e spinte sulle guide</t>
        </is>
      </c>
      <c r="C138" s="10" t="inlineStr">
        <is>
          <t>Carichi sul pavimento della fossa — non calcolato: con spazi accessibili sotto il vano (5.2.5.4) il contrappeso ha il paracadute, sotto le sue guide va anche k1·g·M_cw/n e il fondo della fossa regge almeno 5000 N/m². In P il software conta anche il cavo flessibile (metà corsa + 3 m, come sull’asse della macchina), come vuole la 5.2.1.8.5; la compensazione, se c’è, la aggiunge l’ingegnere</t>
        </is>
      </c>
      <c r="D138" s="10" t="inlineStr">
        <is>
          <t>sotto ogni ammortizzatore 4 volte il carico statico: 4·g·(P+Q) per la cabina, 4·g·M_cw per il contrappeso, divisi tra gli ammortizzatori; sotto ogni guida di cabina la massa della guida più la reazione all’intervento del paracadute k1·g·(P+Q)/2 (k1 = 2 progressivo, 3 istantaneo a rulli, 5 istantaneo); sotto ogni guida del contrappeso la massa della guida</t>
        </is>
      </c>
      <c r="E138" s="10" t="inlineStr">
        <is>
          <t>UNI EN 81-20:2020, 5.2.1.8.4–5.2.1.8.6, 5.7.2.3.5 e Prospetto 14 (k1)</t>
        </is>
      </c>
      <c r="F138" s="10" t="inlineStr">
        <is>
          <t>UNI EN 81-20:2020, testo della norma, letto il 2026-10-06, pp. 27, 94–96</t>
        </is>
      </c>
      <c r="G138" s="10" t="inlineStr">
        <is>
          <t>confermato</t>
        </is>
      </c>
      <c r="H138" s="10" t="inlineStr">
        <is>
          <t>—</t>
        </is>
      </c>
      <c r="I138" s="11" t="n"/>
      <c r="J138" s="11" t="n"/>
      <c r="K138" s="11" t="n"/>
      <c r="L138" s="11" t="n"/>
      <c r="M138" s="11" t="n"/>
      <c r="N138" s="11" t="n"/>
    </row>
    <row r="139" ht="108" customHeight="1">
      <c r="A139" s="10" t="n">
        <v>137</v>
      </c>
      <c r="B139" s="10" t="inlineStr">
        <is>
          <t>Carichi sull’edificio e spinte sulle guide</t>
        </is>
      </c>
      <c r="C139" s="10" t="inlineStr">
        <is>
          <t>Spinte sulle guide di cabina — h, la distanza tra i pattini, è una stima del software (l’ingombro verticale dell’arcata)</t>
        </is>
      </c>
      <c r="D139" s="10" t="inlineStr">
        <is>
          <t>portata spostata di 1/8 della cabina dal centro, più lo scostamento della cabina dalle guide (arcata a zaino); intervento del paracadute: Fx = k1·g·(Q·xQ + P·xP)/(n·h) sulle facce delle lame, Fy = k1·g·(Q·yQ + P·yP)/((n/2)·h) sulle punte; marcia: k2 = 1,2; n = 2 guide, h = distanza tra i pattini, presa pari all’ingombro verticale dell’arcata; si riporta il caso più gravoso</t>
        </is>
      </c>
      <c r="E139" s="10" t="inlineStr">
        <is>
          <t>UNI EN 81-50:2020, appendice C (informativa), C.2.1.1 e C.2.2.1; UNI EN 81-20:2020, 5.7.2.3.4 (portata su 3/4 della superficie: 1/8) e Prospetto 14 (k1; k2 = 1,2)</t>
        </is>
      </c>
      <c r="F139" s="10" t="inlineStr">
        <is>
          <t>UNI EN 81-50:2020, testo della norma, letto il 2026-10-06, pp. 77–79; UNI EN 81-20:2020, testo della norma, letto il 2026-10-06, pp. 94–96</t>
        </is>
      </c>
      <c r="G139" s="10" t="inlineStr">
        <is>
          <t>confermato</t>
        </is>
      </c>
      <c r="H139" s="10" t="inlineStr">
        <is>
          <t>—</t>
        </is>
      </c>
      <c r="I139" s="11" t="n"/>
      <c r="J139" s="11" t="n"/>
      <c r="K139" s="11" t="n"/>
      <c r="L139" s="11" t="n"/>
      <c r="M139" s="11" t="n"/>
      <c r="N139" s="11" t="n"/>
    </row>
    <row r="140" ht="108" customHeight="1">
      <c r="A140" s="10" t="n">
        <v>138</v>
      </c>
      <c r="B140" s="10" t="inlineStr">
        <is>
          <t>Carichi sull’edificio e spinte sulle guide</t>
        </is>
      </c>
      <c r="C140" s="10" t="inlineStr">
        <is>
          <t>Carico della macchina sulla soletta</t>
        </is>
      </c>
      <c r="D140" s="10" t="inlineStr">
        <is>
          <t>carico statico sull’asse (cabina, portata, contrappeso, funi, cavi; in taglia 2:1 la metà di cabina, portata e contrappeso) × 2 come coefficiente dinamico; sulla soletta anche la massa di macchina e telaio</t>
        </is>
      </c>
      <c r="E140" s="10" t="inlineStr">
        <is>
          <t>UNI EN 81-20:2020, 5.2.1.8.1 e appendice E.1 (informativa: l’effetto dinamico delle masse in moto con un fattore 2); il DPR 1497/1963, art. 5.1, per gli impianti costruiti secondo esso chiedeva 1,5 volte il carico statico delle funi</t>
        </is>
      </c>
      <c r="F140" s="10" t="inlineStr">
        <is>
          <t>UNI EN 81-20:2020, testo della norma, letto il 2026-10-06, pp. 26, 148</t>
        </is>
      </c>
      <c r="G140" s="10" t="inlineStr">
        <is>
          <t>confermato</t>
        </is>
      </c>
      <c r="H140" s="10" t="inlineStr">
        <is>
          <t>—</t>
        </is>
      </c>
      <c r="I140" s="11" t="n"/>
      <c r="J140" s="11" t="n"/>
      <c r="K140" s="11" t="n"/>
      <c r="L140" s="11" t="n"/>
      <c r="M140" s="11" t="n"/>
      <c r="N140" s="11" t="n"/>
    </row>
    <row r="141" ht="199" customHeight="1">
      <c r="A141" s="10" t="n">
        <v>139</v>
      </c>
      <c r="B141" s="10" t="inlineStr">
        <is>
          <t>Carichi sull’edificio e spinte sulle guide</t>
        </is>
      </c>
      <c r="C141" s="10" t="inlineStr">
        <is>
          <t>Arcata esistente sotto la cabina nuova o la portata nuova: verifica per i nuovi carichi — la UNI 10411-11:2024 (6.1) esclude la 6.9 quando aumenta solo il carico lato contrappeso; con l’arcata sostituita la verifica non si fa</t>
        </is>
      </c>
      <c r="D141" s="10" t="inlineStr">
        <is>
          <t>nella modifica che lascia l’arcata esistente e cambia la cabina o la portata, T* (cabina con arcata, porte e operatore più la portata) e la portata si confrontano con i carichi documentati: se vanno oltre i limiti (con la UNI 10411-1 T* o la portata oltre il prospetto 1, con la UNI 10411-11 qualunque aumento di T*) o non si possono confrontare perché i carichi documentati mancano, l’arcata va verificata per i nuovi carichi con i dati del suo costruttore o il calcolo del tecnico; il software non ha il modello dell’arcata: «Attenzione» senza valore. Con T* che diminuisce valgono gli ammortizzatori e il paracadute progressivo per i nuovi carichi (verifiche del carico nell’esito)</t>
        </is>
      </c>
      <c r="E141" s="10" t="inlineStr">
        <is>
          <t>UNI 10411-1:2024, 6.1 e 6.9; UNI 10411-11:2024, 6.1, 6.9 e 22</t>
        </is>
      </c>
      <c r="F141" s="10" t="inlineStr">
        <is>
          <t>UNI 10411-1:2024, testo della norma, letto il 2026-10-06, pp. 7–8; UNI 10411-11:2024, testo della norma, letto il 2026-10-06, pp. 7–8 e 15</t>
        </is>
      </c>
      <c r="G141" s="10" t="inlineStr">
        <is>
          <t>confermato</t>
        </is>
      </c>
      <c r="H141" s="10" t="inlineStr">
        <is>
          <t>modifica: arcata esistente con carichi oltre i limiti (T* o portata) o non documentati, da verificare per i nuovi carichi</t>
        </is>
      </c>
      <c r="I141" s="11" t="n"/>
      <c r="J141" s="11" t="n"/>
      <c r="K141" s="11" t="n"/>
      <c r="L141" s="11" t="n"/>
      <c r="M141" s="11" t="n"/>
      <c r="N141" s="11" t="n"/>
    </row>
    <row r="142" ht="147" customHeight="1">
      <c r="A142" s="10" t="n">
        <v>140</v>
      </c>
      <c r="B142" s="10" t="inlineStr">
        <is>
          <t>Carichi sull’edificio e spinte sulle guide</t>
        </is>
      </c>
      <c r="C142" s="10" t="inlineStr">
        <is>
          <t>Rapporto tra i carichi cambiato (UNI 10411-1): stabilità allo scorrimento delle funi — con l’esito, come informazione, la decelerazione a cui equivale il C1 minimo della fascia e quella limite fino a cui la condizione regge (voce modifica.d1), da confrontare con la prova del freno; l’esito non cambia</t>
        </is>
      </c>
      <c r="D142" s="10" t="inlineStr">
        <is>
          <t>nella modifica secondo la UNI 10411-1 il cui rapporto tra i carichi lato cabina e lato contrappeso cambia rispetto a quello documentato (voce impianto.variazione.carico), la condizione della D.1 con i valori della voce modifica.d1 del calcolo, nei suoi due casi: esito l’utilizzo (T1/T2)·C1·C2 / e^(f·α) del caso più sfavorevole, al massimo 1; con la UNI 10411-11 o con il rapporto che resta la verifica non c’è. Con la D.1 servono la D.2 (pressione specifica, voce rapporto.d2) e gli ammortizzatori secondo la UNI EN 81-20, 5.8</t>
        </is>
      </c>
      <c r="E142" s="10" t="inlineStr">
        <is>
          <t>UNI 10411-1:2024, 6.1 e D.1</t>
        </is>
      </c>
      <c r="F142" s="10" t="inlineStr">
        <is>
          <t>UNI 10411-1:2024, testo della norma, letto il 2026-10-06, pp. 6–7 e 33</t>
        </is>
      </c>
      <c r="G142" s="10" t="inlineStr">
        <is>
          <t>confermato</t>
        </is>
      </c>
      <c r="H142" s="10" t="inlineStr">
        <is>
          <t>modifica (UNI 10411-1): stabilità allo scorrimento delle funi con il rapporto tra i carichi cambiato (D.1)</t>
        </is>
      </c>
      <c r="I142" s="11" t="n"/>
      <c r="J142" s="11" t="n"/>
      <c r="K142" s="11" t="n"/>
      <c r="L142" s="11" t="n"/>
      <c r="M142" s="11" t="n"/>
      <c r="N142" s="11" t="n"/>
    </row>
    <row r="143" ht="160" customHeight="1">
      <c r="A143" s="10" t="n">
        <v>141</v>
      </c>
      <c r="B143" s="10" t="inlineStr">
        <is>
          <t>Carichi sull’edificio e spinte sulle guide</t>
        </is>
      </c>
      <c r="C143" s="10" t="inlineStr">
        <is>
          <t>Rapporto tra i carichi cambiato (UNI 10411-1): pressione specifica delle funi nelle gole — gola a V con sottosquadro: la D.2 non ha una formula; il maggiore dei due valori è una scelta del software (voce gole.pressione), da confermare con il soggetto della verifica</t>
        </is>
      </c>
      <c r="D143" s="10" t="inlineStr">
        <is>
          <t>nella stessa modifica della voce rapporto.d1 (rapporto tra i carichi cambiato secondo la UNI 10411-1), accanto alla D.1, la pressione specifica della D.2 con la cabina al piano più basso caricata con la portata, con la formula e i valori della voce gole.pressione: p ≤ (12,5 + 4·v_c)/(1 + v_c) N/mm², con v_c la velocità delle funi alla velocità nominale; esito soddisfatta o non soddisfatta (fuori da questa modifica la pressione resta un valore da dichiarare, g_press). Con la UNI 10411-11 o con il rapporto che resta la verifica non c’è</t>
        </is>
      </c>
      <c r="E143" s="10" t="inlineStr">
        <is>
          <t>UNI 10411-1:2024, 6.1 e D.2</t>
        </is>
      </c>
      <c r="F143" s="10" t="inlineStr">
        <is>
          <t>UNI 10411-1:2024, testo della norma, letto il 2026-10-06, pp. 6–7 e 34</t>
        </is>
      </c>
      <c r="G143" s="10" t="inlineStr">
        <is>
          <t>confermato</t>
        </is>
      </c>
      <c r="H143" s="10" t="inlineStr">
        <is>
          <t>modifica (UNI 10411-1): pressione specifica delle funi nelle gole con il rapporto tra i carichi cambiato (D.2)</t>
        </is>
      </c>
      <c r="I143" s="11" t="n"/>
      <c r="J143" s="11" t="n"/>
      <c r="K143" s="11" t="n"/>
      <c r="L143" s="11" t="n"/>
      <c r="M143" s="11" t="n"/>
      <c r="N143" s="11" t="n"/>
    </row>
    <row r="144" ht="147" customHeight="1">
      <c r="A144" s="10" t="n">
        <v>142</v>
      </c>
      <c r="B144" s="10" t="inlineStr">
        <is>
          <t>Carichi sull’edificio e spinte sulle guide</t>
        </is>
      </c>
      <c r="C144" s="10" t="inlineStr">
        <is>
          <t>Funi della modifica (UNI 10411-1) come nel foglio funi: coefficiente di sicurezza z — come il foglio funi della relazione tecnica (rt2.funi.*); calcolo con le masse della compensazione e del cavo flessibile del foglio</t>
        </is>
      </c>
      <c r="D144" s="10" t="inlineStr">
        <is>
          <t>nella modifica secondo la UNI 10411-1 con funi o argano sostituiti, carico o velocità variati, z = carico di rottura minimo / tiro della fune più caricata (cabina con la portata al piano più basso, funi e mezza massa della compensazione) almeno 12 con tre o più funi, 16 con due, solo con la pressione specifica della D.2 verificata (voce funi.modello.d1d2): allora sostituisce il coefficiente S_f della UNI EN 81-50, 5.12, che non viene conteggiato; con la D.2 non verificata vale S_f</t>
        </is>
      </c>
      <c r="E144" s="10" t="inlineStr">
        <is>
          <t>UNI EN 81-20:2020, 5.5.2.2; UNI 10411-1:2024, 14.1 c) e d)</t>
        </is>
      </c>
      <c r="F144" s="10" t="inlineStr">
        <is>
          <t>UNI EN 81-20:2020, testo della norma, letto il 2026-10-06, pp. 74–75; UNI 10411-1:2024, testo della norma, letto il 2026-10-06, p. 13</t>
        </is>
      </c>
      <c r="G144" s="10" t="inlineStr">
        <is>
          <t>confermato</t>
        </is>
      </c>
      <c r="H144" s="10" t="inlineStr">
        <is>
          <t>modifica (UNI 10411-1): coefficiente di sicurezza z delle funi come nel foglio funi, con la D.2 verificata (14.1)</t>
        </is>
      </c>
      <c r="I144" s="11" t="n"/>
      <c r="J144" s="11" t="n"/>
      <c r="K144" s="11" t="n"/>
      <c r="L144" s="11" t="n"/>
      <c r="M144" s="11" t="n"/>
      <c r="N144" s="11" t="n"/>
    </row>
    <row r="145" ht="199" customHeight="1">
      <c r="A145" s="10" t="n">
        <v>143</v>
      </c>
      <c r="B145" s="10" t="inlineStr">
        <is>
          <t>Carichi sull’edificio e spinte sulle guide</t>
        </is>
      </c>
      <c r="C145" s="10" t="inlineStr">
        <is>
          <t>Funi della modifica (UNI 10411-1) come nel foglio funi: D.1 e D.2 — il foglio funi calcola la D.1 e la D.2 sempre e le dice «non verificate» anche dove la 6.1 non le chiede: corretto in avviso e informazione</t>
        </is>
      </c>
      <c r="D145" s="10" t="inlineStr">
        <is>
          <t>nella stessa modifica della voce funi.modello.z, la D.1 nei suoi due casi (cabina in basso con 1,25·Q, cabina vuota in alto), con C1 mai sotto il minimo della fascia di velocità, la compensazione e il cavo flessibile nei tiri: esito il caso peggiore, (T1/T2)·C1·C2 al massimo e^(f·α); la D.2 con la cabina caricata con la portata, p al massimo il limite (12,5 + 4·v_c)/(1 + v_c) per il fattore del foglio (voce rt2.funi.d2). Solo con il rapporto tra i carichi come documentato (con il rapporto cambiato contano la D.1 e la D.2 delle voci rapporto.d1 e rapporto.d2): la D.1 non soddisfatta è «Attenzione», la D.2 decide solo tra z e S_f (voce funi.modello.z) e il suo esito è un’informazione</t>
        </is>
      </c>
      <c r="E145" s="10" t="inlineStr">
        <is>
          <t>UNI 10411-1:2024, D.1 e D.2</t>
        </is>
      </c>
      <c r="F145" s="10" t="inlineStr">
        <is>
          <t>UNI 10411-1:2024, testo della norma, letto il 2026-10-06, pp. 33–34</t>
        </is>
      </c>
      <c r="G145" s="10" t="inlineStr">
        <is>
          <t>confermato</t>
        </is>
      </c>
      <c r="H145" s="10" t="inlineStr">
        <is>
          <t>modifica (UNI 10411-1): stabilità allo scorrimento delle funi come nel foglio funi (D.1); modifica (UNI 10411-1): pressione specifica delle funi nelle gole come nel foglio funi (D.2)</t>
        </is>
      </c>
      <c r="I145" s="11" t="n"/>
      <c r="J145" s="11" t="n"/>
      <c r="K145" s="11" t="n"/>
      <c r="L145" s="11" t="n"/>
      <c r="M145" s="11" t="n"/>
      <c r="N145" s="11" t="n"/>
    </row>
    <row r="146" ht="56" customHeight="1">
      <c r="A146" s="10" t="n">
        <v>144</v>
      </c>
      <c r="B146" s="10" t="inlineStr">
        <is>
          <t>Carichi sull’edificio e spinte sulle guide</t>
        </is>
      </c>
      <c r="C146" s="10" t="inlineStr">
        <is>
          <t>Funi della modifica (UNI 10411-1) come nel foglio funi: puleggia tenditrice della compensazione</t>
        </is>
      </c>
      <c r="D146" s="10" t="inlineStr">
        <is>
          <t>con funi di compensazione, il diametro primitivo della puleggia tenditrice almeno 30 volte quello della fune di compensazione (voce rt2.funi.comp); le catene non hanno questa verifica</t>
        </is>
      </c>
      <c r="E146" s="10" t="inlineStr">
        <is>
          <t>UNI EN 81-20:2020, 5.5.6.2 c)</t>
        </is>
      </c>
      <c r="F146" s="10" t="inlineStr">
        <is>
          <t>UNI EN 81-20:2020, testo della norma, letto il 2026-10-06, p. 76</t>
        </is>
      </c>
      <c r="G146" s="10" t="inlineStr">
        <is>
          <t>confermato</t>
        </is>
      </c>
      <c r="H146" s="10" t="inlineStr">
        <is>
          <t>modifica (UNI 10411-1): rapporto D/d della puleggia tenditrice della compensazione (foglio funi)</t>
        </is>
      </c>
      <c r="I146" s="11" t="n"/>
      <c r="J146" s="11" t="n"/>
      <c r="K146" s="11" t="n"/>
      <c r="L146" s="11" t="n"/>
      <c r="M146" s="11" t="n"/>
      <c r="N146" s="11" t="n"/>
    </row>
    <row r="147" ht="43" customHeight="1">
      <c r="A147" s="10" t="n">
        <v>145</v>
      </c>
      <c r="B147" s="10" t="inlineStr">
        <is>
          <t>Carichi sull’edificio e spinte sulle guide</t>
        </is>
      </c>
      <c r="C147" s="10" t="inlineStr">
        <is>
          <t>Massa dei cavi flessibili</t>
        </is>
      </c>
      <c r="D147" s="10" t="inlineStr">
        <is>
          <t>0,5 kg/m per metà della corsa più 3 m (cavo piatto 24G0,75), sul basamento dell’argano, nella relazione e nel foglio 1</t>
        </is>
      </c>
      <c r="E147" s="10" t="inlineStr">
        <is>
          <t>—</t>
        </is>
      </c>
      <c r="F147" s="10" t="inlineStr">
        <is>
          <t>schede dei costruttori di cavi piatti (0,48–0,57 kg/m)</t>
        </is>
      </c>
      <c r="G147" s="10" t="inlineStr">
        <is>
          <t>stima</t>
        </is>
      </c>
      <c r="H147" s="10" t="inlineStr">
        <is>
          <t>—</t>
        </is>
      </c>
      <c r="I147" s="11" t="n"/>
      <c r="J147" s="11" t="n"/>
      <c r="K147" s="11" t="n"/>
      <c r="L147" s="11" t="n"/>
      <c r="M147" s="11" t="n"/>
      <c r="N147" s="11" t="n"/>
    </row>
    <row r="148" ht="199" customHeight="1">
      <c r="A148" s="10" t="n">
        <v>146</v>
      </c>
      <c r="B148" s="10" t="inlineStr">
        <is>
          <t>Carichi sull’edificio e spinte sulle guide</t>
        </is>
      </c>
      <c r="C148" s="10" t="inlineStr">
        <is>
          <t>Numero e posizione delle staffe delle guide — il foglio 1 delle tavole riporta l’interasse massimo tra le staffe montate, lo stesso l della verifica delle guide di cabina (UNI EN 81-50:2020, 5.10); le quote di ogni staffa dal fondo della fossa sono nel foglio dello sviluppo delle guide</t>
        </is>
      </c>
      <c r="D148" s="10" t="inlineStr">
        <is>
          <t>una staffa ogni 2000 mm di guida, più una all’inizio e una alla fine: per guida ⌊L / 2000⌋ + 2 (L la lunghezza della guida); la prima a 600 mm dal piede della guida, l’ultima a 200 mm dalla sua sommità, le altre a passo uguale tra le due; una staffa che cadrebbe sulla piastra di una giunzione (guide da 5 m dal fondo della fossa) si sposta appena oltre la piastra, dal lato dove resta sulla guida; l’ultimo spezzone non è mai più corto di metà della piastra più lunga, del suo franco e di una staffa (altrimenti si accorcia il primo); dalla quota dell’ultimo piano in su le staffe vanno alle pareti della testata e le piante le contano a parte. Il passo inserito nei dati dell’impianto sostituisce i 2000 mm</t>
        </is>
      </c>
      <c r="E148" s="10" t="inlineStr">
        <is>
          <t>regola di montaggio indicata dal committente</t>
        </is>
      </c>
      <c r="F148" s="10" t="inlineStr">
        <is>
          <t>scelta del committente</t>
        </is>
      </c>
      <c r="G148" s="10" t="inlineStr">
        <is>
          <t>scelta del software</t>
        </is>
      </c>
      <c r="H148" s="10" t="inlineStr">
        <is>
          <t>—</t>
        </is>
      </c>
      <c r="I148" s="11" t="n"/>
      <c r="J148" s="11" t="n"/>
      <c r="K148" s="11" t="n"/>
      <c r="L148" s="11" t="n"/>
      <c r="M148" s="11" t="n"/>
      <c r="N148" s="11" t="n"/>
    </row>
    <row r="149" ht="82" customHeight="1">
      <c r="A149" s="10" t="n">
        <v>147</v>
      </c>
      <c r="B149" s="10" t="inlineStr">
        <is>
          <t>Carichi sull’edificio e spinte sulle guide</t>
        </is>
      </c>
      <c r="C149" s="10" t="inlineStr">
        <is>
          <t>Lunghezze stimate nel foglio dei dati</t>
        </is>
      </c>
      <c r="D149" s="10" t="inlineStr">
        <is>
          <t>guide dal pavimento della fossa fino a 50 mm sotto la soletta del vano; fune del limitatore: due volte l’altezza dalla fossa al limitatore, posto 800 mm sopra il pavimento del locale, arrotondata al metro superiore; funi di sospensione: la lunghezza di taglio (voce impianto.funi.taglio)</t>
        </is>
      </c>
      <c r="E149" s="10" t="inlineStr">
        <is>
          <t>—</t>
        </is>
      </c>
      <c r="F149" s="10" t="inlineStr">
        <is>
          <t>stima del software, da sostituire con le misure di cantiere</t>
        </is>
      </c>
      <c r="G149" s="10" t="inlineStr">
        <is>
          <t>stima</t>
        </is>
      </c>
      <c r="H149" s="10" t="inlineStr">
        <is>
          <t>—</t>
        </is>
      </c>
      <c r="I149" s="11" t="n"/>
      <c r="J149" s="11" t="n"/>
      <c r="K149" s="11" t="n"/>
      <c r="L149" s="11" t="n"/>
      <c r="M149" s="11" t="n"/>
      <c r="N149" s="11" t="n"/>
    </row>
    <row r="150" ht="186" customHeight="1">
      <c r="A150" s="10" t="n">
        <v>148</v>
      </c>
      <c r="B150" s="10" t="inlineStr">
        <is>
          <t>Carichi sull’edificio e spinte sulle guide</t>
        </is>
      </c>
      <c r="C150" s="10" t="inlineStr">
        <is>
          <t>Reazioni sugli appoggi del basamento (R1…Rn) — P1 resta il carico totale sul basamento; le reazioni non sono simultanee ai carichi P2…P8; la verifica della soletta e dei muri è del tecnico strutturale</t>
        </is>
      </c>
      <c r="D150" s="10" t="inlineStr">
        <is>
          <t>il carico dell’argano sul basamento — la massa dell’argano con il suo telaio al centro del suo ingombro e il carico statico sul suo asse per il coefficiente dinamico, sui rami delle funi — ripartito sugli appoggi come da un corpo rigido su appoggi ugualmente cedevoli (regola della leva nelle due direzioni): sulla soletta sotto gli antivibranti (spessori, piastre), le estremità dei profilati del telaio, le gambe del telaio con rinvio, i blocchi del plinto; nei muri agli appoggi delle putrelle da muro a muro o delle HEB sopra il vano (ogni trave la sua quota di traverso, appoggiata lungo, con il peso proprio); il foglio 1 le scrive in daN, la pianta segna R1…Rn</t>
        </is>
      </c>
      <c r="E150" s="10" t="inlineStr">
        <is>
          <t>UNI EN 81-20:2020, 5.2.1.8 (carichi sull’edificio); ripartizione scelta del software</t>
        </is>
      </c>
      <c r="F150" s="10" t="inlineStr">
        <is>
          <t>statica elementare (corpo rigido su appoggi elastici uguali; trave appoggiata); per il punzonamento della soletta sotto gambe e antivibranti, dati per il tecnico strutturale</t>
        </is>
      </c>
      <c r="G150" s="10" t="inlineStr">
        <is>
          <t>scelta del software</t>
        </is>
      </c>
      <c r="H150" s="10" t="inlineStr">
        <is>
          <t>—</t>
        </is>
      </c>
      <c r="I150" s="11" t="n"/>
      <c r="J150" s="11" t="n"/>
      <c r="K150" s="11" t="n"/>
      <c r="L150" s="11" t="n"/>
      <c r="M150" s="11" t="n"/>
      <c r="N150" s="11" t="n"/>
    </row>
    <row r="151" ht="329" customHeight="1">
      <c r="A151" s="10" t="n">
        <v>149</v>
      </c>
      <c r="B151" s="10" t="inlineStr">
        <is>
          <t>Carichi sull’edificio e spinte sulle guide</t>
        </is>
      </c>
      <c r="C151" s="10" t="inlineStr">
        <is>
          <t>Verifica delle guide di cabina — Confermati sul testo i coefficienti, le formule e i limiti, e il carico al piano per uso (UNI EN 81-20:2020, 5.7.2.3.6). Senza l’uso nei dati dell’impianto vale la regola per portata della UNI EN 81-1:2008 (G.2.5), che per un ascensore per persone da 2500 kg in su è dal lato della sicurezza. La formula di ω per Rm 370 è data da λ 20 a 250: sotto 20 il software usa ω di λ 20 (dal lato della sicurezza). Non contate: la spinta di scorrimento delle staffe (assestamento dell’edificio), le apparecchiature appese alle guide, le frecce di staffe ed edificio (la norma vuole la somma entro il limite) e le guide del contrappeso senza paracadute (con il paracadute: guide.contrappeso). La flessione della suola è quella dei pattini a rotelle (5.10.5 ha una formula a parte per quelli a scorrimento; il tipo di pattino non è un dato del software).</t>
        </is>
      </c>
      <c r="D151" s="10" t="inlineStr">
        <is>
          <t>tra due staffe (l = distanza massima tra le staffe della guida) con le spinte della voce guide.spinte, portata spostata di 1/8 della cabina in un senso e poi nell’altro: flessione M = 3·F·l/16, σm = σx + σy; intervento del paracadute: forza verticale Fv = k1·g·(P+Q)/n più il peso della guida, carico di punta con il metodo omega (λ = l/i con il raggio d’inerzia minore √(I/A), λ ≤ 250; acciaio Rm 370: ω = 0,0001292·λ^1,89 + 1 fino a λ 60, 0,00004627·λ^2,14 + 1 fino a 85, 0,00001711·λ^2,35 + 1,04 fino a 115, 0,00016887·λ^2 fino a 250), σ = σm + Fv/A e σc = σk + 0,9·σm; marcia: k2 = 1,2 e il peso della guida; carico al piano: cabina vuota e Fs al centro della soglia di cabina, a ogni accesso, secondo l’uso indicato nei dati dell’impianto: persone 0,4·g·Q, merci accompagnate 0,6·g·Q, con mezzi di carico pesanti fuori portata 0,85·g·Q (senza l’uso: secondo la portata, 0,6·g·Q da 2500 kg); flessione della suola σF = 1,85·Fx/c² (pattini a rotelle); frecce δx = 0,7·Fx·l³/(48·E·Iy) e δy = 0,7·Fy·l³/(48·E·Ix) ≤ 5 mm. Tensione ammissibile Rm/St con St = 2,25 in marcia e al carico, 1,8 all’intervento del paracadute (allungamento A5 &gt; 12 %): con Rm 370 N/mm², 164,4 e 205,6 N/mm²</t>
        </is>
      </c>
      <c r="E151" s="10" t="inlineStr">
        <is>
          <t>UNI EN 81-50:2020, 5.10.2–5.10.6; UNI EN 81-20:2020, 5.7.2.3.5, 5.7.2.3.6, 5.7.4.5 (Prospetto 15), 5.7.4.6 e Prospetto 14; UNI EN 81-1:2008, G.2.5 (l’uso non indicato)</t>
        </is>
      </c>
      <c r="F151" s="10" t="inlineStr">
        <is>
          <t>UNI EN 81-50:2020, testo della norma, letto il 2026-10-06, pp. 35–39; UNI EN 81-20:2020, testo della norma, letto il 2026-10-06, pp. 94–97; Rm 370 è scelta del software (il valore più basso)</t>
        </is>
      </c>
      <c r="G151" s="10" t="inlineStr">
        <is>
          <t>confermato</t>
        </is>
      </c>
      <c r="H151" s="10" t="inlineStr">
        <is>
          <t>tensioni nelle guide di cabina; flessione della suola delle guide di cabina; frecce delle guide di cabina</t>
        </is>
      </c>
      <c r="I151" s="11" t="n"/>
      <c r="J151" s="11" t="n"/>
      <c r="K151" s="11" t="n"/>
      <c r="L151" s="11" t="n"/>
      <c r="M151" s="11" t="n"/>
      <c r="N151" s="11" t="n"/>
    </row>
    <row r="152" ht="147" customHeight="1">
      <c r="A152" s="10" t="n">
        <v>150</v>
      </c>
      <c r="B152" s="10" t="inlineStr">
        <is>
          <t>Carichi sull’edificio e spinte sulle guide</t>
        </is>
      </c>
      <c r="C152" s="10" t="inlineStr">
        <is>
          <t>Sezioni delle guide di cabina</t>
        </is>
      </c>
      <c r="D152" s="10" t="inlineStr">
        <is>
          <t>area, momenti d’inerzia e moduli di resistenza minimi attorno all’asse parallelo alla suola (x) e all’asse di simmetria (y), spessore c del collo tra lama e suola, per ogni profilo del software; raggi d’inerzia calcolati come √(I/A)</t>
        </is>
      </c>
      <c r="E152" s="10" t="inlineStr">
        <is>
          <t>ISO 7465:2007 (ora ISO 8100-33:2022); EN 10055:1995 per il T 70×70×8 laminato</t>
        </is>
      </c>
      <c r="F152" s="10" t="inlineStr">
        <is>
          <t>tabella ISO 7465:2007 stampata da Savera (Standard Savera Guide, Rev 03/10; assi e c dalla Rev 08.26), anteprime ISO 7465:1997 e ISO 8100-33:2022 (correzione dei raggi del T127-1/B, stampati nel 2007 uguali ai moduli), EN 10055:1995, Tabella 1. La EN 10055 non ha il T 45: al T 45×45×5 il software dà la sezione del T45/A, delle stesse misure</t>
        </is>
      </c>
      <c r="G152" s="10" t="inlineStr">
        <is>
          <t>da verificare</t>
        </is>
      </c>
      <c r="H152" s="10" t="inlineStr">
        <is>
          <t>—</t>
        </is>
      </c>
      <c r="I152" s="11" t="n"/>
      <c r="J152" s="11" t="n"/>
      <c r="K152" s="11" t="n"/>
      <c r="L152" s="11" t="n"/>
      <c r="M152" s="11" t="n"/>
      <c r="N152" s="11" t="n"/>
    </row>
    <row r="153" ht="69" customHeight="1">
      <c r="A153" s="10" t="n">
        <v>151</v>
      </c>
      <c r="B153" s="10" t="inlineStr">
        <is>
          <t>Carichi sull’edificio e spinte sulle guide</t>
        </is>
      </c>
      <c r="C153" s="10" t="inlineStr">
        <is>
          <t>Tipo di paracadute per la velocità nominale</t>
        </is>
      </c>
      <c r="D153" s="10" t="inlineStr">
        <is>
          <t>istantaneo (anche a rulli imprigionati) fino a 0,63 m/s; oltre, progressivo (la UNI EN 81-20 non ha più l’istantaneo con effetto ammortizzato fino a 1 m/s); il tipo viene dai dati dell’impianto (se manca: progressivo, con la nota sul foglio)</t>
        </is>
      </c>
      <c r="E153" s="10" t="inlineStr">
        <is>
          <t>UNI EN 81-20:2020, 5.6.2.1.2.1; la regola precedente in UNI EN 81-1 (1999, 2008), 9.8.2.1</t>
        </is>
      </c>
      <c r="F153" s="10" t="inlineStr">
        <is>
          <t>UNI EN 81-20:2020, testo della norma, letto il 2026-10-06, p. 81; UNI EN 81-1:2008, testo della norma, letto il 2026-10-06, p. 58</t>
        </is>
      </c>
      <c r="G153" s="10" t="inlineStr">
        <is>
          <t>confermato</t>
        </is>
      </c>
      <c r="H153" s="10" t="inlineStr">
        <is>
          <t>tipo di paracadute per la velocità</t>
        </is>
      </c>
      <c r="I153" s="11" t="n"/>
      <c r="J153" s="11" t="n"/>
      <c r="K153" s="11" t="n"/>
      <c r="L153" s="11" t="n"/>
      <c r="M153" s="11" t="n"/>
      <c r="N153" s="11" t="n"/>
    </row>
    <row r="154" ht="264" customHeight="1">
      <c r="A154" s="10" t="n">
        <v>152</v>
      </c>
      <c r="B154" s="10" t="inlineStr">
        <is>
          <t>Carichi sull’edificio e spinte sulle guide</t>
        </is>
      </c>
      <c r="C154" s="10" t="inlineStr">
        <is>
          <t>Spazio accessibile sotto il vano: paracadute del contrappeso e fondo della fossa — con la presa del paracadute le guide del contrappeso si verificano a carico di punta e con le forze di guida dell’eccentricità del contrappeso (guide.contrappeso, verifica gr_cw); frecce, flessione della suola e staffe restano da verificare a parte (modello.non.calcolate); in una modifica la UNI 10411-1:2024 (6.14) accetta al posto del paracadute un pilastro esistente fino al terreno, verificato per i nuovi carichi: è una scelta del progettista; con la UNI 10411-11:2024 il pilastro è quello che l’impianto ha secondo la sua edizione della UNI EN 81-1 (5.5 a)), verificato per i nuovi carichi (6.6 e 6.13)</t>
        </is>
      </c>
      <c r="D154" s="10" t="inlineStr">
        <is>
          <t>con uno spazio accessibile sotto il vano (macchina sotto la fossa) il contrappeso ha il paracadute e il fondo della fossa è progettato per almeno 5000 N/m² oltre alle reazioni degli ammortizzatori (P6, P8) e delle guide (P5, P7, con la presa del paracadute); il paracadute del contrappeso è progressivo oltre 1 m/s, fino a 1 m/s anche istantaneo, ed è azionato dal limitatore o, fino a 1 m/s, dalla rottura della sospensione o da una fune di sicurezza. Il tipo e l’azionamento si indicano nei dati dell’impianto: finché mancano la verifica non passa; il carico P7 conta la presa (progressivo se non indicato) su metà del contrappeso per guida</t>
        </is>
      </c>
      <c r="E154" s="10" t="inlineStr">
        <is>
          <t>UNI EN 81-20:2020, 5.2.5.4, 5.2.1.8.4, 5.6.2.1.2.3, prospetto 11 (5.6.1.2), 5.6.2.2.2 e 5.6.2.2.3; UNI EN 81-50:2020, 5.10</t>
        </is>
      </c>
      <c r="F154" s="10" t="inlineStr">
        <is>
          <t>UNI EN 81-20:2020, testo della norma, letto il 2026-10-06, pp. 27, 35, 79, 81</t>
        </is>
      </c>
      <c r="G154" s="10" t="inlineStr">
        <is>
          <t>confermato</t>
        </is>
      </c>
      <c r="H154" s="10" t="inlineStr">
        <is>
          <t>paracadute del contrappeso con spazi accessibili sotto il vano</t>
        </is>
      </c>
      <c r="I154" s="11" t="n"/>
      <c r="J154" s="11" t="n"/>
      <c r="K154" s="11" t="n"/>
      <c r="L154" s="11" t="n"/>
      <c r="M154" s="11" t="n"/>
      <c r="N154" s="11" t="n"/>
    </row>
    <row r="155" ht="225" customHeight="1">
      <c r="A155" s="10" t="n">
        <v>153</v>
      </c>
      <c r="B155" s="10" t="inlineStr">
        <is>
          <t>Carichi sull’edificio e spinte sulle guide</t>
        </is>
      </c>
      <c r="C155" s="10" t="inlineStr">
        <is>
          <t>Guide del contrappeso con la presa del suo paracadute — casi di carico per la cabina (portata spostata, carico al piano) non valgono per il contrappeso: conta l’intervento del suo paracadute. Non contate: frecce, flessione della suola, marcia (k2), funi o catene di compensazione, spinta delle staffe; restano fra le verifiche che il software non calcola. Fino al vano 2.24.0 le guide del contrappeso non erano verificate e il foglio 1 mostrava il paracadute del contrappeso «OK» anche con le guide T45/A che alla presa istantanea arrivavano a 365 N/mm²</t>
        </is>
      </c>
      <c r="D155" s="10" t="inlineStr">
        <is>
          <t>con il paracadute del contrappeso (spazio accessibile sotto il vano), per ognuna delle due guide del contrappeso tra due staffe (l = distanza massima tra le sue staffe): forza verticale Fv = k1·g·Mcw/2 più il peso della guida, con k1 del paracadute del contrappeso (Prospetto 14: 5 istantaneo, 3 a rulli, 2 progressivo), carico di punta con il metodo omega come le guide di cabina (guide.verifica); forze di guida all’intervento dall’eccentricità della massa del contrappeso, 0,05 della sua larghezza tra le guide (lungo la linea delle guide, sulla punta di una guida) e 0,1 della sua profondità (di traverso, sulle facce delle due), per k1, con i pattini a distanza pari all’altezza del contrappeso: flessione M = 3·F·l/16; σ = σm + Fv/A e σc = σk + 0,9·σm, il maggiore entro Rm/1,8 = 205,6 N/mm² (Rm 370)</t>
        </is>
      </c>
      <c r="E155" s="10" t="inlineStr">
        <is>
          <t>UNI EN 81-20:2020, 5.7.2.3.3, 5.7.2.3.5, Prospetto 14 e 5.7.4.5; UNI EN 81-50:2020, 5.10.2–5.10.4</t>
        </is>
      </c>
      <c r="F155" s="10" t="inlineStr">
        <is>
          <t>UNI EN 81-20:2020, testo della norma, letto il 2026-10-06, pp. 94–97; UNI EN 81-50:2020, testo della norma, letto il 2026-10-06, pp. 35–38; la distanza fra i pattini è scelta del software</t>
        </is>
      </c>
      <c r="G155" s="10" t="inlineStr">
        <is>
          <t>confermato</t>
        </is>
      </c>
      <c r="H155" s="10" t="inlineStr">
        <is>
          <t>guide del contrappeso alla presa del suo paracadute</t>
        </is>
      </c>
      <c r="I155" s="11" t="n"/>
      <c r="J155" s="11" t="n"/>
      <c r="K155" s="11" t="n"/>
      <c r="L155" s="11" t="n"/>
      <c r="M155" s="11" t="n"/>
      <c r="N155" s="11" t="n"/>
    </row>
    <row r="156" ht="43" customHeight="1">
      <c r="A156" s="10" t="n">
        <v>154</v>
      </c>
      <c r="B156" s="10" t="inlineStr">
        <is>
          <t>Vano: limiti del progetto</t>
        </is>
      </c>
      <c r="C156" s="10" t="inlineStr">
        <is>
          <t>Dimensioni proposte della cabina</t>
        </is>
      </c>
      <c r="D156" s="10" t="inlineStr">
        <is>
          <t>la cabina più grande che entra nel vano, a passi di 10 mm, con superficie entro il limite della portata; a parità di superficie, la più profonda</t>
        </is>
      </c>
      <c r="E156" s="10" t="inlineStr">
        <is>
          <t>—</t>
        </is>
      </c>
      <c r="F156" s="10" t="inlineStr">
        <is>
          <t>scelta del software</t>
        </is>
      </c>
      <c r="G156" s="10" t="inlineStr">
        <is>
          <t>scelta del software</t>
        </is>
      </c>
      <c r="H156" s="10" t="inlineStr">
        <is>
          <t>—</t>
        </is>
      </c>
      <c r="I156" s="11" t="n"/>
      <c r="J156" s="11" t="n"/>
      <c r="K156" s="11" t="n"/>
      <c r="L156" s="11" t="n"/>
      <c r="M156" s="11" t="n"/>
      <c r="N156" s="11" t="n"/>
    </row>
    <row r="157" ht="225" customHeight="1">
      <c r="A157" s="10" t="n">
        <v>155</v>
      </c>
      <c r="B157" s="10" t="inlineStr">
        <is>
          <t>Vano: limiti del progetto</t>
        </is>
      </c>
      <c r="C157" s="10" t="inlineStr">
        <is>
          <t>Quote della pianta fissate a mano</t>
        </is>
      </c>
      <c r="D157" s="10" t="inlineStr">
        <is>
          <t>ogni quota della pianta (cabina, porte, operatore della porta di cabina, guide, contrappeso) si può fissare a mano al posto di quella proposta; la cabina resta fuori dalle zone di porte, guide e contrappeso, le guide del contrappeso nel loro spazio (laterale: fuori dalle zone delle porte che ha di fronte più il gioco d’estremità; arcata a zaino: tra i piedi delle guide di cabina meno il gioco delle staffe) e la luce di ogni porta dentro la cabina; altrimenti «Non conforme». Anche gli ammortizzatori si possono spostare: quelli di cabina restano con il piatto sotto la piattaforma e fuori dalla pianta dello spazio di rifugio in fossa (UNI EN 81-20, 5.2.5.8.1), quello del contrappeso dentro la lunghezza del contrappeso (la stessa verifica vale per quelli messi dal software: ammortizzatori.posizione)</t>
        </is>
      </c>
      <c r="E157" s="10" t="inlineStr">
        <is>
          <t>—</t>
        </is>
      </c>
      <c r="F157" s="10" t="inlineStr">
        <is>
          <t>scelta del software</t>
        </is>
      </c>
      <c r="G157" s="10" t="inlineStr">
        <is>
          <t>scelta del software</t>
        </is>
      </c>
      <c r="H157" s="10" t="inlineStr">
        <is>
          <t>quote fissate a mano: ingombri al loro posto; quote fissate a mano: porte dentro la cabina; ammortizzatori fissati a mano: sotto cabina e contrappeso, fuori dal rifugio</t>
        </is>
      </c>
      <c r="I157" s="11" t="n"/>
      <c r="J157" s="11" t="n"/>
      <c r="K157" s="11" t="n"/>
      <c r="L157" s="11" t="n"/>
      <c r="M157" s="11" t="n"/>
      <c r="N157" s="11" t="n"/>
    </row>
    <row r="158" ht="82" customHeight="1">
      <c r="A158" s="10" t="n">
        <v>156</v>
      </c>
      <c r="B158" s="10" t="inlineStr">
        <is>
          <t>Vano: limiti del progetto</t>
        </is>
      </c>
      <c r="C158" s="10" t="inlineStr">
        <is>
          <t>Limiti del modello del vano</t>
        </is>
      </c>
      <c r="D158" s="10" t="inlineStr">
        <is>
          <t>pianta, sezione A-A e locale macchina da un modello semplificato: arcata, operatori delle porte, ammortizzatori e macchina hanno posizioni e ingombri tipici, da sostituire con i dati dei fornitori; il rilievo dal disegno CAD va controllato in cantiere</t>
        </is>
      </c>
      <c r="E158" s="10" t="inlineStr">
        <is>
          <t>—</t>
        </is>
      </c>
      <c r="F158" s="10" t="inlineStr">
        <is>
          <t>limite del modello attuale</t>
        </is>
      </c>
      <c r="G158" s="10" t="inlineStr">
        <is>
          <t>scelta del software</t>
        </is>
      </c>
      <c r="H158" s="10" t="inlineStr">
        <is>
          <t>—</t>
        </is>
      </c>
      <c r="I158" s="11" t="n"/>
      <c r="J158" s="11" t="n"/>
      <c r="K158" s="11" t="n"/>
      <c r="L158" s="11" t="n"/>
      <c r="M158" s="11" t="n"/>
      <c r="N158" s="11" t="n"/>
    </row>
    <row r="159" ht="563" customHeight="1">
      <c r="A159" s="10" t="n">
        <v>157</v>
      </c>
      <c r="B159" s="10" t="inlineStr">
        <is>
          <t>Vano: limiti del progetto</t>
        </is>
      </c>
      <c r="C159" s="10" t="inlineStr">
        <is>
          <t>Verifiche che il software non calcola — fino a SHAFT 2.25.0 la voce legava UCM e velocità eccessiva in salita alla sola macchina nuova</t>
        </is>
      </c>
      <c r="D159" s="10" t="inlineStr">
        <is>
          <t>da fare a parte, con i dati dei fornitori: sollecitazioni e frecce delle staffe e delle guide del contrappeso (UNI EN 81-50:2020, 5.10: il software verifica le guide di cabina sul foglio 1 delle tavole e, quando c’è uno spazio accessibile sotto il vano, le guide del contrappeso alla presa del suo paracadute, a carico di punta e con le forze di guida: guide.contrappeso; ne restano frecce, flessione della suola e marcia; il paracadute del contrappeso lo chiede e ne conta il carico P7: paracadute.contrappeso); il coefficiente di sicurezza della fune del limitatore (carico minimo di rottura almeno 8 volte la forza di trazione all’intervento) e quella forza (almeno il doppio della forza che fa prendere il paracadute e almeno 300 N), dati dei fornitori del limitatore e del paracadute (limitatore.fune); il fondo della fossa e la soletta sopra un locale sotto la fossa (5000 N/m² con le reazioni P5–P8: progetto strutturale); puleggia del contrappeso in taglia 2:1 sotto il soffitto con il contrappeso nella posizione più alta; uno spazio accessibile sotto il vano che non sia il locale della macchina (il software lo conosce solo con la macchina sotto la fossa); distanza tra le parti fisse più alte della fossa e quelle più basse della cabina sugli ammortizzatori; sporgenze nel vano oltre 150 mm senza balaustra; movimento incontrollato della cabina (UCM) e velocità eccessiva in salita con la macchina nuova o con la velocità variata; rigidità e sporgenze della lamiera sotto la soglia di piano (5.2.5.3.2 b)–c), dato del fornitore delle porte); porte di soccorso oltre 11 m tra due porte di piano (5.2.3.1: la verifica le chiede, il disegno non le ha); le soluzioni della UNI EN 81-21:2022 per testata, fossa, locale e porte ridotti (le verifiche in sezione seguono solo la UNI EN 81-20:2020). Il locale della macchina in basso è disegnato e verificato (altezza, porta, spazi davanti al quadro e accanto alla macchina) e le pulegge di rinvio appese sotto la soletta entrano nello spazio di rifugio sul tetto (spazi.tetto.appese)</t>
        </is>
      </c>
      <c r="E159" s="10" t="inlineStr">
        <is>
          <t>UNI EN 81-20:2020: guide e staffe 5.7.2–5.7.4 (con UNI EN 81-50:2020, 5.10); distanze in testata 5.2.5.7.2; spazi accessibili sotto il vano 5.2.5.4 e fondo della fossa 5.2.1.8.4; parti fisse in fossa 5.2.5.8.2; sporgenze oltre 0,15 m 5.2.5.2.2.2; velocità eccessiva in salita 5.6.6; movimento incontrollato 5.6.7; fune del limitatore e forza all’intervento 5.6.2.2.1.3 b) e 5.6.2.2.1.1 d)</t>
        </is>
      </c>
      <c r="F159" s="10" t="inlineStr">
        <is>
          <t>UNI EN 81-20:2020, testo della norma, letto il 2026-10-06, pp. 31–43, 89–97; analisi delle lacune del 2026-10-03</t>
        </is>
      </c>
      <c r="G159" s="10" t="inlineStr">
        <is>
          <t>scelta del software</t>
        </is>
      </c>
      <c r="H159" s="10" t="inlineStr">
        <is>
          <t>—</t>
        </is>
      </c>
      <c r="I159" s="11" t="n"/>
      <c r="J159" s="11" t="n"/>
      <c r="K159" s="11" t="n"/>
      <c r="L159" s="11" t="n"/>
      <c r="M159" s="11" t="n"/>
      <c r="N159" s="11" t="n"/>
    </row>
    <row r="160" ht="56" customHeight="1">
      <c r="A160" s="10" t="n">
        <v>158</v>
      </c>
      <c r="B160" s="10" t="inlineStr">
        <is>
          <t>Impianto: valori calcolati dai dati inseriti una volta</t>
        </is>
      </c>
      <c r="C160" s="10" t="inlineStr">
        <is>
          <t>Corsa</t>
        </is>
      </c>
      <c r="D160" s="10" t="inlineStr">
        <is>
          <t>somma delle altezze tra i piani, dal più basso al più alto</t>
        </is>
      </c>
      <c r="E160" s="10" t="inlineStr">
        <is>
          <t>—</t>
        </is>
      </c>
      <c r="F160" s="10" t="inlineStr">
        <is>
          <t>dati dei piani inseriti</t>
        </is>
      </c>
      <c r="G160" s="10" t="inlineStr">
        <is>
          <t>derivazione</t>
        </is>
      </c>
      <c r="H160" s="10" t="inlineStr">
        <is>
          <t>—</t>
        </is>
      </c>
      <c r="I160" s="11" t="n"/>
      <c r="J160" s="11" t="n"/>
      <c r="K160" s="11" t="n"/>
      <c r="L160" s="11" t="n"/>
      <c r="M160" s="11" t="n"/>
      <c r="N160" s="11" t="n"/>
    </row>
    <row r="161" ht="56" customHeight="1">
      <c r="A161" s="10" t="n">
        <v>159</v>
      </c>
      <c r="B161" s="10" t="inlineStr">
        <is>
          <t>Impianto: valori calcolati dai dati inseriti una volta</t>
        </is>
      </c>
      <c r="C161" s="10" t="inlineStr">
        <is>
          <t>Portata e velocità — In una modifica il confronto con i carichi documentati è nella voce impianto.variazione.carico.</t>
        </is>
      </c>
      <c r="D161" s="10" t="inlineStr">
        <is>
          <t>la portata inserita, oppure quella della cabina più grande che entra nel vano (Tabella 6); la velocità è una sola per il vano e per la macchina</t>
        </is>
      </c>
      <c r="E161" s="10" t="inlineStr">
        <is>
          <t>UNI EN 81-20:2020, 5.4.2.1</t>
        </is>
      </c>
      <c r="F161" s="10" t="inlineStr">
        <is>
          <t>progetto del vano</t>
        </is>
      </c>
      <c r="G161" s="10" t="inlineStr">
        <is>
          <t>derivazione</t>
        </is>
      </c>
      <c r="H161" s="10" t="inlineStr">
        <is>
          <t>—</t>
        </is>
      </c>
      <c r="I161" s="11" t="n"/>
      <c r="J161" s="11" t="n"/>
      <c r="K161" s="11" t="n"/>
      <c r="L161" s="11" t="n"/>
      <c r="M161" s="11" t="n"/>
      <c r="N161" s="11" t="n"/>
    </row>
    <row r="162" ht="355" customHeight="1">
      <c r="A162" s="10" t="n">
        <v>160</v>
      </c>
      <c r="B162" s="10" t="inlineStr">
        <is>
          <t>Impianto: valori calcolati dai dati inseriti una volta</t>
        </is>
      </c>
      <c r="C162" s="10" t="inlineStr">
        <is>
          <t>Modifica: variazione dei carichi rispetto allo stato documentato — T* della norma non comprende funi e cavi: P del calcolo comprende la quota del cavo flessibile, che si annulla nel confronto se resta la stessa. Quale portata decide la riga del prospetto non è detto nel testo (scelta prudente del software); con la -11 il 10 % si somma alle modifiche precedenti: lo stato documentato è quello dell’impianto originale. Con la -1 (6.1) anche il rapporto tra i carichi appesi lato cabina e lato contrappeso porta le verifiche del carico: T* o P lontani dal valore che conserverebbe il rapporto documentato col nuovo contrappeso oltre l’arrotondamento di 0,5 kg dei carichi documentati riportato al rapporto (scelta del software), con D.1, D.2 e ammortizzatori secondo la UNI EN 81-20 5.8; il calo dei carichi e il rapporto portano le verifiche più spesso delle soglie dei prospetti: più severo della norma, dalla parte della sicurezza</t>
        </is>
      </c>
      <c r="D162" s="10" t="inlineStr">
        <is>
          <t>con i carichi dell’ultimo verbale (collaudo o verifica straordinaria) — portata, cabina vuota completa P, contrappeso — e quelli del progetto, T* = P + Q: con la UNI 10411-1 le verifiche del carico entrano nell’esito se la portata cresce oltre il 10 % o T* oltre il 15 % (portata fino a 500 kg; oltre: 5 % e 10 %, prospetto 1) o se il contrappeso cresce oltre il 25 % della portata (oltre 500 kg: 10 %, prospetto 2); con la UNI 10411-11 a ogni aumento, e oltre il 10 % anche le strutture (punto 5, escluse fino a lì dal 6.2); un carico che diminuisce le porta anch’esso (ammortizzatori, paracadute progressivo). Con le due portate a cavallo di 500 kg vale la riga più severa, e la quota del contrappeso si misura sulla portata minore</t>
        </is>
      </c>
      <c r="E162" s="10" t="inlineStr">
        <is>
          <t>UNI 10411-1:2024, 6.1 (prospetti 1 e 2); UNI 10411-11:2024, 6.1 e 6.2</t>
        </is>
      </c>
      <c r="F162" s="10" t="inlineStr">
        <is>
          <t>UNI 10411-1:2024, testo della norma, letto il 2026-10-06, p. 7; UNI 10411-11:2024, testo della norma, letto il 2026-10-06, pp. 7–8</t>
        </is>
      </c>
      <c r="G162" s="10" t="inlineStr">
        <is>
          <t>confermato</t>
        </is>
      </c>
      <c r="H162" s="10" t="inlineStr">
        <is>
          <t>—</t>
        </is>
      </c>
      <c r="I162" s="11" t="n"/>
      <c r="J162" s="11" t="n"/>
      <c r="K162" s="11" t="n"/>
      <c r="L162" s="11" t="n"/>
      <c r="M162" s="11" t="n"/>
      <c r="N162" s="11" t="n"/>
    </row>
    <row r="163" ht="212" customHeight="1">
      <c r="A163" s="10" t="n">
        <v>161</v>
      </c>
      <c r="B163" s="10" t="inlineStr">
        <is>
          <t>Impianto: valori calcolati dai dati inseriti una volta</t>
        </is>
      </c>
      <c r="C163" s="10" t="inlineStr">
        <is>
          <t>Modifica: variazione della velocità nominale rispetto a quella documentata — una differenza entro 0,005 m/s è l’arrotondamento dei dati (scelta del software, non un valore della norma); con la -1 una variazione entro il 5 % non porta i punti 15.2–15.15: se sia comunque un cambio della velocità ai sensi del DPR 162/1999 lo valuta il tecnico; una diminuzione oltre il 5 % porta nell’esito tutte le verifiche che riguardano la velocità, più dei punti 15.2 e 15.17 (dalla parte della sicurezza)</t>
        </is>
      </c>
      <c r="D163" s="10" t="inlineStr">
        <is>
          <t>con la UNI 10411-1 la velocità entra tra le parti modificate se il progetto la porta oltre il 5 % sopra la maggiore tra la velocità nominale iniziale del libretto (o quella accertata in seguito con verbale di verifica straordinaria, dopo un aumento oltre il 5 %) e quella che deriva dal passaggio della rete a 50 Hz (15.1, con i punti da 15.2 a 15.15), oppure oltre il 5 % sotto quella iniziale o documentata (15.16, con i punti 15.2 e 15.17); con la UNI 10411-11 a ogni variazione della velocità documentata, in più o in meno (15, lettere a)–k), con la valutazione 4.3), e oltre il 5 % serve anche la protezione UCM della UNI EN 81-20, 5.6.7 (15 i)). I valori del libretto li inserisce l’utente nei dati del collaudo; il software non verifica i documenti</t>
        </is>
      </c>
      <c r="E163" s="10" t="inlineStr">
        <is>
          <t>UNI 10411-1:2024, 15.1 e 15.16; UNI 10411-11:2024, 15 e 15 i)</t>
        </is>
      </c>
      <c r="F163" s="10" t="inlineStr">
        <is>
          <t>UNI 10411-1:2024, testo della norma, letto il 2026-10-06, pp. 14–15; UNI 10411-11:2024, testo della norma, letto il 2026-10-06, pp. 12–13</t>
        </is>
      </c>
      <c r="G163" s="10" t="inlineStr">
        <is>
          <t>confermato</t>
        </is>
      </c>
      <c r="H163" s="10" t="inlineStr">
        <is>
          <t>—</t>
        </is>
      </c>
      <c r="I163" s="11" t="n"/>
      <c r="J163" s="11" t="n"/>
      <c r="K163" s="11" t="n"/>
      <c r="L163" s="11" t="n"/>
      <c r="M163" s="11" t="n"/>
      <c r="N163" s="11" t="n"/>
    </row>
    <row r="164" ht="160" customHeight="1">
      <c r="A164" s="10" t="n">
        <v>162</v>
      </c>
      <c r="B164" s="10" t="inlineStr">
        <is>
          <t>Impianto: valori calcolati dai dati inseriti una volta</t>
        </is>
      </c>
      <c r="C164" s="10" t="inlineStr">
        <is>
          <t>Modifica: variazione della corsa rispetto a quella documentata — una differenza entro 0,05 m è l’arrotondamento dei dati (scelta del software, non un valore della norma)</t>
        </is>
      </c>
      <c r="D164" s="10" t="inlineStr">
        <is>
          <t>con la UNI 10411-1 la corsa del progetto si confronta con quella del primo collaudo: allungata fino a 8 m resta una modifica (16, condizioni a)–l)); oltre 8 m l’intervento conta come nuova installazione (avviso, da confermare con il soggetto della verifica); con la UNI 10411-11 con la corsa documentata, senza un limite (16, condizioni a)–i), con la valutazione 4.3). Ogni variazione, anche un accorciamento, porta la corsa tra le parti modificate (DPR 162/1999, art. 2 c.1 lett. cc)); il punto 16 tratta solo l’allungamento: per l’accorciamento la valutazione del punto 4 o 4.3</t>
        </is>
      </c>
      <c r="E164" s="10" t="inlineStr">
        <is>
          <t>UNI 10411-1:2024, 16; UNI 10411-11:2024, 16; DPR 162/1999, art. 2 c.1 lett. cc)</t>
        </is>
      </c>
      <c r="F164" s="10" t="inlineStr">
        <is>
          <t>UNI 10411-1:2024, testo della norma, letto il 2026-10-06, p. 16; UNI 10411-11:2024, testo della norma, letto il 2026-10-06, p. 13; DPR 162/1999 (testo su Normattiva)</t>
        </is>
      </c>
      <c r="G164" s="10" t="inlineStr">
        <is>
          <t>confermato</t>
        </is>
      </c>
      <c r="H164" s="10" t="inlineStr">
        <is>
          <t>—</t>
        </is>
      </c>
      <c r="I164" s="11" t="n"/>
      <c r="J164" s="11" t="n"/>
      <c r="K164" s="11" t="n"/>
      <c r="L164" s="11" t="n"/>
      <c r="M164" s="11" t="n"/>
      <c r="N164" s="11" t="n"/>
    </row>
    <row r="165" ht="186" customHeight="1">
      <c r="A165" s="10" t="n">
        <v>163</v>
      </c>
      <c r="B165" s="10" t="inlineStr">
        <is>
          <t>Impianto: valori calcolati dai dati inseriti una volta</t>
        </is>
      </c>
      <c r="C165" s="10" t="inlineStr">
        <is>
          <t>Modifica: macchina nuova sul quadro esistente — regolazione della velocità — una macchina senza inverter (una o due velocità alla frequenza di rete) non è modellata; i calcoli salvati prima, senza la risposta, si aggiornano e la relazione lo segnala con ⚠ (fino a LIFT 1.31.0 la domanda non c’era)</t>
        </is>
      </c>
      <c r="D165" s="10" t="inlineStr">
        <is>
          <t>con la macchina sostituita e il quadro che resta si chiede se il quadro esistente ha la regolazione della velocità (inverter, due velocità o una velocità): il software dimensiona ogni macchina che propone per la regolazione con inverter (voce impianto.catalogo), e la UNI 10411-1:2024 (11.2.1) e la UNI 10411-11:2024 (11.2) non ammettono di aggiungere la regolazione a un quadro che non l’ha; con una o due velocità il calcolo non si salva come «Solo argano» né come ammodernamento con il quadro che resta (si sostituisce il quadro); con l’inverter la regolazione resta, e sostituendo il suo dispositivo vale anche l’11.1.4 (-11: 11.1.3)</t>
        </is>
      </c>
      <c r="E165" s="10" t="inlineStr">
        <is>
          <t>UNI 10411-1:2024, 11.2.1 e 11.1.4; UNI 10411-11:2024, 11.2 e 11.1.3</t>
        </is>
      </c>
      <c r="F165" s="10" t="inlineStr">
        <is>
          <t>UNI 10411-1:2024, testo della norma, letto il 2026-10-06, p. 11; UNI 10411-11:2024, testo della norma, letto il 2026-10-06, p. 10</t>
        </is>
      </c>
      <c r="G165" s="10" t="inlineStr">
        <is>
          <t>confermato</t>
        </is>
      </c>
      <c r="H165" s="10" t="inlineStr">
        <is>
          <t>—</t>
        </is>
      </c>
      <c r="I165" s="11" t="n"/>
      <c r="J165" s="11" t="n"/>
      <c r="K165" s="11" t="n"/>
      <c r="L165" s="11" t="n"/>
      <c r="M165" s="11" t="n"/>
      <c r="N165" s="11" t="n"/>
    </row>
    <row r="166" ht="199" customHeight="1">
      <c r="A166" s="10" t="n">
        <v>164</v>
      </c>
      <c r="B166" s="10" t="inlineStr">
        <is>
          <t>Impianto: valori calcolati dai dati inseriti una volta</t>
        </is>
      </c>
      <c r="C166" s="10" t="inlineStr">
        <is>
          <t>Ammodernamento: altre parti (facoltative) — «No» per difetto dà il risultato di prima, perché fino a LIFT 1.31.0 queste parti non c’erano e nessuna entrava nell’esito; quali verifiche riguarda ciascuna è una lettura del software, da confermare dall’ingegnere; il paracadute sostituito senza variazione del carico (UNI 10411-1, 6.7 nel punto dei carichi) è da verificare sul testo vigente</t>
        </is>
      </c>
      <c r="D166" s="10" t="inlineStr">
        <is>
          <t>un gruppo a parte, «No» finché non si risponde «Sì», fuori dall’elenco di ciò che manca e non indicato dal rifacimento con l’arcata esistente: paracadute (le verifiche del tipo di paracadute e delle guide), protezioni ACOP e UCM e allarme di emergenza (solo gli adempimenti), locale del macchinario (le verifiche del locale: altezze, porta, quadro, zone libere e percorsi), porte di cabina da battente a scorrevoli, solo con le porte di cabina sostituite (superficie della cabina, rifugio sul tetto e grembiule; lo spazio libero sopra le parti nuove sul tetto di almeno 0,3 + 0,035·v² m si stampa tra gli adempimenti come informazione, la verifica resta secondo la UNI EN 81-20)</t>
        </is>
      </c>
      <c r="E166" s="10" t="inlineStr">
        <is>
          <t>UNI 10411-1:2024, 6.6, 6.7, 6.12, 8, 13, 14.4 c)–d), 15.3, 15.4, 23; UNI 10411-11:2024, 6.6, 6.7, 6.10, 8, 13, 14.3 a), 15 c), 15 i), 23</t>
        </is>
      </c>
      <c r="F166" s="10" t="inlineStr">
        <is>
          <t>UNI 10411-1:2024, testo della norma, letto il 2026-10-06, pp. 8–9, 12–14, 20; UNI 10411-11:2024, testo della norma, letto il 2026-10-06, pp. 8–9, 11–12, 15</t>
        </is>
      </c>
      <c r="G166" s="10" t="inlineStr">
        <is>
          <t>scelta del software</t>
        </is>
      </c>
      <c r="H166" s="10" t="inlineStr">
        <is>
          <t>—</t>
        </is>
      </c>
      <c r="I166" s="11" t="n"/>
      <c r="J166" s="11" t="n"/>
      <c r="K166" s="11" t="n"/>
      <c r="L166" s="11" t="n"/>
      <c r="M166" s="11" t="n"/>
      <c r="N166" s="11" t="n"/>
    </row>
    <row r="167" ht="108" customHeight="1">
      <c r="A167" s="10" t="n">
        <v>165</v>
      </c>
      <c r="B167" s="10" t="inlineStr">
        <is>
          <t>Impianto: valori calcolati dai dati inseriti una volta</t>
        </is>
      </c>
      <c r="C167" s="10" t="inlineStr">
        <is>
          <t>Modifica: UNI 10411-1 o UNI 10411-11 — la data dal DPR 162/1999 è una lettura dell’articolo 19 (messa in servizio secondo le regole precedenti fino al 30 giugno 1999)</t>
        </is>
      </c>
      <c r="D167" s="10" t="inlineStr">
        <is>
          <t>dalla marcatura CE dell’impianto — dichiarazione di conformità CE/UE nel libretto e marcatura nella cabina —: presente UNI 10411-11, assente UNI 10411-1; non nota, dalla data di messa in servizio: fino al 30 giugno 1999 UNI 10411-1, dal 01/07/1999 UNI 10411-11, da confermare con il libretto (la relazione lo riporta). La targa dell’impianto non lo dice</t>
        </is>
      </c>
      <c r="E167" s="10" t="inlineStr">
        <is>
          <t>UNI 10411-11:2024, 1 e 3.3–3.4; UNI 10411-1:2024, 1; DPR 162/1999, art. 7 c.2, art. 16 c.1 e c.3, art. 19 c.1</t>
        </is>
      </c>
      <c r="F167" s="10" t="inlineStr">
        <is>
          <t>UNI 10411-1:2024, testo della norma, letto il 2026-10-06, p. 5; UNI 10411-11:2024, testo della norma, letto il 2026-10-06, pp. 5–6; DPR 162/1999 (testo su Normattiva)</t>
        </is>
      </c>
      <c r="G167" s="10" t="inlineStr">
        <is>
          <t>confermato</t>
        </is>
      </c>
      <c r="H167" s="10" t="inlineStr">
        <is>
          <t>—</t>
        </is>
      </c>
      <c r="I167" s="11" t="n"/>
      <c r="J167" s="11" t="n"/>
      <c r="K167" s="11" t="n"/>
      <c r="L167" s="11" t="n"/>
      <c r="M167" s="11" t="n"/>
      <c r="N167" s="11" t="n"/>
    </row>
    <row r="168" ht="420" customHeight="1">
      <c r="A168" s="10" t="n">
        <v>166</v>
      </c>
      <c r="B168" s="10" t="inlineStr">
        <is>
          <t>Impianto: valori calcolati dai dati inseriti una volta</t>
        </is>
      </c>
      <c r="C168" s="10" t="inlineStr">
        <is>
          <t>Normativa di collaudo e parti sostituite o modificate — lo scopo delle due UNI 10411 e i requisiti per la sostituzione del macchinario (punto 14) sono letti sul testo (voce sostituzione.adeguamenti); quali verifiche riguardano ciascuna parte e la matrice delle norme compatibili sono una lettura del software, da approvare dall’ingegnere. Velocità, portata e corsa variate entrano tra le parti da sole quando i dati del libretto e i carichi documentati lo dicono (voci impianto.variazione.*). Con la velocità variata entrano l’aderenza, le funi e la pressione nelle gole (-1 15.8 con 14.1 e D.2; -11 15 d)), con la corsa variata gli spazi in testata e in fossa e le guide (-1 16 g), j); -11 16 f), i)), con la portata variata i paracadute, le guide del contrappeso e gli ammortizzatori (6.1, 6.4–6.6, 6.13–6.14); solo con la -1 lo schermo del contrappeso in fossa (6.13, 15.7, 16 a)) e, con il quadro nuovo, il freno a doppio elemento (11.1.4), con le porte di piano sostituite o aggiunte il grembiule della soglia di cabina (19.6); fino a LIFT 1.31.0 velocità e corsa entravano solo come indicate tra le parti</t>
        </is>
      </c>
      <c r="D168" s="10" t="inlineStr">
        <is>
          <t>impianto nuovo: UNI EN 81-20:2020 e UNI EN 81-50:2020, ogni verifica entra nell’esito; modifica di un impianto esistente: UNI 10411-1:2024 (ascensore elettrico a frizione non conforme alla Direttiva Ascensori) o UNI 10411-11:2024 (a frizione, conforme alla 95/16/CE o alla 2014/33/UE), a scelta dell’utente: entrano nell’esito le verifiche che riguardano le parti sostituite o modificate (comprese le variazioni di velocità, portata e corsa), le altre sono riportate come «esistente» con il valore calcolato. Quali parti riguarda ciascuna verifica è una lettura del software. Alla norma base si aggiungono le norme compatibili (matrice della ricerca, cap. 16 §5.2): sull’impianto nuovo le EN 81 supplementari (21, 28, 58, 70, 71, 72, 73, 76, 77), sulla modifica la EN 81-20/50 intera, le EN 81-28, 58, 73 e il miglioramento (80, 82, 83), su entrambi DM 236/1989, antincendio (DM 15/09/2005 o Codice V.3) e NTC 2018 (con le verifiche delle putrelle). Ogni norma ha il suo esito («non calcolata» se il software non ne calcola verifiche) e i suoi punti da verificare in sito nella relazione, con gli adempimenti del DPR 162/1999</t>
        </is>
      </c>
      <c r="E168" s="10" t="inlineStr">
        <is>
          <t>DPR 162/1999 e s.m.i.; UNI 10411-1:2024; UNI 10411-11:2024; UNI EN 81-20:2020; UNI EN 81-50:2020</t>
        </is>
      </c>
      <c r="F168" s="10" t="inlineStr">
        <is>
          <t>UNI 10411-1:2024, testo della norma, letto il 2026-10-06, pp. 5, 13–14; UNI 10411-11:2024, testo della norma, letto il 2026-10-06, pp. 5, 12; schema ICIM delle verifiche (la verifica straordinaria si limita di norma alle modifiche); ricerca, capitoli 2.4 e 6.6</t>
        </is>
      </c>
      <c r="G168" s="10" t="inlineStr">
        <is>
          <t>scelta del software</t>
        </is>
      </c>
      <c r="H168" s="10" t="inlineStr">
        <is>
          <t>—</t>
        </is>
      </c>
      <c r="I168" s="11" t="n"/>
      <c r="J168" s="11" t="n"/>
      <c r="K168" s="11" t="n"/>
      <c r="L168" s="11" t="n"/>
      <c r="M168" s="11" t="n"/>
      <c r="N168" s="11" t="n"/>
    </row>
    <row r="169" ht="238" customHeight="1">
      <c r="A169" s="10" t="n">
        <v>167</v>
      </c>
      <c r="B169" s="10" t="inlineStr">
        <is>
          <t>Impianto: valori calcolati dai dati inseriti una volta</t>
        </is>
      </c>
      <c r="C169" s="10" t="inlineStr">
        <is>
          <t>Tipo di intervento: solo argano, ammodernamento, trasformazione completa — velocità, portata e corsa variate si indicano tra le parti e vi entrano anche da sole: velocità e corsa dai dati del libretto, la portata dai carichi documentati (voci impianto.variazione.*; fino a LIFT 1.31.0 velocità e corsa solo a mano); quando l’insieme delle modifiche diventa una sostituzione completa lo conferma il tecnico incaricato con il soggetto che esegue la verifica straordinaria</t>
        </is>
      </c>
      <c r="D169" s="10" t="inlineStr">
        <is>
          <t>si sceglie nel calcolo dell’argano e resta con il calcolo salvato. «Solo argano»: si sostituisce l’argano di un impianto esistente (e, se serve, le sue funi); «Ammodernamento»: più parti sostituite o modificate, ciascuna indicata sì o no, l’argano compreso (che può restare). Sono modifiche costruttive dell’impianto esistente, collaudate secondo UNI 10411-1:2024 o UNI 10411-11:2024 con la verifica straordinaria; una variazione della velocità nominale o della corsa ne fa un ammodernamento. «Trasformazione completa»: l’impianto sostituito per intero, arcata compresa, progettato e collaudato come impianto nuovo secondo UNI EN 81-20:2020 e UNI EN 81-50:2020. Quadro, argano, porte di piano, cabina e arcata sostituiti insieme sono una modifica sostanziale (21.1): il software lo segnala e propone la trasformazione completa, senza imporla</t>
        </is>
      </c>
      <c r="E169" s="10" t="inlineStr">
        <is>
          <t>DPR 162/1999 e s.m.i., art. 2 c.1 lett. cc), art. 12 c.4–5, art. 14 c.3; UNI 10411-1:2024, 15.1, 16 e 21.1; UNI 10411-11:2024, 15, 16 e 21.1; UNI EN 81-20:2020; UNI EN 81-50:2020</t>
        </is>
      </c>
      <c r="F169" s="10" t="inlineStr">
        <is>
          <t>DPR 162/1999 (testo su Normattiva); UNI 10411-1:2024 e UNI 10411-11:2024, punti citati (il 21.1 come nella voce impianto.rifacimento); ricerca, capitolo 16 §5.3</t>
        </is>
      </c>
      <c r="G169" s="10" t="inlineStr">
        <is>
          <t>scelta del software</t>
        </is>
      </c>
      <c r="H169" s="10" t="inlineStr">
        <is>
          <t>—</t>
        </is>
      </c>
      <c r="I169" s="11" t="n"/>
      <c r="J169" s="11" t="n"/>
      <c r="K169" s="11" t="n"/>
      <c r="L169" s="11" t="n"/>
      <c r="M169" s="11" t="n"/>
      <c r="N169" s="11" t="n"/>
    </row>
    <row r="170" ht="264" customHeight="1">
      <c r="A170" s="10" t="n">
        <v>168</v>
      </c>
      <c r="B170" s="10" t="inlineStr">
        <is>
          <t>Impianto: valori calcolati dai dati inseriti una volta</t>
        </is>
      </c>
      <c r="C170" s="10" t="inlineStr">
        <is>
          <t>Rifacimento con l’arcata esistente — il DPR 162/1999 elenca le modifiche costruttive senza dire quando l’insieme diventa una sostituzione completa; la UNI 10411-1/-11:2024 (21.1) chiama modifica sostanziale il cambio insieme di quadro, macchina, almeno una porta di piano, cabina e arcata, con il risultato secondo la UNI EN 81-20:2020: tenendo l’arcata il 21.1 non si applica. Una cabina nuova nell’arcata esistente segue la UNI EN 81-20 5.4.1–5.4.10 (UNI 10411-1:2024, 22; con porte di cabina a battente fino a +0,10 m² di superficie senza cambiare la portata, 22 f)). La qualificazione dell’intervento la conferma il tecnico incaricato con il soggetto che esegue la verifica straordinaria</t>
        </is>
      </c>
      <c r="D170" s="10" t="inlineStr">
        <is>
          <t>si sostituiscono tutte le parti tranne l’arcata, che resta: le sostituzioni sono modifiche costruttive dell’impianto esistente, che si collauda secondo UNI 10411-1:2024 o UNI 10411-11:2024 e non come impianto nuovo; le verifiche che riguardano solo l’arcata (il tipo di paracadute, se la velocità non cambia) sono riportate come «esistente». La sostituzione completa dell’ascensore, arcata compresa, si collauda come impianto nuovo (UNI EN 81-20:2020 e UNI EN 81-50:2020; negli edifici esistenti anche la UNI EN 81-21:2022, supplementare)</t>
        </is>
      </c>
      <c r="E170" s="10" t="inlineStr">
        <is>
          <t>DPR 162/1999 e s.m.i., art. 2 c.1 lett. cc), art. 12 c.4, art. 14 c.3; UNI 10411-1:2024; UNI 10411-11:2024; UNI EN 81-21:2022 (scopo)</t>
        </is>
      </c>
      <c r="F170" s="10" t="inlineStr">
        <is>
          <t>indicazione del cliente (5 ottobre 2026): prassi di lasciare l’arcata; ricerca, capitolo 16 §3.2 e §5.3</t>
        </is>
      </c>
      <c r="G170" s="10" t="inlineStr">
        <is>
          <t>prassi di cantiere</t>
        </is>
      </c>
      <c r="H170" s="10" t="inlineStr">
        <is>
          <t>—</t>
        </is>
      </c>
      <c r="I170" s="11" t="n"/>
      <c r="J170" s="11" t="n"/>
      <c r="K170" s="11" t="n"/>
      <c r="L170" s="11" t="n"/>
      <c r="M170" s="11" t="n"/>
      <c r="N170" s="11" t="n"/>
    </row>
    <row r="171" ht="69" customHeight="1">
      <c r="A171" s="10" t="n">
        <v>169</v>
      </c>
      <c r="B171" s="10" t="inlineStr">
        <is>
          <t>Impianto: valori calcolati dai dati inseriti una volta</t>
        </is>
      </c>
      <c r="C171" s="10" t="inlineStr">
        <is>
          <t>Massa della cabina non inserita — va sostituita con la massa del libretto o con quella ricavata dalla prova di bilanciamento; la sensibilità ±10% ne mostra l’effetto</t>
        </is>
      </c>
      <c r="D171" s="10" t="inlineStr">
        <is>
          <t>P = 1,1·Q arrotondata per eccesso a 10 kg: valore di partenza per far girare il calcolo</t>
        </is>
      </c>
      <c r="E171" s="10" t="inlineStr">
        <is>
          <t>ricerca, capitoli 3 e 6 (origine della massa della cabina)</t>
        </is>
      </c>
      <c r="F171" s="10" t="inlineStr">
        <is>
          <t>scelta del software, senza fonte</t>
        </is>
      </c>
      <c r="G171" s="10" t="inlineStr">
        <is>
          <t>stima</t>
        </is>
      </c>
      <c r="H171" s="10" t="inlineStr">
        <is>
          <t>—</t>
        </is>
      </c>
      <c r="I171" s="11" t="n"/>
      <c r="J171" s="11" t="n"/>
      <c r="K171" s="11" t="n"/>
      <c r="L171" s="11" t="n"/>
      <c r="M171" s="11" t="n"/>
      <c r="N171" s="11" t="n"/>
    </row>
    <row r="172" ht="368" customHeight="1">
      <c r="A172" s="10" t="n">
        <v>170</v>
      </c>
      <c r="B172" s="10" t="inlineStr">
        <is>
          <t>Impianto: valori calcolati dai dati inseriti una volta</t>
        </is>
      </c>
      <c r="C172" s="10" t="inlineStr">
        <is>
          <t>Massa dell’argano nei carichi sull’edificio — la stima si sostituisce con la massa dell’argano completo dalla scheda del costruttore; fino a LIFT 1.28.0 e ROOM 1.12.0 la massa di catalogo entrava come quella dell’argano completo anche dove era il solo riduttore</t>
        </is>
      </c>
      <c r="D172" s="10" t="inlineStr">
        <is>
          <t>la massa di catalogo dice cose diverse secondo il costruttore (tutto l’argano; senza volano e puleggia; il solo riduttore, senza motore, volano e puleggia): nei carichi sull’edificio entra l’argano completo, aggiungendo la stima di ciò che manca — il motore dalla sua potenza (asincrono IEC a 4 poli in ghisa: 1,5 kW 25 kg, 2,2 kW 30 kg, 3 kW 33 kg, 4 kW 42 kg, 5,5 kW 62 kg, 7,5 kW 73 kg, 11 kW 115 kg, 15 kW 136 kg, 18,5 kW 175 kg, 22 kW 195 kg, 30 kW 255 kg, 37 kW 335 kg, 45 kW 370 kg, 55 kW 450 kg, 75 kW 560 kg, 90 kW 660 kg), la puleggia 0,00095 kg per mm di diametro primitivo e per mm di larghezza (le gole al loro passo — fino a Ø 12 passo 17, fino a Ø 14 passo 20, fino a Ø 16 passo 21 mm — più 12 mm di bordi, almeno 80 mm), il volano 21 kg; nel tiro sugli ancoraggi della macchina in basso conta solo la massa di catalogo (il limite inferiore, a favore di sicurezza); la massa inserita a mano, diversa da quella del catalogo, è presa come argano completo. Il modello è quello proposto dal catalogo o, con l’argano inserito a mano (anche dal calcolatore della sostituzione al progetto completo), quello che i valori del calcolo riconoscono — rapporto, carico statico, massa e puleggia, come la relazione lo nomina: lo stesso argano pesa lo stesso nel progetto, nel foglio 1, nella relazione e nella sostituzione</t>
        </is>
      </c>
      <c r="E172" s="10" t="inlineStr">
        <is>
          <t>UNI EN 81-20:2020, 5.2.1.8.1 (carichi della macchina sulla struttura)</t>
        </is>
      </c>
      <c r="F172" s="10" t="inlineStr">
        <is>
          <t>definizioni delle masse nei documenti dei costruttori (ricerca, capitolo 17: Sassi senza volano e puleggia, LEO senza puleggia, Montanari massa del riduttore, PENTA e M105 con il motore); pulegge e volani dal catalogo Sassi REV 2023/01 (da 24 kg a Ø 450 × 80 a 135 kg a Ø 800 × 180; volani fino a 20,7 kg); motori: masse tipiche dei cataloghi dei motori asincroni in ghisa</t>
        </is>
      </c>
      <c r="G172" s="10" t="inlineStr">
        <is>
          <t>stima</t>
        </is>
      </c>
      <c r="H172" s="10" t="inlineStr">
        <is>
          <t>—</t>
        </is>
      </c>
      <c r="I172" s="11" t="n"/>
      <c r="J172" s="11" t="n"/>
      <c r="K172" s="11" t="n"/>
      <c r="L172" s="11" t="n"/>
      <c r="M172" s="11" t="n"/>
      <c r="N172" s="11" t="n"/>
    </row>
    <row r="173" ht="264" customHeight="1">
      <c r="A173" s="10" t="n">
        <v>171</v>
      </c>
      <c r="B173" s="10" t="inlineStr">
        <is>
          <t>Impianto: valori calcolati dai dati inseriti una volta</t>
        </is>
      </c>
      <c r="C173" s="10" t="inlineStr">
        <is>
          <t>Peso proprio del basamento sulla soletta — fino a LIFT 1.28.0 e ROOM 1.12.0 il totale sulla soletta (P9) e la riga «Argano e telaio» contavano solo l’argano (e il telaio con rinvio del costruttore): plinto, telaio, putrelle e telaio con rinvio del software ne restavano fuori</t>
        </is>
      </c>
      <c r="D173" s="10" t="inlineStr">
        <is>
          <t>sulla soletta, oltre all’argano, il peso proprio di ciò che lo porta, con la geometria dei disegni: il telaio del software sotto un argano di catalogo (tre ferri a C alti quanto il telaio, ali di 70 mm, spessori 9 e 7 mm, con le traverse), il telaio di profilati (tre profilati e le due traverse), le putrelle (fra i muri con l’appoggio), le piastre sotto gli appoggi (180 × 120 mm), il plinto in calcestruzzo (2500 kg/m³, i due blocchi), il telaio con rinvio del software (travi UPN 160, gambe di tubo quadro da 9,2 kg/m, la puleggia di rinvio stimata come la puleggia di frizione), la puleggia sul suo supporto; acciaio 7850 kg/m³; il telaio con rinvio del costruttore con la sua massa di catalogo; le putrelle HEB sui muri del vano con la loro. Nel carico statico del foglio 1 (P9) e della relazione, senza coefficiente dinamico; nelle verifiche delle travi il peso proprio delle travi verificate è già nella verifica</t>
        </is>
      </c>
      <c r="E173" s="10" t="inlineStr">
        <is>
          <t>UNI EN 81-20:2020, 5.2.1.8.1</t>
        </is>
      </c>
      <c r="F173" s="10" t="inlineStr">
        <is>
          <t>masse dei profilati EN 10365 (catalogo del software); calcestruzzo armato 25 kN/m³; geometria dei disegni del software</t>
        </is>
      </c>
      <c r="G173" s="10" t="inlineStr">
        <is>
          <t>scelta del software</t>
        </is>
      </c>
      <c r="H173" s="10" t="inlineStr">
        <is>
          <t>—</t>
        </is>
      </c>
      <c r="I173" s="11" t="n"/>
      <c r="J173" s="11" t="n"/>
      <c r="K173" s="11" t="n"/>
      <c r="L173" s="11" t="n"/>
      <c r="M173" s="11" t="n"/>
      <c r="N173" s="11" t="n"/>
    </row>
    <row r="174" ht="134" customHeight="1">
      <c r="A174" s="10" t="n">
        <v>172</v>
      </c>
      <c r="B174" s="10" t="inlineStr">
        <is>
          <t>Impianto: valori calcolati dai dati inseriti una volta</t>
        </is>
      </c>
      <c r="C174" s="10" t="inlineStr">
        <is>
          <t>Fune oltre la corsa (L0) — inserita a mano (misurata sull’impianto) deve tornare con il progetto del vano entro 0,3 m, altrimenti va corretta: il progetto non si salva (scelta del software sulla tolleranza); passando dalla sostituzione al progetto completo il valore del calcolo non si porta come inserito, la geometria è quella del progetto del vano</t>
        </is>
      </c>
      <c r="D174" s="10" t="inlineStr">
        <is>
          <t>dalla sommità dell’arcata con la cabina all’ultimo piano fino all’asse della puleggia: testata − sommità dell’arcata + soletta del locale + asse della puleggia a 0,9·D sul pavimento del locale (l’argano generico sugli spessori; quello di catalogo sugli stessi spessori e sul suo telaio, l’asse dove lo porta il telaio); con la puleggia di rinvio, l’asse sul basamento o sul telaio che la porta (voce locale.rinvio); macchina in basso o senza locale: fino al soffitto del vano</t>
        </is>
      </c>
      <c r="E174" s="10" t="inlineStr">
        <is>
          <t>—</t>
        </is>
      </c>
      <c r="F174" s="10" t="inlineStr">
        <is>
          <t>dati verticali del vano; altezza dell’asse scelta dal software</t>
        </is>
      </c>
      <c r="G174" s="10" t="inlineStr">
        <is>
          <t>scelta del software</t>
        </is>
      </c>
      <c r="H174" s="10" t="inlineStr">
        <is>
          <t>—</t>
        </is>
      </c>
      <c r="I174" s="11" t="n"/>
      <c r="J174" s="11" t="n"/>
      <c r="K174" s="11" t="n"/>
      <c r="L174" s="11" t="n"/>
      <c r="M174" s="11" t="n"/>
      <c r="N174" s="11" t="n"/>
    </row>
    <row r="175" ht="251" customHeight="1">
      <c r="A175" s="10" t="n">
        <v>173</v>
      </c>
      <c r="B175" s="10" t="inlineStr">
        <is>
          <t>Impianto: valori calcolati dai dati inseriti una volta</t>
        </is>
      </c>
      <c r="C175" s="10" t="inlineStr">
        <is>
          <t>Distanza orizzontale della puleggia di rinvio (dx) — fino a LIFT 1.27.0 e ROOM 1.11.0 in taglia 2:1 le pulegge di cabina e di contrappeso giravano nel piano delle calate e la calata era quella tra i centri meno Dp: con il contrappeso sottile contro il muro la sua puleggia entrava nel muro e nella corsa della cabina</t>
        </is>
      </c>
      <c r="D175" s="10" t="inlineStr">
        <is>
          <t>calata tra la fune di cabina e quella del contrappeso in pianta − D/2 − Dp/2 (rinvio semplice: la fune scende dal lato esterno della puleggia di rinvio); se la fune deve rientrare, − D/2 + Dp/2 (rinvio inverso: dal lato interno); con taglia 2:1 le pulegge di cabina e di contrappeso girano ognuna nel piano fra le sue guide (quella di cabina nella traversa, quella del contrappeso nel suo telaio, lungo il lato lungo, mai nello spessore: arriverebbe nel muro dietro e nella corsa della cabina): la fune sale da un lato di ognuna, il punto fisso pende dall’altro, a Dp/2 dal centro, e la calata è tra le due salite (con i due piani paralleli quanto tra i centri, l’argano dritto spostato di Dp/2). La puleggia di frizione sopra la cabina, il rinvio sopra il contrappeso; se nessuna delle due geometrie torna con l’angolo di avvolgimento, la distanza va misurata sull’impianto</t>
        </is>
      </c>
      <c r="E175" s="10" t="inlineStr">
        <is>
          <t>ricerca, capitolo 5.3</t>
        </is>
      </c>
      <c r="F175" s="10" t="inlineStr">
        <is>
          <t>pianta del vano</t>
        </is>
      </c>
      <c r="G175" s="10" t="inlineStr">
        <is>
          <t>derivazione</t>
        </is>
      </c>
      <c r="H175" s="10" t="inlineStr">
        <is>
          <t>—</t>
        </is>
      </c>
      <c r="I175" s="11" t="n"/>
      <c r="J175" s="11" t="n"/>
      <c r="K175" s="11" t="n"/>
      <c r="L175" s="11" t="n"/>
      <c r="M175" s="11" t="n"/>
      <c r="N175" s="11" t="n"/>
    </row>
    <row r="176" ht="173" customHeight="1">
      <c r="A176" s="10" t="n">
        <v>174</v>
      </c>
      <c r="B176" s="10" t="inlineStr">
        <is>
          <t>Impianto: valori calcolati dai dati inseriti una volta</t>
        </is>
      </c>
      <c r="C176" s="10" t="inlineStr">
        <is>
          <t>Tiro diretto (senza rinvio): calata uguale al diametro della puleggia — con un diametro diverso dalla calata le funi si inclinano verso gli attacchi: nella sostituzione con il confronto il calcolo ne tiene conto per la nuova puleggia; oltre pochi millimetri servono una puleggia di rinvio o il contrappeso spostato (quota «Calata» in pianta)</t>
        </is>
      </c>
      <c r="D176" s="10" t="inlineStr">
        <is>
          <t>senza rinvio le due calate scendono dai due lati della puleggia di frizione: la loro distanza in pianta (dall’asse della cabina a quello del contrappeso; con la taglia 2:1 tra le salite dai lati delle loro pulegge, voce impianto.dx) è il diametro primitivo D. La macchina proposta ha la puleggia di diametro uguale alla calata della pianta, se è nella gamma del calcolo (da 320 a 800 mm); una macchina inserita a mano, o nella sostituzione con il confronto la macchina esistente (i suoi attacchi restano), con un diametro che si scosta dalla calata più di 1 mm è segnalata e il progetto non si salva</t>
        </is>
      </c>
      <c r="E176" s="10" t="inlineStr">
        <is>
          <t>ricerca, capitolo 5.3 (angolo di avvolgimento del tiro diretto)</t>
        </is>
      </c>
      <c r="F176" s="10" t="inlineStr">
        <is>
          <t>geometria delle funi</t>
        </is>
      </c>
      <c r="G176" s="10" t="inlineStr">
        <is>
          <t>derivazione</t>
        </is>
      </c>
      <c r="H176" s="10" t="inlineStr">
        <is>
          <t>—</t>
        </is>
      </c>
      <c r="I176" s="11" t="n"/>
      <c r="J176" s="11" t="n"/>
      <c r="K176" s="11" t="n"/>
      <c r="L176" s="11" t="n"/>
      <c r="M176" s="11" t="n"/>
      <c r="N176" s="11" t="n"/>
    </row>
    <row r="177" ht="212" customHeight="1">
      <c r="A177" s="10" t="n">
        <v>175</v>
      </c>
      <c r="B177" s="10" t="inlineStr">
        <is>
          <t>Impianto: valori calcolati dai dati inseriti una volta</t>
        </is>
      </c>
      <c r="C177" s="10" t="inlineStr">
        <is>
          <t>Macchina in basso: altezza fino alle pulegge in alto (Hv) — inserita a mano deve tornare con il progetto del vano entro 0,5 m (scelta del software sulla tolleranza), altrimenti va corretta e il progetto non si salva: un Hv più lungo di quanto lo schema consente (con la macchina accanto al vano al piano più basso, oltre l’altezza della testata sopra la puleggia) darebbe funi, masse e lunghezze d’ordine sbagliate; passando dalla sostituzione al progetto completo il valore del calcolo (spesso quello dell’esempio) non si porta come inserito</t>
        </is>
      </c>
      <c r="D177" s="10" t="inlineStr">
        <is>
          <t>dall’asse dei rinvii in testata all’asse della puleggia di frizione, secondo lo schema delle funi (impianto.basso.schema); la puleggia ha l’asse a 0,9·D sul pavimento del suo locale</t>
        </is>
      </c>
      <c r="E177" s="10" t="inlineStr">
        <is>
          <t>ricerca, capitolo 5; funi con la macchina in basso, capitolo 2.6</t>
        </is>
      </c>
      <c r="F177" s="10" t="inlineStr">
        <is>
          <t>dati verticali del vano</t>
        </is>
      </c>
      <c r="G177" s="10" t="inlineStr">
        <is>
          <t>derivazione</t>
        </is>
      </c>
      <c r="H177" s="10" t="inlineStr">
        <is>
          <t>—</t>
        </is>
      </c>
      <c r="I177" s="11" t="n"/>
      <c r="J177" s="11" t="n"/>
      <c r="K177" s="11" t="n"/>
      <c r="L177" s="11" t="n"/>
      <c r="M177" s="11" t="n"/>
      <c r="N177" s="11" t="n"/>
    </row>
    <row r="178" ht="446" customHeight="1">
      <c r="A178" s="10" t="n">
        <v>176</v>
      </c>
      <c r="B178" s="10" t="inlineStr">
        <is>
          <t>Impianto: valori calcolati dai dati inseriti una volta</t>
        </is>
      </c>
      <c r="C178" s="10" t="inlineStr">
        <is>
          <t>Macchina in basso: schema delle funi — lo schema reale va rilevato sull’impianto; con la macchina sotto il vano lo spazio sotto la fossa è accessibile: paracadute del contrappeso — la EN 81-20 non ammette più il pilastro pieno fino al terreno — (UNI EN 81-20:2020, 5.2.5.4) e fondo della fossa per le reazioni degli ammortizzatori; in una modifica la UNI 10411-1:2024 (6.14) accetta al posto del paracadute un pilastro esistente fino al terreno, verificato per i nuovi carichi; con la UNI 10411-11:2024 quello che l’impianto ha secondo la sua edizione della UNI EN 81-1 (5.5 a)), verificato per i nuovi carichi (6.6 e 6.13)</t>
        </is>
      </c>
      <c r="D178" s="10" t="inlineStr">
        <is>
          <t>tre schemi: rinvii appesi sotto la soletta del vano (assi a Dp/2 + 120 mm sotto il soffitto), macchina nel locale al piano più basso oltre la parete del contrappeso con la puleggia nel vano; locale pulegge sopra la soletta (assi a 450 mm sul pavimento del locale, soletta di 250 mm se il locale non è progettato), macchina come sopra; macchina sotto il vano, in un locale alto 2400 mm sotto la soletta della fossa di 300 mm, rinvii sotto la soletta. Il locale della macchina accanto al vano è lungo 2200 mm oltre la parete, largo 2600 mm e alto 2400 mm, con la porta sul fianco e il quadro sulla parete di fondo; quello sotto il vano è grande quanto il vano. Tutti e due si allargano dove la macchina ne esce, fino a 500 mm oltre il suo ingombro; larghezza, profondità, altezza e porta del locale si cambiano sui suoi disegni (accanto al vano resta il lato al muro, sotto il vano l’angolo più vicino all’origine; sotto il vano la sua altezza abbassa la macchina) e la macchina deve restarci dentro. I due rami alla macchina salgono dietro il contrappeso a 50 mm dalla parete e dal contrappeso, la puleggia con il piano parallelo alla parete (accanto al vano a 50 mm la puleggia, quando è più larga dei rami: tra i rami nel vano, con il corpo della macchina tutto nel locale a 50 mm dalla parete e nel muro solo l’albero lento nel suo manicotto); per lato un rinvio a 180° se il ramo dista dalla calata in pianta non più di Dp, altrimenti due rinvii a 90° con un tratto orizzontale. Il calcolo conta due rinvii per la macchina in basso: gli altri entrano come flessioni semplici aggiuntive (nps)</t>
        </is>
      </c>
      <c r="E178" s="10" t="inlineStr">
        <is>
          <t>ricerca, funi con la macchina in basso, capitoli 2–5; DPR 1497/1963 artt. 5–9, 33</t>
        </is>
      </c>
      <c r="F178" s="10" t="inlineStr">
        <is>
          <t>geometria ricostruita dal software</t>
        </is>
      </c>
      <c r="G178" s="10" t="inlineStr">
        <is>
          <t>scelta del software</t>
        </is>
      </c>
      <c r="H178" s="10" t="inlineStr">
        <is>
          <t>—</t>
        </is>
      </c>
      <c r="I178" s="11" t="n"/>
      <c r="J178" s="11" t="n"/>
      <c r="K178" s="11" t="n"/>
      <c r="L178" s="11" t="n"/>
      <c r="M178" s="11" t="n"/>
      <c r="N178" s="11" t="n"/>
    </row>
    <row r="179" ht="563" customHeight="1">
      <c r="A179" s="10" t="n">
        <v>177</v>
      </c>
      <c r="B179" s="10" t="inlineStr">
        <is>
          <t>Impianto: valori calcolati dai dati inseriti una volta</t>
        </is>
      </c>
      <c r="C179" s="10" t="inlineStr">
        <is>
          <t>Macchina proposta dal catalogo di un costruttore — la tolleranza sul rapporto è una scelta del software: la velocità reale con l’inverter deve restare entro il 5 % sopra la nominale (UNI EN 81-20:2020, 5.9.2.4; buona pratica non oltre l'8 % sotto); vale perché con la macchina nuova la regolazione della velocità c’è sempre: sul quadro che resta va dichiarata (voce impianto.quadro.regolazione), senza si sostituisce il quadro; i dati di Sassi, Montanari, GEM e FAER vengono da estratti dei motori di ricerca, non dai documenti; tutti vanno confermati sulla scheda del costruttore prima dell’ordine; per Montanari la massa è quella del riduttore (senza motore, puleggia e volano) e le pulegge sono quelle delle configurazioni tipiche; GEAT Elevators distribuisce argani Montanari, Sassi e FAER (P58F, P58S) e non ne costruisce; fino a LIFT 1.28.0 il motore e la gola restavano quelli della griglia, al rapporto ideale e con la geometria dell’argano generico: un argano più veloce poteva mancare la potenza statica e uno con l’asse più basso l’aderenza, e su plinto o telaio un argano con l’asse più alto era proposto anche quando la pianta non posizionava il rinvio (da inserire a mano); fino a LIFT 1.30.0 un argano era escluso anche quando il motore della griglia (al rapporto ideale) superava il più grande del catalogo, benché al rapporto del catalogo ne bastasse uno entro quel limite, e per ogni opzione si provava solo l’argano più piccolo: se non passava, l’opzione si perdeva anche quando un argano più grande la prendeva</t>
        </is>
      </c>
      <c r="D179" s="10" t="inlineStr">
        <is>
          <t>tra le opzioni del dimensionamento solo quelle che un argano del costruttore scelto accetta: puleggia nella gamma del modello, carico statico sull’albero non oltre quello del catalogo, portata dichiarata; il rapporto è quello del catalogo più vicino al rapporto ideale, se la velocità che dà non si scosta da quella nominale più del 10 % (l’inverter adatta la frequenza); il calcolo usa quel rapporto, il carico statico ammesso e la massa del catalogo; con il rapporto del catalogo e la geometria dell’argano com’è (asse della puleggia, telaio con rinvio del costruttore: h, angolo di avvolgimento, fune oltre la corsa) motore, gola e freno sono dimensionati di nuovo con le regole del dimensionamento — il motore IEC più piccolo che copre la potenza statica alla velocità reale, non oltre il più grande del catalogo; la gola che aderisce col margine più largo e, se con essa il coefficiente di sicurezza delle funi non basta, quella che aderisce di più fra le meno incise, a mezzo grado, fino al margine successivo; per ogni opzione si provano gli argani che la accettano dal più piccolo; quello che non passa ogni verifica così, o per cui la pianta non sa posizionare il rinvio, lascia l’opzione al successivo del costruttore e, se nessuno la prende, si prova l’opzione successiva; i disegni e il 3D mostrano l’argano SICOR com’è (ingombri, piedi e fori, asse della puleggia, P ed E della scheda), sul telaio del software</t>
        </is>
      </c>
      <c r="E179" s="10" t="inlineStr">
        <is>
          <t>ricerca, capitolo 12 (catalogo degli argani)</t>
        </is>
      </c>
      <c r="F179" s="10" t="inlineStr">
        <is>
          <t>SICOR: schede tecniche 2025 e modelli CAD scaricati da sicoritaly.com il 2 ottobre 2026 (solo le quote); Sassi, Montanari, GEM, FAER: estratti delle pagine dei costruttori e dei rivenditori, 1° ottobre 2026</t>
        </is>
      </c>
      <c r="G179" s="10" t="inlineStr">
        <is>
          <t>scelta del software</t>
        </is>
      </c>
      <c r="H179" s="10" t="inlineStr">
        <is>
          <t>—</t>
        </is>
      </c>
      <c r="I179" s="11" t="n"/>
      <c r="J179" s="11" t="n"/>
      <c r="K179" s="11" t="n"/>
      <c r="L179" s="11" t="n"/>
      <c r="M179" s="11" t="n"/>
      <c r="N179" s="11" t="n"/>
    </row>
    <row r="180" ht="134" customHeight="1">
      <c r="A180" s="10" t="n">
        <v>178</v>
      </c>
      <c r="B180" s="10" t="inlineStr">
        <is>
          <t>Impianto: valori calcolati dai dati inseriti una volta</t>
        </is>
      </c>
      <c r="C180" s="10" t="inlineStr">
        <is>
          <t>Macchina proposta — una griglia di calcolo, non un catalogo: il modello reale va scelto dal costruttore con questi valori. La puleggia cambia la geometria delle funi (fune oltre la corsa, distanza del rinvio): ogni puleggia della griglia è dimensionata con la propria, e con il rinvio dalla pianta solo le pulegge per cui la pianta sa posizionare il rinvio</t>
        </is>
      </c>
      <c r="D180" s="10" t="inlineStr">
        <is>
          <t>la prima opzione del dimensionamento (capitolo 8): puleggia, funi, rapporto, gola, motore e freno che passano ogni verifica; con le ipotesi del gruppo (poli, giri, rendimenti, inerzie) inserite</t>
        </is>
      </c>
      <c r="E180" s="10" t="inlineStr">
        <is>
          <t>ricerca, capitolo 8</t>
        </is>
      </c>
      <c r="F180" s="10" t="inlineStr">
        <is>
          <t>motore di calcolo</t>
        </is>
      </c>
      <c r="G180" s="10" t="inlineStr">
        <is>
          <t>scelta del software</t>
        </is>
      </c>
      <c r="H180" s="10" t="inlineStr">
        <is>
          <t>—</t>
        </is>
      </c>
      <c r="I180" s="11" t="n"/>
      <c r="J180" s="11" t="n"/>
      <c r="K180" s="11" t="n"/>
      <c r="L180" s="11" t="n"/>
      <c r="M180" s="11" t="n"/>
      <c r="N180" s="11" t="n"/>
    </row>
    <row r="181" ht="95" customHeight="1">
      <c r="A181" s="10" t="n">
        <v>179</v>
      </c>
      <c r="B181" s="10" t="inlineStr">
        <is>
          <t>Impianto: valori calcolati dai dati inseriti una volta</t>
        </is>
      </c>
      <c r="C181" s="10" t="inlineStr">
        <is>
          <t>Altezza minima delle scritte dei disegni — prima i nomi che non stavano si rimpicciolivano sotto i 2,5 mm di corpo, fino a non leggersi in stampa</t>
        </is>
      </c>
      <c r="D181" s="10" t="inlineStr">
        <is>
          <t>nomi, sigle e richiami dei carichi a corpo 2,5 mm sul foglio (maiuscole alte 1,8 mm); una scritta che alla scala del foglio non ci sta non si rimpicciolisce: esce dal disegno con una linea di richiamo; le etichette del cartiglio e della striscia a corpo 2 mm, le quote con le proprie altezze</t>
        </is>
      </c>
      <c r="E181" s="10" t="inlineStr">
        <is>
          <t>UNI EN ISO 3098-1 (serie delle altezze nominali della scrittura: 1,8 – 2,5 – 3,5 mm …)</t>
        </is>
      </c>
      <c r="F181" s="10" t="inlineStr">
        <is>
          <t>scelta del software sulla serie della norma; misura del carattere DejaVu Sans (maiuscole 0,73 del corpo)</t>
        </is>
      </c>
      <c r="G181" s="10" t="inlineStr">
        <is>
          <t>scelta del software</t>
        </is>
      </c>
      <c r="H181" s="10" t="inlineStr">
        <is>
          <t>—</t>
        </is>
      </c>
      <c r="I181" s="11" t="n"/>
      <c r="J181" s="11" t="n"/>
      <c r="K181" s="11" t="n"/>
      <c r="L181" s="11" t="n"/>
      <c r="M181" s="11" t="n"/>
      <c r="N181" s="11" t="n"/>
    </row>
    <row r="182" ht="82" customHeight="1">
      <c r="A182" s="10" t="n">
        <v>180</v>
      </c>
      <c r="B182" s="10" t="inlineStr">
        <is>
          <t>Impianto: valori calcolati dai dati inseriti una volta</t>
        </is>
      </c>
      <c r="C182" s="10" t="inlineStr">
        <is>
          <t>Numero di matricola nel cartiglio e nella striscia</t>
        </is>
      </c>
      <c r="D182" s="10" t="inlineStr">
        <is>
          <t>quello dei dati dell’impianto; se manca, «DA ASSEGNARE» per un impianto nuovo (il Comune lo assegna dopo la comunicazione della messa in esercizio) e «DA COMUNICARE» per un impianto esistente modificato, che il Comune e l’organismo delle verifiche conoscono per matricola</t>
        </is>
      </c>
      <c r="E182" s="10" t="inlineStr">
        <is>
          <t>DPR 162/1999 e s.m.i., art. 12 c.1–3 (matricola entro 30 giorni dalla comunicazione), c.4–5 (modifica)</t>
        </is>
      </c>
      <c r="F182" s="10" t="inlineStr">
        <is>
          <t>DPR 162/1999 (testo su Normattiva)</t>
        </is>
      </c>
      <c r="G182" s="10" t="inlineStr">
        <is>
          <t>confermato</t>
        </is>
      </c>
      <c r="H182" s="10" t="inlineStr">
        <is>
          <t>—</t>
        </is>
      </c>
      <c r="I182" s="11" t="n"/>
      <c r="J182" s="11" t="n"/>
      <c r="K182" s="11" t="n"/>
      <c r="L182" s="11" t="n"/>
      <c r="M182" s="11" t="n"/>
      <c r="N182" s="11" t="n"/>
    </row>
    <row r="183" ht="108" customHeight="1">
      <c r="A183" s="10" t="n">
        <v>181</v>
      </c>
      <c r="B183" s="10" t="inlineStr">
        <is>
          <t>Impianto: valori calcolati dai dati inseriti una volta</t>
        </is>
      </c>
      <c r="C183" s="10" t="inlineStr">
        <is>
          <t>Revisioni nel cartiglio</t>
        </is>
      </c>
      <c r="D183" s="10" t="inlineStr">
        <is>
          <t>R0 «PRIMA EMISSIONE» con la data della prima emissione, poi R1, R2 … con la nota e la data di ciascuna; il cartiglio ne mostra le ultime 4; la casella del DIS. N° e la striscia di ogni foglio portano la revisione corrente con la sua data; una bozza (non emessa) non ha R0 e lascia la casella da compilare a mano; sotto il cartiglio la cella del timbro e della firma del progettista</t>
        </is>
      </c>
      <c r="E183" s="10" t="inlineStr">
        <is>
          <t>ISO 7200 (campi del cartiglio: numero del disegno, indice di revisione, data)</t>
        </is>
      </c>
      <c r="F183" s="10" t="inlineStr">
        <is>
          <t>prassi dei disegni tecnici</t>
        </is>
      </c>
      <c r="G183" s="10" t="inlineStr">
        <is>
          <t>prassi di cantiere</t>
        </is>
      </c>
      <c r="H183" s="10" t="inlineStr">
        <is>
          <t>—</t>
        </is>
      </c>
      <c r="I183" s="11" t="n"/>
      <c r="J183" s="11" t="n"/>
      <c r="K183" s="11" t="n"/>
      <c r="L183" s="11" t="n"/>
      <c r="M183" s="11" t="n"/>
      <c r="N183" s="11" t="n"/>
    </row>
    <row r="184" ht="134" customHeight="1">
      <c r="A184" s="10" t="n">
        <v>182</v>
      </c>
      <c r="B184" s="10" t="inlineStr">
        <is>
          <t>Impianto: valori calcolati dai dati inseriti una volta</t>
        </is>
      </c>
      <c r="C184" s="10" t="inlineStr">
        <is>
          <t>Nome dell’argano nei disegni</t>
        </is>
      </c>
      <c r="D184" s="10" t="inlineStr">
        <is>
          <t>il modello del catalogo su cui è fatto il calcolo, con accanto «(rif. impianto: …)» il testo dei dati dell’impianto quando è diverso; il testo deve nominare quel modello a parole intere (senza la nota fra parentesi, la puleggia «Ø…» e «con …»; «M 73» è M73, ma «Sx» è una parola a sé) e nessun altro modello o costruttore del catalogo (SH130G non è SH130, M73S non è M73): altrimenti l’emissione delle tavole si ferma finché non si corregge</t>
        </is>
      </c>
      <c r="E184" s="10" t="inlineStr">
        <is>
          <t>relazione di calcolo e tavole dello stesso impianto: un solo argano</t>
        </is>
      </c>
      <c r="F184" s="10" t="inlineStr">
        <is>
          <t>scelta del software</t>
        </is>
      </c>
      <c r="G184" s="10" t="inlineStr">
        <is>
          <t>scelta del software</t>
        </is>
      </c>
      <c r="H184" s="10" t="inlineStr">
        <is>
          <t>—</t>
        </is>
      </c>
      <c r="I184" s="11" t="n"/>
      <c r="J184" s="11" t="n"/>
      <c r="K184" s="11" t="n"/>
      <c r="L184" s="11" t="n"/>
      <c r="M184" s="11" t="n"/>
      <c r="N184" s="11" t="n"/>
    </row>
    <row r="185" ht="121" customHeight="1">
      <c r="A185" s="10" t="n">
        <v>183</v>
      </c>
      <c r="B185" s="10" t="inlineStr">
        <is>
          <t>Impianto: valori calcolati dai dati inseriti una volta</t>
        </is>
      </c>
      <c r="C185" s="10" t="inlineStr">
        <is>
          <t>Richiami dei carichi P1…P8 sulle tavole</t>
        </is>
      </c>
      <c r="D185" s="10" t="inlineStr">
        <is>
          <t>dove ogni carico agisce: P1 sull’argano nel locale (con la macchina in basso sulle pulegge di rinvio in testata, tratteggiate nella pianta in testata, un richiamo con una linea a ciascuna), P2 e P3 sugli attacchi delle funi a 2:1, P4 sul limitatore, P5–P8 su guide e ammortizzatori nella pianta della fossa; ogni cerchio ad almeno 2r + 0,5 mm dagli altri e fuori dalle scritte, al primo posto libero intorno a ciò che indica</t>
        </is>
      </c>
      <c r="E185" s="10" t="inlineStr">
        <is>
          <t>UNI EN 81-20:2020, 5.2.1.8 (carichi sulla struttura dell’edificio: voci carichi.macchina e carichi.fossa)</t>
        </is>
      </c>
      <c r="F185" s="10" t="inlineStr">
        <is>
          <t>scelta del software</t>
        </is>
      </c>
      <c r="G185" s="10" t="inlineStr">
        <is>
          <t>scelta del software</t>
        </is>
      </c>
      <c r="H185" s="10" t="inlineStr">
        <is>
          <t>—</t>
        </is>
      </c>
      <c r="I185" s="11" t="n"/>
      <c r="J185" s="11" t="n"/>
      <c r="K185" s="11" t="n"/>
      <c r="L185" s="11" t="n"/>
      <c r="M185" s="11" t="n"/>
      <c r="N185" s="11" t="n"/>
    </row>
    <row r="186" ht="56" customHeight="1">
      <c r="A186" s="10" t="n">
        <v>184</v>
      </c>
      <c r="B186" s="10" t="inlineStr">
        <is>
          <t>Impianto: valori calcolati dai dati inseriti una volta</t>
        </is>
      </c>
      <c r="C186" s="10" t="inlineStr">
        <is>
          <t>Carico del limitatore (P4) non noto</t>
        </is>
      </c>
      <c r="D186" s="10" t="inlineStr">
        <is>
          <t>senza il carico del limitatore nei dati dell’impianto il foglio 1 scrive «DA FORNITORE» e non lo somma: lo dà il costruttore del limitatore (massa e tiro della fune all’intervento)</t>
        </is>
      </c>
      <c r="E186" s="10" t="inlineStr">
        <is>
          <t>UNI EN 81-20:2020, 5.6.2.2 (limitatore di velocità)</t>
        </is>
      </c>
      <c r="F186" s="10" t="inlineStr">
        <is>
          <t>scelta del software</t>
        </is>
      </c>
      <c r="G186" s="10" t="inlineStr">
        <is>
          <t>scelta del software</t>
        </is>
      </c>
      <c r="H186" s="10" t="inlineStr">
        <is>
          <t>—</t>
        </is>
      </c>
      <c r="I186" s="11" t="n"/>
      <c r="J186" s="11" t="n"/>
      <c r="K186" s="11" t="n"/>
      <c r="L186" s="11" t="n"/>
      <c r="M186" s="11" t="n"/>
      <c r="N186" s="11" t="n"/>
    </row>
    <row r="187" ht="108" customHeight="1">
      <c r="A187" s="10" t="n">
        <v>185</v>
      </c>
      <c r="B187" s="10" t="inlineStr">
        <is>
          <t>Impianto: valori calcolati dai dati inseriti una volta</t>
        </is>
      </c>
      <c r="C187" s="10" t="inlineStr">
        <is>
          <t>Elaborati collegati sul foglio 1</t>
        </is>
      </c>
      <c r="D187" s="10" t="inlineStr">
        <is>
          <t>sopra il cartiglio: «QUOTE IN mm, DA VERIFICARE IN CANTIERE», il numero delle verifiche non superate della tabella e i record da cui la serie è disegnata con l’inizio del loro SHA-256 (il calcolo e il progetto del vano, o il rilievo del locale e il calcolo per una sostituzione); la relazione tecnica della sostituzione cita le tavole emesse con numero, revisione e SHA-256</t>
        </is>
      </c>
      <c r="E187" s="10" t="inlineStr">
        <is>
          <t>UNI 10411-1:2024, App. C (documenti della modifica)</t>
        </is>
      </c>
      <c r="F187" s="10" t="inlineStr">
        <is>
          <t>scelta del software</t>
        </is>
      </c>
      <c r="G187" s="10" t="inlineStr">
        <is>
          <t>scelta del software</t>
        </is>
      </c>
      <c r="H187" s="10" t="inlineStr">
        <is>
          <t>—</t>
        </is>
      </c>
      <c r="I187" s="11" t="n"/>
      <c r="J187" s="11" t="n"/>
      <c r="K187" s="11" t="n"/>
      <c r="L187" s="11" t="n"/>
      <c r="M187" s="11" t="n"/>
      <c r="N187" s="11" t="n"/>
    </row>
    <row r="188" ht="238" customHeight="1">
      <c r="A188" s="10" t="n">
        <v>186</v>
      </c>
      <c r="B188" s="10" t="inlineStr">
        <is>
          <t>Impianto: valori calcolati dai dati inseriti una volta</t>
        </is>
      </c>
      <c r="C188" s="10" t="inlineStr">
        <is>
          <t>File CAD della serie emessa</t>
        </is>
      </c>
      <c r="D188" s="10" t="inlineStr">
        <is>
          <t>DXF (AutoCAD 2007) e DWG (AutoCAD 2000) della serie emessa, ridisegnati dal suo record solo se i motori danno lo stesso disegno: tutti i fogli del PDF. Le viste in scala reale, impaginate come le impagina il loro foglio e con quanto il foglio vi disegna intorno (legende, lati delle fermate, segni delle sezioni, cartello del contrappeso, note delle guide, legenda dei simboli del locale), con titolo, sottotitolo, numero del foglio e scala; il calcestruzzo campito ANSI31 (linee a 45° a 1,6 mm sul foglio); il foglio 1 alla scala della prima vista con il cartiglio come blocco CARTIGLIO i cui attributi sono numero, revisioni, date, matricola, committente e ubicazione; sotto il foglio 1 il foglio delle verifiche del progetto (senza la striscia, le cui parole sono gli attributi del cartiglio); sotto la prima vista numero, revisione e SHA-256 della serie</t>
        </is>
      </c>
      <c r="E188" s="10" t="inlineStr">
        <is>
          <t>prassi dello scambio dei disegni (blocco del cartiglio con attributi)</t>
        </is>
      </c>
      <c r="F188" s="10" t="inlineStr">
        <is>
          <t>scelta del software</t>
        </is>
      </c>
      <c r="G188" s="10" t="inlineStr">
        <is>
          <t>scelta del software</t>
        </is>
      </c>
      <c r="H188" s="10" t="inlineStr">
        <is>
          <t>—</t>
        </is>
      </c>
      <c r="I188" s="11" t="n"/>
      <c r="J188" s="11" t="n"/>
      <c r="K188" s="11" t="n"/>
      <c r="L188" s="11" t="n"/>
      <c r="M188" s="11" t="n"/>
      <c r="N188" s="11" t="n"/>
    </row>
    <row r="189" ht="238" customHeight="1">
      <c r="A189" s="10" t="n">
        <v>187</v>
      </c>
      <c r="B189" s="10" t="inlineStr">
        <is>
          <t>Impianto: valori calcolati dai dati inseriti una volta</t>
        </is>
      </c>
      <c r="C189" s="10" t="inlineStr">
        <is>
          <t>Lunghezza di taglio delle funi di sospensione — fino a LIFT 1.28.0 e ROOM 1.12.0 il foglio 1 dava la formula arrotondata al metro più vicino, i carichi la formula e la distinta la geometria senza aggiunta: con la macchina in basso circa 3 m di differenza per fune</t>
        </is>
      </c>
      <c r="D189" s="10" t="inlineStr">
        <is>
          <t>per ogni fune la lunghezza misurata sul progetto da attacco ad attacco con la cabina al piano più basso, su tutte le pulegge (puleggia di frizione, rinvio, pulegge in testata della macchina in basso, pulegge della taglia 2:1: tratti rettilinei e archi di avvolgimento), più 1 m per i due attacchi e la regolazione, arrotondata al metro superiore; un calcolo fatto da un progetto del vano la misura sulla geometria di quel progetto con il suo argano; senza il progetto del vano (sostituzione dell’argano) la lunghezza è taglia × (corsa + 2 × tratto oltre la corsa) più deviazione o rinvii. La stessa lunghezza nel foglio 1, nella distinta, nella bozza d’ordine e nella massa delle funi dei carichi sulla macchina; le funi che il collaudo lascia al loro posto il foglio 1 le dà come esistenti (la loro massa nei carichi resta a quella lunghezza)</t>
        </is>
      </c>
      <c r="E189" s="10" t="inlineStr">
        <is>
          <t>—</t>
        </is>
      </c>
      <c r="F189" s="10" t="inlineStr">
        <is>
          <t>prassi di cantiere: la fune si taglia più lunga e si accorcia all’attacco; da misurare in sito prima del taglio</t>
        </is>
      </c>
      <c r="G189" s="10" t="inlineStr">
        <is>
          <t>prassi di cantiere</t>
        </is>
      </c>
      <c r="H189" s="10" t="inlineStr">
        <is>
          <t>—</t>
        </is>
      </c>
      <c r="I189" s="11" t="n"/>
      <c r="J189" s="11" t="n"/>
      <c r="K189" s="11" t="n"/>
      <c r="L189" s="11" t="n"/>
      <c r="M189" s="11" t="n"/>
      <c r="N189" s="11" t="n"/>
    </row>
    <row r="190" ht="316" customHeight="1">
      <c r="A190" s="10" t="n">
        <v>188</v>
      </c>
      <c r="B190" s="10" t="inlineStr">
        <is>
          <t>Impianto: valori calcolati dai dati inseriti una volta</t>
        </is>
      </c>
      <c r="C190" s="10" t="inlineStr">
        <is>
          <t>Macchina in basso accanto al vano: albero lento prolungato — come le quote A e B delle schede corrispondono allo sbalzo del progetto non è detto: il carico statico ammesso per lo sbalzo indicato va confermato con il costruttore prima dell’ordine. Nel calcolatore della sostituzione, che non conosce lo schema, la macchina in basso è presa accanto al vano</t>
        </is>
      </c>
      <c r="D190" s="10" t="inlineStr">
        <is>
          <t>con la macchina nel locale accanto al vano (rinvii in testata o locale pulegge) la puleggia di frizione sta nel vano, sull’albero lento che attraversa il muro: la proposta da un catalogo e il confronto tra SICOR e Montanari prendono solo le varianti ad albero lungo (SICOR LS, Montanari AL) o con supporto esterno (SICOR TS, Montanari S e i modelli con supporto, GEM L e CL, FAER P58F), con il carico statico ammesso con l’albero più lungo della scheda (SICOR SH140LS 1500 kg, SH160LS 3200 kg) o, se la scheda ne dà uno solo, quello del catalogo; un argano standard scelto per nome non si prende (lo schermo lo dice e nomina le varianti del costruttore). La bozza d’ordine riporta il piano medio della puleggia dalla faccia del muro verso il vano (la distanza dei rami dalla parete della voce impianto.basso.schema più metà del pacco funi), il muro attraversato, lo sbalzo minimo dalla faccia del riduttore a 50 mm dal muro e il supporto esterno; l’allungamento dell’albero rispetto al disegno del costruttore solo per un argano disegnato com’è che non sia già la variante ad albero lungo. Con la macchina sotto la fossa vale ogni argano</t>
        </is>
      </c>
      <c r="E190" s="10" t="inlineStr">
        <is>
          <t>ricerca, capitolo 17 §2.1 (SICOR LS: carico statico per lunghezza dell’albero A e quota B) e §3 (Montanari AL e S)</t>
        </is>
      </c>
      <c r="F190" s="10" t="inlineStr">
        <is>
          <t>brochure SICOR Geared 2026, pp. 59 e 69; schede Montanari M73, M75, M93 e M98 (documenti del costruttore); scelta del software</t>
        </is>
      </c>
      <c r="G190" s="10" t="inlineStr">
        <is>
          <t>da verificare</t>
        </is>
      </c>
      <c r="H190" s="10" t="inlineStr">
        <is>
          <t>—</t>
        </is>
      </c>
      <c r="I190" s="11" t="n"/>
      <c r="J190" s="11" t="n"/>
      <c r="K190" s="11" t="n"/>
      <c r="L190" s="11" t="n"/>
      <c r="M190" s="11" t="n"/>
      <c r="N190" s="11" t="n"/>
    </row>
    <row r="191" ht="251" customHeight="1">
      <c r="A191" s="10" t="n">
        <v>189</v>
      </c>
      <c r="B191" s="10" t="inlineStr">
        <is>
          <t>Impianto: valori calcolati dai dati inseriti una volta</t>
        </is>
      </c>
      <c r="C191" s="10" t="inlineStr">
        <is>
          <t>Protezioni ACOP e UCM nella bozza d’ordine e nella distinta — la soluzione la sceglie il progettista con il costruttore: il software non verifica l’organo d’arresto né lo spazio d’arresto</t>
        </is>
      </c>
      <c r="D191" s="10" t="inlineStr">
        <is>
          <t>impianto nuovo (UNI EN 81-20/50): la bozza d’ordine chiede come si realizzano la protezione contro la sovravelocità in salita e quella contro i movimenti incontrollati, con l’organo d’arresto su cabina, contrappeso, funi, puleggia di frizione o albero della puleggia sostenuto in due soli punti — mai il freno sull’albero del motore di un argano con riduttore —: freno sull’albero lento o sulla puleggia certificato, bloccafuni certificato, oppure paracadute di cabina bidirezionale con il rilevamento dei movimenti incontrollati nel quadro; il numero del certificato di esame UE del tipo e i microinterruttori di controllo del freno; la distinta conta un dispositivo. Modifica con l’argano sostituito: la bozza chiede che le protezioni esistenti continuino a funzionare e, senza UCM conforme, il controllo dell’apertura del freno; con la UNI 10411-11 la distinta conta il loro adeguamento</t>
        </is>
      </c>
      <c r="E191" s="10" t="inlineStr">
        <is>
          <t>UNI EN 81-20:2020, 5.6.6.2, 5.6.6.4, 5.6.6.11, 5.6.7.3, 5.6.7.4, 5.6.7.13 e 6.3.11–6.3.13; UNI 10411-1:2024, 14.4 c), d) e g); UNI 10411-11:2024, 14.3 a) e b), appendice A (14)</t>
        </is>
      </c>
      <c r="F191" s="10" t="inlineStr">
        <is>
          <t>UNI EN 81-20:2020, testo della norma, letto il 2026-10-06, pp. 89–93; UNI 10411-1:2024, testo della norma, letto il 2026-10-06, p. 14; UNI 10411-11:2024, testo della norma, letto il 2026-10-06, p. 12; scelta del software (le righe dell’ordine e della distinta)</t>
        </is>
      </c>
      <c r="G191" s="10" t="inlineStr">
        <is>
          <t>scelta del software</t>
        </is>
      </c>
      <c r="H191" s="10" t="inlineStr">
        <is>
          <t>—</t>
        </is>
      </c>
      <c r="I191" s="11" t="n"/>
      <c r="J191" s="11" t="n"/>
      <c r="K191" s="11" t="n"/>
      <c r="L191" s="11" t="n"/>
      <c r="M191" s="11" t="n"/>
      <c r="N191" s="11" t="n"/>
    </row>
    <row r="192" ht="160" customHeight="1">
      <c r="A192" s="10" t="n">
        <v>190</v>
      </c>
      <c r="B192" s="10" t="inlineStr">
        <is>
          <t>Impianto: valori calcolati dai dati inseriti una volta</t>
        </is>
      </c>
      <c r="C192" s="10" t="inlineStr">
        <is>
          <t>Esecuzione dell’argano (destra o sinistra) nella bozza d’ordine — la mano segnata va confermata con lo schema di esecuzione del costruttore prima dell’ordine</t>
        </is>
      </c>
      <c r="D192" s="10" t="inlineStr">
        <is>
          <t>dalla geometria del progetto: guardando l’argano dal lato della puleggia, destra se il motore sta a destra, sinistra se sta a sinistra, come lo disegnano la pianta del locale, il piano della macchina in basso e il 3D (girato di 180° resta della stessa mano); il lato del motore è quello della forma dell’argano (lo SICOR SV110, a vite verticale, ha il motore dall’altra parte dell’asse della puleggia rispetto agli argani a vite orizzontale e all’argano generico); senza la geometria (calcolo senza progetto del vano) la casella resta da segnare</t>
        </is>
      </c>
      <c r="E192" s="10" t="inlineStr">
        <is>
          <t>—</t>
        </is>
      </c>
      <c r="F192" s="10" t="inlineStr">
        <is>
          <t>scelta del software: la convenzione di destra e sinistra cambia tra i costruttori</t>
        </is>
      </c>
      <c r="G192" s="10" t="inlineStr">
        <is>
          <t>scelta del software</t>
        </is>
      </c>
      <c r="H192" s="10" t="inlineStr">
        <is>
          <t>—</t>
        </is>
      </c>
      <c r="I192" s="11" t="n"/>
      <c r="J192" s="11" t="n"/>
      <c r="K192" s="11" t="n"/>
      <c r="L192" s="11" t="n"/>
      <c r="M192" s="11" t="n"/>
      <c r="N192" s="11" t="n"/>
    </row>
    <row r="193" ht="264" customHeight="1">
      <c r="A193" s="10" t="n">
        <v>191</v>
      </c>
      <c r="B193" s="10" t="inlineStr">
        <is>
          <t>Impianto: valori calcolati dai dati inseriti una volta</t>
        </is>
      </c>
      <c r="C193" s="10" t="inlineStr">
        <is>
          <t>Distinta dei materiali del progetto</t>
        </is>
      </c>
      <c r="D193" s="10" t="inlineStr">
        <is>
          <t>guide in barre da 5 m (per guida le barre dal fondo della fossa alla soletta, l’ultima tagliata, o il primo accorciato quando l’ultima resterebbe più corta del minimo della voce guide.staffe) con una giunzione tra due barre; funi alla lunghezza di taglio (voce impianto.funi.taglio) con due attacchi a cuneo con molla per fune; fune del limitatore come nel foglio 1; paracadute di cabina del tipo dei dati dell’impianto (senza dato progressivo, come nel foglio 1); due pattini per guida di cabina e di contrappeso; in taglia 2:1 la puleggia della cabina e quella del contrappeso, l’arcata e il contrappeso per la taglia 2:1 e due attacchi fissi sotto la soletta; con la macchina in basso le pulegge in testata con il loro telaio e il basamento dell’argano ancorato contro il sollevamento netto della prova; nella modifica secondo UNI 10411 solo le parti che il collaudo indica come sostituite (le altre restano, come nel foglio 1) e la manodopera a corpo</t>
        </is>
      </c>
      <c r="E193" s="10" t="inlineStr">
        <is>
          <t>UNI EN 81-20:2020, 5.5.5.1 (uguagliamento automatico delle tensioni almeno a un’estremità delle funi)</t>
        </is>
      </c>
      <c r="F193" s="10" t="inlineStr">
        <is>
          <t>UNI EN 81-20:2020, testo della norma, letto il 2026-10-06, p. 75; scelta del software (le quantità)</t>
        </is>
      </c>
      <c r="G193" s="10" t="inlineStr">
        <is>
          <t>scelta del software</t>
        </is>
      </c>
      <c r="H193" s="10" t="inlineStr">
        <is>
          <t>—</t>
        </is>
      </c>
      <c r="I193" s="11" t="n"/>
      <c r="J193" s="11" t="n"/>
      <c r="K193" s="11" t="n"/>
      <c r="L193" s="11" t="n"/>
      <c r="M193" s="11" t="n"/>
      <c r="N193" s="11" t="n"/>
    </row>
    <row r="194" ht="69" customHeight="1">
      <c r="A194" s="10" t="n">
        <v>192</v>
      </c>
      <c r="B194" s="10" t="inlineStr">
        <is>
          <t>Simulazione nel tempo (3D e grafici)</t>
        </is>
      </c>
      <c r="C194" s="10" t="inlineStr">
        <is>
          <t>Forze nella simulazione — agli estremi della corsa e alle accelerazioni della verifica i valori coincidono con quelli della verifica (test automatico)</t>
        </is>
      </c>
      <c r="D194" s="10" t="inlineStr">
        <is>
          <t>tiri delle funi, T1/T2, e^(f·α), coppie e decelerazione del freno con le stesse funzioni della verifica (modello delle funi del motore di calcolo), valutate istante per istante con la posizione e l’accelerazione della cabina</t>
        </is>
      </c>
      <c r="E194" s="10" t="inlineStr">
        <is>
          <t>UNI EN 81-50:2020, 5.11 (aderenza); ricerca, capitolo 4</t>
        </is>
      </c>
      <c r="F194" s="10" t="inlineStr">
        <is>
          <t>motore di calcolo (src/calc/model.ts)</t>
        </is>
      </c>
      <c r="G194" s="10" t="inlineStr">
        <is>
          <t>derivazione</t>
        </is>
      </c>
      <c r="H194" s="10" t="inlineStr">
        <is>
          <t>—</t>
        </is>
      </c>
      <c r="I194" s="11" t="n"/>
      <c r="J194" s="11" t="n"/>
      <c r="K194" s="11" t="n"/>
      <c r="L194" s="11" t="n"/>
      <c r="M194" s="11" t="n"/>
      <c r="N194" s="11" t="n"/>
    </row>
    <row r="195" ht="56" customHeight="1">
      <c r="A195" s="10" t="n">
        <v>193</v>
      </c>
      <c r="B195" s="10" t="inlineStr">
        <is>
          <t>Simulazione nel tempo (3D e grafici)</t>
        </is>
      </c>
      <c r="C195" s="10" t="inlineStr">
        <is>
          <t>Profilo del moto tra i piani — accelerazione e strappo sono dati di progetto dell’azionamento, non limiti normativi</t>
        </is>
      </c>
      <c r="D195" s="10" t="inlineStr">
        <is>
          <t>profilo a strappo limitato: velocità nominale, accelerazione di progetto e strappo 1 m/s³; se il tragitto è corto, la velocità più alta che ci sta</t>
        </is>
      </c>
      <c r="E195" s="10" t="inlineStr">
        <is>
          <t>ISO 18738-1:2012 (misura della qualità di marcia, nessun limite)</t>
        </is>
      </c>
      <c r="F195" s="10" t="inlineStr">
        <is>
          <t>scelta del software</t>
        </is>
      </c>
      <c r="G195" s="10" t="inlineStr">
        <is>
          <t>scelta del software</t>
        </is>
      </c>
      <c r="H195" s="10" t="inlineStr">
        <is>
          <t>—</t>
        </is>
      </c>
      <c r="I195" s="11" t="n"/>
      <c r="J195" s="11" t="n"/>
      <c r="K195" s="11" t="n"/>
      <c r="L195" s="11" t="n"/>
      <c r="M195" s="11" t="n"/>
      <c r="N195" s="11" t="n"/>
    </row>
    <row r="196" ht="69" customHeight="1">
      <c r="A196" s="10" t="n">
        <v>194</v>
      </c>
      <c r="B196" s="10" t="inlineStr">
        <is>
          <t>Simulazione nel tempo (3D e grafici)</t>
        </is>
      </c>
      <c r="C196" s="10" t="inlineStr">
        <is>
          <t>Limite di aderenza mostrato durante la marcia</t>
        </is>
      </c>
      <c r="D196" s="10" t="inlineStr">
        <is>
          <t>e^(f·α) con il coefficiente d’attrito della frenatura (μ ridotto con la velocità delle funi): il confronto è indicativo (oltre il limite: avviso, non verifica fallita), la verifica resta quella dei casi della norma</t>
        </is>
      </c>
      <c r="E196" s="10" t="inlineStr">
        <is>
          <t>UNI EN 81-50:2020, 5.11.1 e 5.11.2.3.2 (μ della frenatura)</t>
        </is>
      </c>
      <c r="F196" s="10" t="inlineStr">
        <is>
          <t>scelta del software</t>
        </is>
      </c>
      <c r="G196" s="10" t="inlineStr">
        <is>
          <t>scelta del software</t>
        </is>
      </c>
      <c r="H196" s="10" t="inlineStr">
        <is>
          <t>—</t>
        </is>
      </c>
      <c r="I196" s="11" t="n"/>
      <c r="J196" s="11" t="n"/>
      <c r="K196" s="11" t="n"/>
      <c r="L196" s="11" t="n"/>
      <c r="M196" s="11" t="n"/>
      <c r="N196" s="11" t="n"/>
    </row>
    <row r="197" ht="108" customHeight="1">
      <c r="A197" s="10" t="n">
        <v>195</v>
      </c>
      <c r="B197" s="10" t="inlineStr">
        <is>
          <t>Simulazione nel tempo (3D e grafici)</t>
        </is>
      </c>
      <c r="C197" s="10" t="inlineStr">
        <is>
          <t>Tempi delle porte — La norma non dà tempi: per le porte automatiche orizzontali dà l’energia cinetica (≤ 10 J, ≤ 4 J con il dispositivo di protezione escluso) e la forza contro la chiusura (≤ 150 N) (UNI EN 81-20:2020, 5.3.6.2.2.1), dati del fornitore delle porte.</t>
        </is>
      </c>
      <c r="D197" s="10" t="inlineStr">
        <is>
          <t>apertura 2,5 s, chiusura 3 s, sosta a porte aperte 3 s, partenza 0,5 s dopo la chiusura</t>
        </is>
      </c>
      <c r="E197" s="10" t="inlineStr">
        <is>
          <t>—</t>
        </is>
      </c>
      <c r="F197" s="10" t="inlineStr">
        <is>
          <t>scelta del software (solo animazione)</t>
        </is>
      </c>
      <c r="G197" s="10" t="inlineStr">
        <is>
          <t>scelta del software</t>
        </is>
      </c>
      <c r="H197" s="10" t="inlineStr">
        <is>
          <t>—</t>
        </is>
      </c>
      <c r="I197" s="11" t="n"/>
      <c r="J197" s="11" t="n"/>
      <c r="K197" s="11" t="n"/>
      <c r="L197" s="11" t="n"/>
      <c r="M197" s="11" t="n"/>
      <c r="N197" s="11" t="n"/>
    </row>
    <row r="198" ht="329" customHeight="1">
      <c r="A198" s="10" t="n">
        <v>196</v>
      </c>
      <c r="B198" s="10" t="inlineStr">
        <is>
          <t>Simulazione nel tempo (3D e grafici)</t>
        </is>
      </c>
      <c r="C198" s="10" t="inlineStr">
        <is>
          <t>Urto sugli ammortizzatori — la rigidezza è una scelta del software coerente con i carichi sulla fossa (il tampone in poliuretano reale non è lineare: valori indicativi); la verifica della corsa resta quella della sezione. Le decelerazioni mostrate non sono una verifica: per i tamponi non lineari la norma vuole media ≤ 1 gn, oltre 2,5 gn per non più di 0,04 s, picco ≤ 6 gn e rimbalzo ≤ 1 m/s (5.8.2.1.2.1), per gli idraulici media ≤ 1 gn e oltre 2,5 gn per non più di 0,04 s (5.8.2.2.3); si provano per tipo (certificato del fornitore). Il salto convenzionale della verifica della sezione (UNI EN 81-20:2020, 5.2.5.6.1: voce spazi.salto) è uno spazio da lasciare libero, non un moto: nella simulazione l’altra parte vola solo da dove le funi si allentano (con una molla, al doppio della compressione statica, di nuovo alla velocità d’urto) e lo spazio resta quello verificato nella sezione</t>
        </is>
      </c>
      <c r="D198" s="10" t="inlineStr">
        <is>
          <t>velocità d’urto 1,15 volte la nominale; molle e tamponi in poliuretano come ammortizzatori lineari con la corsa piena a 4 volte il carico statico (lo stesso valore dei carichi sulla fossa; per i tamponi la corsa utile è 0,9·H); ammortizzatori idraulici con decelerazione costante v₀²/(2·corsa) su tutta la corsa; all’urto nulla spinge l’altra parte (una fune tira soltanto): segue la compressione a funi tese finché l’ammortizzatore frena la sua parte meno di g, poi sale libera frenata da g (funi allentate) e ricade sulle funi tese, senza salto di velocità all’urto</t>
        </is>
      </c>
      <c r="E198" s="10" t="inlineStr">
        <is>
          <t>UNI EN 81-20:2020, 5.8.2.1.1.1–5.8.2.1.1.2 (urto al 115 %; corsa piena con un carico statico tra 2,5 e 4 volte: il software prende 4), 5.8.2.1.2.2 (90 %), 5.8.2.2.1 e 5.8.2.2.3 a)</t>
        </is>
      </c>
      <c r="F198" s="10" t="inlineStr">
        <is>
          <t>UNI EN 81-20:2020, testo della norma, letto il 2026-10-06, pp. 98–99</t>
        </is>
      </c>
      <c r="G198" s="10" t="inlineStr">
        <is>
          <t>scelta del software</t>
        </is>
      </c>
      <c r="H198" s="10" t="inlineStr">
        <is>
          <t>—</t>
        </is>
      </c>
      <c r="I198" s="11" t="n"/>
      <c r="J198" s="11" t="n"/>
      <c r="K198" s="11" t="n"/>
      <c r="L198" s="11" t="n"/>
      <c r="M198" s="11" t="n"/>
      <c r="N198" s="11" t="n"/>
    </row>
    <row r="199" ht="82" customHeight="1">
      <c r="A199" s="10" t="n">
        <v>197</v>
      </c>
      <c r="B199" s="10" t="inlineStr">
        <is>
          <t>Simulazione nel tempo (3D e grafici)</t>
        </is>
      </c>
      <c r="C199" s="10" t="inlineStr">
        <is>
          <t>Cabina bloccata: rotazione in salita — La simulazione mostra il contrappeso sugli ammortizzatori con la cabina in alto; la norma chiede anche la cabina vuota in basso, che il calcolo verifica (tr_stall).</t>
        </is>
      </c>
      <c r="D199" s="10" t="inlineStr">
        <is>
          <t>la macchina gira in salita a 0,3 m/s finché il contrappeso poggia sui suoi ammortizzatori; poi le funi devono slittare (T1/T2 ≥ e^(f·α), μ della cabina bloccata)</t>
        </is>
      </c>
      <c r="E199" s="10" t="inlineStr">
        <is>
          <t>UNI EN 81-50:2020, 5.11.2.2.3</t>
        </is>
      </c>
      <c r="F199" s="10" t="inlineStr">
        <is>
          <t>motore di calcolo; velocità scelta dal software</t>
        </is>
      </c>
      <c r="G199" s="10" t="inlineStr">
        <is>
          <t>scelta del software</t>
        </is>
      </c>
      <c r="H199" s="10" t="inlineStr">
        <is>
          <t>—</t>
        </is>
      </c>
      <c r="I199" s="11" t="n"/>
      <c r="J199" s="11" t="n"/>
      <c r="K199" s="11" t="n"/>
      <c r="L199" s="11" t="n"/>
      <c r="M199" s="11" t="n"/>
      <c r="N199" s="11" t="n"/>
    </row>
    <row r="200" ht="43" customHeight="1">
      <c r="A200" s="10" t="n">
        <v>198</v>
      </c>
      <c r="B200" s="10" t="inlineStr">
        <is>
          <t>Simulazione nel tempo (3D e grafici)</t>
        </is>
      </c>
      <c r="C200" s="10" t="inlineStr">
        <is>
          <t>Passo di campionamento</t>
        </is>
      </c>
      <c r="D200" s="10" t="inlineStr">
        <is>
          <t>0,02 s; tra due campioni i valori sono interpolati linearmente</t>
        </is>
      </c>
      <c r="E200" s="10" t="inlineStr">
        <is>
          <t>—</t>
        </is>
      </c>
      <c r="F200" s="10" t="inlineStr">
        <is>
          <t>scelta del software</t>
        </is>
      </c>
      <c r="G200" s="10" t="inlineStr">
        <is>
          <t>scelta del software</t>
        </is>
      </c>
      <c r="H200" s="10" t="inlineStr">
        <is>
          <t>—</t>
        </is>
      </c>
      <c r="I200" s="11" t="n"/>
      <c r="J200" s="11" t="n"/>
      <c r="K200" s="11" t="n"/>
      <c r="L200" s="11" t="n"/>
      <c r="M200" s="11" t="n"/>
      <c r="N200" s="11" t="n"/>
    </row>
    <row r="201" ht="56" customHeight="1">
      <c r="A201" s="10" t="n">
        <v>199</v>
      </c>
      <c r="B201" s="10" t="inlineStr">
        <is>
          <t>Collaudo: adempimenti del DPR 162/1999 (impianto nuovo)</t>
        </is>
      </c>
      <c r="C201" s="10" t="inlineStr">
        <is>
          <t>DPR 162/1999, art. 4-bis</t>
        </is>
      </c>
      <c r="D201" s="10" t="inlineStr">
        <is>
          <t>progetto, fabbricazione, installazione e prove conformi all’All. I; documentazione tecnica e dichiarazione di conformità conservate per 10 anni</t>
        </is>
      </c>
      <c r="E201" s="10" t="inlineStr">
        <is>
          <t>DPR 162/1999, art. 4-bis</t>
        </is>
      </c>
      <c r="F201" s="10" t="inlineStr">
        <is>
          <t>ricerca, cap. 16 (testi ufficiali e schede UNI, 2026-10-02)</t>
        </is>
      </c>
      <c r="G201" s="10" t="inlineStr">
        <is>
          <t>confermato</t>
        </is>
      </c>
      <c r="H201" s="10" t="inlineStr">
        <is>
          <t>—</t>
        </is>
      </c>
      <c r="I201" s="11" t="n"/>
      <c r="J201" s="11" t="n"/>
      <c r="K201" s="11" t="n"/>
      <c r="L201" s="11" t="n"/>
      <c r="M201" s="11" t="n"/>
      <c r="N201" s="11" t="n"/>
    </row>
    <row r="202" ht="56" customHeight="1">
      <c r="A202" s="10" t="n">
        <v>200</v>
      </c>
      <c r="B202" s="10" t="inlineStr">
        <is>
          <t>Collaudo: adempimenti del DPR 162/1999 (impianto nuovo)</t>
        </is>
      </c>
      <c r="C202" s="10" t="inlineStr">
        <is>
          <t>DPR 162/1999 e s.m.i., artt. 6-bis e 7 c.3</t>
        </is>
      </c>
      <c r="D202" s="10" t="inlineStr">
        <is>
          <t>procedura con un organismo notificato (ascensore modello con esame UE del tipo, All. IV B, più All. V, X o XII; oppure All. VIII o XI); marcatura CE in cabina con il numero dell’organismo</t>
        </is>
      </c>
      <c r="E202" s="10" t="inlineStr">
        <is>
          <t>DPR 162/1999 e s.m.i., artt. 6-bis e 7 c.3</t>
        </is>
      </c>
      <c r="F202" s="10" t="inlineStr">
        <is>
          <t>ricerca, cap. 16 (testi ufficiali e schede UNI, 2026-10-02)</t>
        </is>
      </c>
      <c r="G202" s="10" t="inlineStr">
        <is>
          <t>confermato</t>
        </is>
      </c>
      <c r="H202" s="10" t="inlineStr">
        <is>
          <t>—</t>
        </is>
      </c>
      <c r="I202" s="11" t="n"/>
      <c r="J202" s="11" t="n"/>
      <c r="K202" s="11" t="n"/>
      <c r="L202" s="11" t="n"/>
      <c r="M202" s="11" t="n"/>
      <c r="N202" s="11" t="n"/>
    </row>
    <row r="203" ht="56" customHeight="1">
      <c r="A203" s="10" t="n">
        <v>201</v>
      </c>
      <c r="B203" s="10" t="inlineStr">
        <is>
          <t>Collaudo: adempimenti del DPR 162/1999 (impianto nuovo)</t>
        </is>
      </c>
      <c r="C203" s="10" t="inlineStr">
        <is>
          <t>DPR 162/1999 e s.m.i., art. 12 c.1–3</t>
        </is>
      </c>
      <c r="D203" s="10" t="inlineStr">
        <is>
          <t>comunicazione al Comune entro 60 giorni dalla dichiarazione di conformità (oltre: con il verbale di una verifica straordinaria di attivazione); matricola entro 30 giorni</t>
        </is>
      </c>
      <c r="E203" s="10" t="inlineStr">
        <is>
          <t>DPR 162/1999 e s.m.i., art. 12 c.1–3</t>
        </is>
      </c>
      <c r="F203" s="10" t="inlineStr">
        <is>
          <t>ricerca, cap. 16 (testi ufficiali e schede UNI, 2026-10-02)</t>
        </is>
      </c>
      <c r="G203" s="10" t="inlineStr">
        <is>
          <t>confermato</t>
        </is>
      </c>
      <c r="H203" s="10" t="inlineStr">
        <is>
          <t>—</t>
        </is>
      </c>
      <c r="I203" s="11" t="n"/>
      <c r="J203" s="11" t="n"/>
      <c r="K203" s="11" t="n"/>
      <c r="L203" s="11" t="n"/>
      <c r="M203" s="11" t="n"/>
      <c r="N203" s="11" t="n"/>
    </row>
    <row r="204" ht="56" customHeight="1">
      <c r="A204" s="10" t="n">
        <v>202</v>
      </c>
      <c r="B204" s="10" t="inlineStr">
        <is>
          <t>Collaudo: adempimenti del DPR 162/1999 (impianto nuovo)</t>
        </is>
      </c>
      <c r="C204" s="10" t="inlineStr">
        <is>
          <t>DPR 162/1999, artt. 13, 15 c.4 e 16 c.3</t>
        </is>
      </c>
      <c r="D204" s="10" t="inlineStr">
        <is>
          <t>verifiche periodiche ogni 2 anni; controllo dei dispositivi di sicurezza, delle funi e dell’isolamento almeno ogni 6 mesi; targa in cabina</t>
        </is>
      </c>
      <c r="E204" s="10" t="inlineStr">
        <is>
          <t>DPR 162/1999, artt. 13, 15 c.4 e 16 c.3</t>
        </is>
      </c>
      <c r="F204" s="10" t="inlineStr">
        <is>
          <t>ricerca, cap. 16 (testi ufficiali e schede UNI, 2026-10-02)</t>
        </is>
      </c>
      <c r="G204" s="10" t="inlineStr">
        <is>
          <t>confermato</t>
        </is>
      </c>
      <c r="H204" s="10" t="inlineStr">
        <is>
          <t>—</t>
        </is>
      </c>
      <c r="I204" s="11" t="n"/>
      <c r="J204" s="11" t="n"/>
      <c r="K204" s="11" t="n"/>
      <c r="L204" s="11" t="n"/>
      <c r="M204" s="11" t="n"/>
      <c r="N204" s="11" t="n"/>
    </row>
    <row r="205" ht="43" customHeight="1">
      <c r="A205" s="10" t="n">
        <v>203</v>
      </c>
      <c r="B205" s="10" t="inlineStr">
        <is>
          <t>Collaudo: adempimenti del DPR 162/1999 (modifica)</t>
        </is>
      </c>
      <c r="C205" s="10" t="inlineStr">
        <is>
          <t>DPR 162/1999, art. 2 c.1 lett. cc)</t>
        </is>
      </c>
      <c r="D205" s="10" t="inlineStr">
        <is>
          <t>la modifica è costruttiva: la sostituzione del macchinario ne è il caso n. 5)</t>
        </is>
      </c>
      <c r="E205" s="10" t="inlineStr">
        <is>
          <t>DPR 162/1999, art. 2 c.1 lett. cc)</t>
        </is>
      </c>
      <c r="F205" s="10" t="inlineStr">
        <is>
          <t>ricerca, cap. 16 (testi ufficiali e schede UNI, 2026-10-02)</t>
        </is>
      </c>
      <c r="G205" s="10" t="inlineStr">
        <is>
          <t>confermato</t>
        </is>
      </c>
      <c r="H205" s="10" t="inlineStr">
        <is>
          <t>—</t>
        </is>
      </c>
      <c r="I205" s="11" t="n"/>
      <c r="J205" s="11" t="n"/>
      <c r="K205" s="11" t="n"/>
      <c r="L205" s="11" t="n"/>
      <c r="M205" s="11" t="n"/>
      <c r="N205" s="11" t="n"/>
    </row>
    <row r="206" ht="43" customHeight="1">
      <c r="A206" s="10" t="n">
        <v>204</v>
      </c>
      <c r="B206" s="10" t="inlineStr">
        <is>
          <t>Collaudo: adempimenti del DPR 162/1999 (modifica)</t>
        </is>
      </c>
      <c r="C206" s="10" t="inlineStr">
        <is>
          <t>DPR 162/1999, art. 12 c.4</t>
        </is>
      </c>
      <c r="D206" s="10" t="inlineStr">
        <is>
          <t>prima della comunicazione, adeguamento della parte modificata o sostituita e delle altre parti interessate</t>
        </is>
      </c>
      <c r="E206" s="10" t="inlineStr">
        <is>
          <t>DPR 162/1999, art. 12 c.4</t>
        </is>
      </c>
      <c r="F206" s="10" t="inlineStr">
        <is>
          <t>ricerca, cap. 16 (testi ufficiali e schede UNI, 2026-10-02)</t>
        </is>
      </c>
      <c r="G206" s="10" t="inlineStr">
        <is>
          <t>confermato</t>
        </is>
      </c>
      <c r="H206" s="10" t="inlineStr">
        <is>
          <t>—</t>
        </is>
      </c>
      <c r="I206" s="11" t="n"/>
      <c r="J206" s="11" t="n"/>
      <c r="K206" s="11" t="n"/>
      <c r="L206" s="11" t="n"/>
      <c r="M206" s="11" t="n"/>
      <c r="N206" s="11" t="n"/>
    </row>
    <row r="207" ht="43" customHeight="1">
      <c r="A207" s="10" t="n">
        <v>205</v>
      </c>
      <c r="B207" s="10" t="inlineStr">
        <is>
          <t>Collaudo: adempimenti del DPR 162/1999 (modifica)</t>
        </is>
      </c>
      <c r="C207" s="10" t="inlineStr">
        <is>
          <t>DPR 162/1999, art. 12 c.4–5</t>
        </is>
      </c>
      <c r="D207" s="10" t="inlineStr">
        <is>
          <t>comunicazione al Comune e al soggetto delle verifiche periodiche; l’impianto non resta in esercizio senza le comunicazioni aggiornate</t>
        </is>
      </c>
      <c r="E207" s="10" t="inlineStr">
        <is>
          <t>DPR 162/1999, art. 12 c.4–5</t>
        </is>
      </c>
      <c r="F207" s="10" t="inlineStr">
        <is>
          <t>ricerca, cap. 16 (testi ufficiali e schede UNI, 2026-10-02)</t>
        </is>
      </c>
      <c r="G207" s="10" t="inlineStr">
        <is>
          <t>confermato</t>
        </is>
      </c>
      <c r="H207" s="10" t="inlineStr">
        <is>
          <t>—</t>
        </is>
      </c>
      <c r="I207" s="11" t="n"/>
      <c r="J207" s="11" t="n"/>
      <c r="K207" s="11" t="n"/>
      <c r="L207" s="11" t="n"/>
      <c r="M207" s="11" t="n"/>
      <c r="N207" s="11" t="n"/>
    </row>
    <row r="208" ht="69" customHeight="1">
      <c r="A208" s="10" t="n">
        <v>206</v>
      </c>
      <c r="B208" s="10" t="inlineStr">
        <is>
          <t>Collaudo: adempimenti del DPR 162/1999 (modifica)</t>
        </is>
      </c>
      <c r="C208" s="10" t="inlineStr">
        <is>
          <t>DPR 162/1999 e s.m.i., art. 14 c.3; schema ICIM SCI 162 rev. 02</t>
        </is>
      </c>
      <c r="D208" s="10" t="inlineStr">
        <is>
          <t>verifica straordinaria da uno dei soggetti dell’art. 13 c.1 (la legge); secondo lo schema ICIM è di norma limitata ai controlli sulle modifiche, con la documentazione delle modifiche e dei componenti sostituiti</t>
        </is>
      </c>
      <c r="E208" s="10" t="inlineStr">
        <is>
          <t>DPR 162/1999 e s.m.i., art. 14 c.3; schema ICIM SCI 162 rev. 02</t>
        </is>
      </c>
      <c r="F208" s="10" t="inlineStr">
        <is>
          <t>ricerca, cap. 16 (testi ufficiali e schede UNI, 2026-10-02)</t>
        </is>
      </c>
      <c r="G208" s="10" t="inlineStr">
        <is>
          <t>confermato</t>
        </is>
      </c>
      <c r="H208" s="10" t="inlineStr">
        <is>
          <t>—</t>
        </is>
      </c>
      <c r="I208" s="11" t="n"/>
      <c r="J208" s="11" t="n"/>
      <c r="K208" s="11" t="n"/>
      <c r="L208" s="11" t="n"/>
      <c r="M208" s="11" t="n"/>
      <c r="N208" s="11" t="n"/>
    </row>
    <row r="209" ht="82" customHeight="1">
      <c r="A209" s="10" t="n">
        <v>207</v>
      </c>
      <c r="B209" s="10" t="inlineStr">
        <is>
          <t>Collaudo: adempimenti del DPR 162/1999 (modifica)</t>
        </is>
      </c>
      <c r="C209" s="10" t="inlineStr">
        <is>
          <t>UNI 10411-1:2024 e UNI 10411-11:2024, 25</t>
        </is>
      </c>
      <c r="D209" s="10" t="inlineStr">
        <is>
          <t>documentazione della modifica (App. C della -1, App. A della -11): il proprietario la tiene per chi esegue la verifica straordinaria e la allega alla dichiarazione di conformità (DM 37/2008); manuali della macchina, del quadro e dei nuovi componenti di sicurezza consegnati al proprietario</t>
        </is>
      </c>
      <c r="E209" s="10" t="inlineStr">
        <is>
          <t>UNI 10411-1:2024 e UNI 10411-11:2024, 25</t>
        </is>
      </c>
      <c r="F209" s="10" t="inlineStr">
        <is>
          <t>testo della norma, letto il 2026-10-06 (punti e valori con parole nostre)</t>
        </is>
      </c>
      <c r="G209" s="10" t="inlineStr">
        <is>
          <t>confermato</t>
        </is>
      </c>
      <c r="H209" s="10" t="inlineStr">
        <is>
          <t>—</t>
        </is>
      </c>
      <c r="I209" s="11" t="n"/>
      <c r="J209" s="11" t="n"/>
      <c r="K209" s="11" t="n"/>
      <c r="L209" s="11" t="n"/>
      <c r="M209" s="11" t="n"/>
      <c r="N209" s="11" t="n"/>
    </row>
    <row r="210" ht="69" customHeight="1">
      <c r="A210" s="10" t="n">
        <v>208</v>
      </c>
      <c r="B210" s="10" t="inlineStr">
        <is>
          <t>Collaudo: UNI EN 81-20:2020 e UNI EN 81-50:2020</t>
        </is>
      </c>
      <c r="C210" s="10" t="inlineStr">
        <is>
          <t>DPR 162/1999, All. V 3.3 (All. VIII 4)</t>
        </is>
      </c>
      <c r="D210" s="10" t="inlineStr">
        <is>
          <t>prove dell’organismo notificato: funzionamento a vuoto e a pieno carico, in mancanza di energia, prova statica a 1,25 volte la portata e controllo che non restino deformazioni (solo impianto nuovo o trasformazione completa)</t>
        </is>
      </c>
      <c r="E210" s="10" t="inlineStr">
        <is>
          <t>DPR 162/1999, All. V 3.3 (All. VIII 4)</t>
        </is>
      </c>
      <c r="F210" s="10" t="inlineStr">
        <is>
          <t>ricerca, cap. 16 (testi ufficiali e schede UNI, 2026-10-02)</t>
        </is>
      </c>
      <c r="G210" s="10" t="inlineStr">
        <is>
          <t>confermato</t>
        </is>
      </c>
      <c r="H210" s="10" t="inlineStr">
        <is>
          <t>—</t>
        </is>
      </c>
      <c r="I210" s="11" t="n"/>
      <c r="J210" s="11" t="n"/>
      <c r="K210" s="11" t="n"/>
      <c r="L210" s="11" t="n"/>
      <c r="M210" s="11" t="n"/>
      <c r="N210" s="11" t="n"/>
    </row>
    <row r="211" ht="69" customHeight="1">
      <c r="A211" s="10" t="n">
        <v>209</v>
      </c>
      <c r="B211" s="10" t="inlineStr">
        <is>
          <t>Collaudo: UNI EN 81-20:2020 e UNI EN 81-50:2020</t>
        </is>
      </c>
      <c r="C211" s="10" t="inlineStr">
        <is>
          <t>DPR 162/1999, All. VIII 3 e), g), h)</t>
        </is>
      </c>
      <c r="D211" s="10" t="inlineStr">
        <is>
          <t>documentazione tecnica con i risultati dei calcoli di progetto, le relazioni sulle prove e l’elenco delle norme armonizzate applicate, anche in parte (solo impianto nuovo o trasformazione completa)</t>
        </is>
      </c>
      <c r="E211" s="10" t="inlineStr">
        <is>
          <t>DPR 162/1999, All. VIII 3 e), g), h)</t>
        </is>
      </c>
      <c r="F211" s="10" t="inlineStr">
        <is>
          <t>ricerca, cap. 16 (testi ufficiali e schede UNI, 2026-10-02)</t>
        </is>
      </c>
      <c r="G211" s="10" t="inlineStr">
        <is>
          <t>confermato</t>
        </is>
      </c>
      <c r="H211" s="10" t="inlineStr">
        <is>
          <t>—</t>
        </is>
      </c>
      <c r="I211" s="11" t="n"/>
      <c r="J211" s="11" t="n"/>
      <c r="K211" s="11" t="n"/>
      <c r="L211" s="11" t="n"/>
      <c r="M211" s="11" t="n"/>
      <c r="N211" s="11" t="n"/>
    </row>
    <row r="212" ht="69" customHeight="1">
      <c r="A212" s="10" t="n">
        <v>210</v>
      </c>
      <c r="B212" s="10" t="inlineStr">
        <is>
          <t>Collaudo: UNI EN 81-20:2020 e UNI EN 81-50:2020</t>
        </is>
      </c>
      <c r="C212" s="10" t="inlineStr">
        <is>
          <t>Regolamento (UE) 2023/1230, art. 51 par. 2</t>
        </is>
      </c>
      <c r="D212" s="10" t="inlineStr">
        <is>
          <t>per gli ascensori dichiarati conformi dal 20/01/2027: requisiti dell’All. III del Regolamento macchine (tra cui 1.1.9 e 1.2.1), con una valutazione aggiuntiva per i requisiti nuovi o cambiati (solo impianto nuovo o trasformazione completa)</t>
        </is>
      </c>
      <c r="E212" s="10" t="inlineStr">
        <is>
          <t>Regolamento (UE) 2023/1230, art. 51 par. 2</t>
        </is>
      </c>
      <c r="F212" s="10" t="inlineStr">
        <is>
          <t>ricerca, cap. 16 (testi ufficiali e schede UNI, 2026-10-02)</t>
        </is>
      </c>
      <c r="G212" s="10" t="inlineStr">
        <is>
          <t>confermato</t>
        </is>
      </c>
      <c r="H212" s="10" t="inlineStr">
        <is>
          <t>—</t>
        </is>
      </c>
      <c r="I212" s="11" t="n"/>
      <c r="J212" s="11" t="n"/>
      <c r="K212" s="11" t="n"/>
      <c r="L212" s="11" t="n"/>
      <c r="M212" s="11" t="n"/>
      <c r="N212" s="11" t="n"/>
    </row>
    <row r="213" ht="82" customHeight="1">
      <c r="A213" s="10" t="n">
        <v>211</v>
      </c>
      <c r="B213" s="10" t="inlineStr">
        <is>
          <t>Collaudo: UNI EN 81-20:2020 e UNI EN 81-50:2020</t>
        </is>
      </c>
      <c r="C213" s="10" t="inlineStr">
        <is>
          <t>UNI EN 81-50:2020, 5.12.1 e 5.12.2.1</t>
        </is>
      </c>
      <c r="D213" s="10" t="inlineStr">
        <is>
          <t>il metodo del coefficiente di sicurezza delle funi vale solo per pulegge di acciaio o ghisa e funi d’acciaio secondo EN 12385-5; la flessione è semplice se il raggio della gola non supera 0,53 volte il diametro della fune: rilevare il materiale della puleggia e il raggio delle gole</t>
        </is>
      </c>
      <c r="E213" s="10" t="inlineStr">
        <is>
          <t>UNI EN 81-50:2020, 5.12.1 e 5.12.2.1</t>
        </is>
      </c>
      <c r="F213" s="10" t="inlineStr">
        <is>
          <t>testo della norma, letto il 2026-10-06 (punti e valori con parole nostre)</t>
        </is>
      </c>
      <c r="G213" s="10" t="inlineStr">
        <is>
          <t>confermato</t>
        </is>
      </c>
      <c r="H213" s="10" t="inlineStr">
        <is>
          <t>—</t>
        </is>
      </c>
      <c r="I213" s="11" t="n"/>
      <c r="J213" s="11" t="n"/>
      <c r="K213" s="11" t="n"/>
      <c r="L213" s="11" t="n"/>
      <c r="M213" s="11" t="n"/>
      <c r="N213" s="11" t="n"/>
    </row>
    <row r="214" ht="43" customHeight="1">
      <c r="A214" s="10" t="n">
        <v>212</v>
      </c>
      <c r="B214" s="10" t="inlineStr">
        <is>
          <t>Collaudo: UNI EN 81-20:2020 e UNI EN 81-50:2020</t>
        </is>
      </c>
      <c r="C214" s="10" t="inlineStr">
        <is>
          <t>UNI EN 81-20:2020, 5.6.2.2.1.2</t>
        </is>
      </c>
      <c r="D214" s="10" t="inlineStr">
        <is>
          <t>tempo di risposta del limitatore di velocità: i suoi punti d’intervento distano al massimo 250 mm di corsa della fune del limitatore</t>
        </is>
      </c>
      <c r="E214" s="10" t="inlineStr">
        <is>
          <t>UNI EN 81-20:2020, 5.6.2.2.1.2</t>
        </is>
      </c>
      <c r="F214" s="10" t="inlineStr">
        <is>
          <t>testo della norma, letto il 2026-10-06 (punti e valori con parole nostre)</t>
        </is>
      </c>
      <c r="G214" s="10" t="inlineStr">
        <is>
          <t>confermato</t>
        </is>
      </c>
      <c r="H214" s="10" t="inlineStr">
        <is>
          <t>—</t>
        </is>
      </c>
      <c r="I214" s="11" t="n"/>
      <c r="J214" s="11" t="n"/>
      <c r="K214" s="11" t="n"/>
      <c r="L214" s="11" t="n"/>
      <c r="M214" s="11" t="n"/>
      <c r="N214" s="11" t="n"/>
    </row>
    <row r="215" ht="56" customHeight="1">
      <c r="A215" s="10" t="n">
        <v>213</v>
      </c>
      <c r="B215" s="10" t="inlineStr">
        <is>
          <t>Collaudo: UNI EN 81-20:2020 e UNI EN 81-50:2020</t>
        </is>
      </c>
      <c r="C215" s="10" t="inlineStr">
        <is>
          <t>UNI EN 81-20:2020, 5.8.2.1.2.1 e 5.8.2.2.3</t>
        </is>
      </c>
      <c r="D215" s="10" t="inlineStr">
        <is>
          <t>ammortizzatori (dato del fornitore): decelerazione non oltre 1 gn, sopra 2,5 gn al massimo per 0,04 s; per quelli ad accumulo non lineari anche picco non oltre 6 gn e rimbalzo non oltre 1 m/s</t>
        </is>
      </c>
      <c r="E215" s="10" t="inlineStr">
        <is>
          <t>UNI EN 81-20:2020, 5.8.2.1.2.1 e 5.8.2.2.3</t>
        </is>
      </c>
      <c r="F215" s="10" t="inlineStr">
        <is>
          <t>testo della norma, letto il 2026-10-06 (punti e valori con parole nostre)</t>
        </is>
      </c>
      <c r="G215" s="10" t="inlineStr">
        <is>
          <t>confermato</t>
        </is>
      </c>
      <c r="H215" s="10" t="inlineStr">
        <is>
          <t>—</t>
        </is>
      </c>
      <c r="I215" s="11" t="n"/>
      <c r="J215" s="11" t="n"/>
      <c r="K215" s="11" t="n"/>
      <c r="L215" s="11" t="n"/>
      <c r="M215" s="11" t="n"/>
      <c r="N215" s="11" t="n"/>
    </row>
    <row r="216" ht="69" customHeight="1">
      <c r="A216" s="10" t="n">
        <v>214</v>
      </c>
      <c r="B216" s="10" t="inlineStr">
        <is>
          <t>Collaudo: UNI EN 81-20:2020 e UNI EN 81-50:2020</t>
        </is>
      </c>
      <c r="C216" s="10" t="inlineStr">
        <is>
          <t>UNI EN 81-20:2020, 5.2.5.7.1</t>
        </is>
      </c>
      <c r="D216" s="10" t="inlineStr">
        <is>
          <t>cartello sopra o accanto allo schermo del contrappeso (5.2.5.5.1) con il gioco massimo ammesso tra contrappeso e ammortizzatore con la cabina al piano più alto, per conservare gli spazi in testata</t>
        </is>
      </c>
      <c r="E216" s="10" t="inlineStr">
        <is>
          <t>UNI EN 81-20:2020, 5.2.5.7.1</t>
        </is>
      </c>
      <c r="F216" s="10" t="inlineStr">
        <is>
          <t>testo della norma, letto il 2026-10-06 (punti e valori con parole nostre)</t>
        </is>
      </c>
      <c r="G216" s="10" t="inlineStr">
        <is>
          <t>confermato</t>
        </is>
      </c>
      <c r="H216" s="10" t="inlineStr">
        <is>
          <t>—</t>
        </is>
      </c>
      <c r="I216" s="11" t="n"/>
      <c r="J216" s="11" t="n"/>
      <c r="K216" s="11" t="n"/>
      <c r="L216" s="11" t="n"/>
      <c r="M216" s="11" t="n"/>
      <c r="N216" s="11" t="n"/>
    </row>
    <row r="217" ht="43" customHeight="1">
      <c r="A217" s="10" t="n">
        <v>215</v>
      </c>
      <c r="B217" s="10" t="inlineStr">
        <is>
          <t>Collaudo: UNI EN 81-20:2020 e UNI EN 81-50:2020</t>
        </is>
      </c>
      <c r="C217" s="10" t="inlineStr">
        <is>
          <t>UNI EN 81-20:2020, 5.2.2.4</t>
        </is>
      </c>
      <c r="D217" s="10" t="inlineStr">
        <is>
          <t>fossa più profonda di 2,50 m: porta di accesso; fino a 2,50 m porta di accesso oppure scala dentro il vano (appendice F)</t>
        </is>
      </c>
      <c r="E217" s="10" t="inlineStr">
        <is>
          <t>UNI EN 81-20:2020, 5.2.2.4</t>
        </is>
      </c>
      <c r="F217" s="10" t="inlineStr">
        <is>
          <t>testo della norma, letto il 2026-10-06 (punti e valori con parole nostre)</t>
        </is>
      </c>
      <c r="G217" s="10" t="inlineStr">
        <is>
          <t>confermato</t>
        </is>
      </c>
      <c r="H217" s="10" t="inlineStr">
        <is>
          <t>—</t>
        </is>
      </c>
      <c r="I217" s="11" t="n"/>
      <c r="J217" s="11" t="n"/>
      <c r="K217" s="11" t="n"/>
      <c r="L217" s="11" t="n"/>
      <c r="M217" s="11" t="n"/>
      <c r="N217" s="11" t="n"/>
    </row>
    <row r="218" ht="43" customHeight="1">
      <c r="A218" s="10" t="n">
        <v>216</v>
      </c>
      <c r="B218" s="10" t="inlineStr">
        <is>
          <t>Collaudo: UNI EN 81-20:2020 e UNI EN 81-50:2020</t>
        </is>
      </c>
      <c r="C218" s="10" t="inlineStr">
        <is>
          <t>UNI EN 81-20:2020, 5.2.1.5.1 b)</t>
        </is>
      </c>
      <c r="D218" s="10" t="inlineStr">
        <is>
          <t>in fossa un commutatore di ispezione fisso, manovrabile da non oltre 0,30 m da uno spazio di rifugio</t>
        </is>
      </c>
      <c r="E218" s="10" t="inlineStr">
        <is>
          <t>UNI EN 81-20:2020, 5.2.1.5.1 b)</t>
        </is>
      </c>
      <c r="F218" s="10" t="inlineStr">
        <is>
          <t>testo della norma, letto il 2026-10-06 (punti e valori con parole nostre)</t>
        </is>
      </c>
      <c r="G218" s="10" t="inlineStr">
        <is>
          <t>confermato</t>
        </is>
      </c>
      <c r="H218" s="10" t="inlineStr">
        <is>
          <t>—</t>
        </is>
      </c>
      <c r="I218" s="11" t="n"/>
      <c r="J218" s="11" t="n"/>
      <c r="K218" s="11" t="n"/>
      <c r="L218" s="11" t="n"/>
      <c r="M218" s="11" t="n"/>
      <c r="N218" s="11" t="n"/>
    </row>
    <row r="219" ht="69" customHeight="1">
      <c r="A219" s="10" t="n">
        <v>217</v>
      </c>
      <c r="B219" s="10" t="inlineStr">
        <is>
          <t>Collaudo: UNI EN 81-20:2020 e UNI EN 81-50:2020</t>
        </is>
      </c>
      <c r="C219" s="10" t="inlineStr">
        <is>
          <t>UNI EN 81-20:2020, 5.12.1.5.2.1 f)</t>
        </is>
      </c>
      <c r="D219" s="10" t="inlineStr">
        <is>
          <t>velocità in manovra d’ispezione non oltre 0,30 m/s quando sopra un posto in piedi sul tetto della cabina o in fossa l’altezza libera è di 2,0 m o meno (spazi di rifugio di tipo 2 o 3): da impostare nel quadro</t>
        </is>
      </c>
      <c r="E219" s="10" t="inlineStr">
        <is>
          <t>UNI EN 81-20:2020, 5.12.1.5.2.1 f)</t>
        </is>
      </c>
      <c r="F219" s="10" t="inlineStr">
        <is>
          <t>testo della norma, letto il 2026-10-06 (punti e valori con parole nostre)</t>
        </is>
      </c>
      <c r="G219" s="10" t="inlineStr">
        <is>
          <t>confermato</t>
        </is>
      </c>
      <c r="H219" s="10" t="inlineStr">
        <is>
          <t>—</t>
        </is>
      </c>
      <c r="I219" s="11" t="n"/>
      <c r="J219" s="11" t="n"/>
      <c r="K219" s="11" t="n"/>
      <c r="L219" s="11" t="n"/>
      <c r="M219" s="11" t="n"/>
      <c r="N219" s="11" t="n"/>
    </row>
    <row r="220" ht="43" customHeight="1">
      <c r="A220" s="10" t="n">
        <v>218</v>
      </c>
      <c r="B220" s="10" t="inlineStr">
        <is>
          <t>Collaudo: UNI EN 81-20:2020 e UNI EN 81-50:2020</t>
        </is>
      </c>
      <c r="C220" s="10" t="inlineStr">
        <is>
          <t>UNI EN 81-20:2020, 5.2.5.7.1 e 5.2.5.8.1</t>
        </is>
      </c>
      <c r="D220" s="10" t="inlineStr">
        <is>
          <t>uno spazio di rifugio per ogni persona, tutti dello stesso tipo e senza sovrapposizioni; cartello con il numero di persone ammesse e la postura</t>
        </is>
      </c>
      <c r="E220" s="10" t="inlineStr">
        <is>
          <t>UNI EN 81-20:2020, 5.2.5.7.1 e 5.2.5.8.1</t>
        </is>
      </c>
      <c r="F220" s="10" t="inlineStr">
        <is>
          <t>testo della norma, letto il 2026-10-06 (punti e valori con parole nostre)</t>
        </is>
      </c>
      <c r="G220" s="10" t="inlineStr">
        <is>
          <t>confermato</t>
        </is>
      </c>
      <c r="H220" s="10" t="inlineStr">
        <is>
          <t>—</t>
        </is>
      </c>
      <c r="I220" s="11" t="n"/>
      <c r="J220" s="11" t="n"/>
      <c r="K220" s="11" t="n"/>
      <c r="L220" s="11" t="n"/>
      <c r="M220" s="11" t="n"/>
      <c r="N220" s="11" t="n"/>
    </row>
    <row r="221" ht="69" customHeight="1">
      <c r="A221" s="10" t="n">
        <v>219</v>
      </c>
      <c r="B221" s="10" t="inlineStr">
        <is>
          <t>Collaudo: UNI EN 81-20:2020 e UNI EN 81-50:2020</t>
        </is>
      </c>
      <c r="C221" s="10" t="inlineStr">
        <is>
          <t>UNI EN 81-20:2020, 5.2.1.4.1</t>
        </is>
      </c>
      <c r="D221" s="10" t="inlineStr">
        <is>
          <t>illuminazione del vano: almeno 50 lux a 1 m sopra il tetto della cabina nella sua proiezione e a 1 m sopra il fondo della fossa dove si sta, si lavora o si passa tra le zone di lavoro; almeno 20 lux altrove</t>
        </is>
      </c>
      <c r="E221" s="10" t="inlineStr">
        <is>
          <t>UNI EN 81-20:2020, 5.2.1.4.1</t>
        </is>
      </c>
      <c r="F221" s="10" t="inlineStr">
        <is>
          <t>testo della norma, letto il 2026-10-06 (punti e valori con parole nostre)</t>
        </is>
      </c>
      <c r="G221" s="10" t="inlineStr">
        <is>
          <t>confermato</t>
        </is>
      </c>
      <c r="H221" s="10" t="inlineStr">
        <is>
          <t>—</t>
        </is>
      </c>
      <c r="I221" s="11" t="n"/>
      <c r="J221" s="11" t="n"/>
      <c r="K221" s="11" t="n"/>
      <c r="L221" s="11" t="n"/>
      <c r="M221" s="11" t="n"/>
      <c r="N221" s="11" t="n"/>
    </row>
    <row r="222" ht="56" customHeight="1">
      <c r="A222" s="10" t="n">
        <v>220</v>
      </c>
      <c r="B222" s="10" t="inlineStr">
        <is>
          <t>Collaudo: UNI EN 81-20:2020 e UNI EN 81-50:2020</t>
        </is>
      </c>
      <c r="C222" s="10" t="inlineStr">
        <is>
          <t>UNI EN 81-20:2020, 5.4.10.1 e 5.4.10.4</t>
        </is>
      </c>
      <c r="D222" s="10" t="inlineStr">
        <is>
          <t>luce in cabina almeno 100 lux sui comandi e a 1 m dal pavimento; luce di emergenza di almeno 5 lux per un’ora presso gli allarmi in cabina e sul tetto e al centro di cabina e tetto, a 1 m</t>
        </is>
      </c>
      <c r="E222" s="10" t="inlineStr">
        <is>
          <t>UNI EN 81-20:2020, 5.4.10.1 e 5.4.10.4</t>
        </is>
      </c>
      <c r="F222" s="10" t="inlineStr">
        <is>
          <t>testo della norma, letto il 2026-10-06 (punti e valori con parole nostre)</t>
        </is>
      </c>
      <c r="G222" s="10" t="inlineStr">
        <is>
          <t>confermato</t>
        </is>
      </c>
      <c r="H222" s="10" t="inlineStr">
        <is>
          <t>—</t>
        </is>
      </c>
      <c r="I222" s="11" t="n"/>
      <c r="J222" s="11" t="n"/>
      <c r="K222" s="11" t="n"/>
      <c r="L222" s="11" t="n"/>
      <c r="M222" s="11" t="n"/>
      <c r="N222" s="11" t="n"/>
    </row>
    <row r="223" ht="43" customHeight="1">
      <c r="A223" s="10" t="n">
        <v>221</v>
      </c>
      <c r="B223" s="10" t="inlineStr">
        <is>
          <t>Collaudo: UNI EN 81-20:2020 e UNI EN 81-50:2020</t>
        </is>
      </c>
      <c r="C223" s="10" t="inlineStr">
        <is>
          <t>UNI EN 81-20:2020, 5.4.4</t>
        </is>
      </c>
      <c r="D223" s="10" t="inlineStr">
        <is>
          <t>materiali della cabina secondo EN 13501-1: pavimento Cfl-s2, pareti C-s2,d1, soffitto C-s2,d0</t>
        </is>
      </c>
      <c r="E223" s="10" t="inlineStr">
        <is>
          <t>UNI EN 81-20:2020, 5.4.4</t>
        </is>
      </c>
      <c r="F223" s="10" t="inlineStr">
        <is>
          <t>testo della norma, letto il 2026-10-06 (punti e valori con parole nostre)</t>
        </is>
      </c>
      <c r="G223" s="10" t="inlineStr">
        <is>
          <t>confermato</t>
        </is>
      </c>
      <c r="H223" s="10" t="inlineStr">
        <is>
          <t>—</t>
        </is>
      </c>
      <c r="I223" s="11" t="n"/>
      <c r="J223" s="11" t="n"/>
      <c r="K223" s="11" t="n"/>
      <c r="L223" s="11" t="n"/>
      <c r="M223" s="11" t="n"/>
      <c r="N223" s="11" t="n"/>
    </row>
    <row r="224" ht="95" customHeight="1">
      <c r="A224" s="10" t="n">
        <v>222</v>
      </c>
      <c r="B224" s="10" t="inlineStr">
        <is>
          <t>Collaudo: UNI EN 81-20:2020 e UNI EN 81-50:2020</t>
        </is>
      </c>
      <c r="C224" s="10" t="inlineStr">
        <is>
          <t>UNI EN 81-20:2020, 6.3.1</t>
        </is>
      </c>
      <c r="D224" s="10" t="inlineStr">
        <is>
          <t>prova del freno: da solo ferma la cabina che scende a velocità nominale con il 125 % della portata; con un gruppo fuori servizio rallenta la cabina con la portata in discesa; con il carico tra (q − 0,1)·Q e (q + 0,1)·Q lo sblocco manuale fa partire la cabina da sola, altrimenti servono i mezzi della 5.9.2.2.2.9 b)</t>
        </is>
      </c>
      <c r="E224" s="10" t="inlineStr">
        <is>
          <t>UNI EN 81-20:2020, 6.3.1</t>
        </is>
      </c>
      <c r="F224" s="10" t="inlineStr">
        <is>
          <t>testo della norma, letto il 2026-10-06 (punti e valori con parole nostre)</t>
        </is>
      </c>
      <c r="G224" s="10" t="inlineStr">
        <is>
          <t>confermato</t>
        </is>
      </c>
      <c r="H224" s="10" t="inlineStr">
        <is>
          <t>—</t>
        </is>
      </c>
      <c r="I224" s="11" t="n"/>
      <c r="J224" s="11" t="n"/>
      <c r="K224" s="11" t="n"/>
      <c r="L224" s="11" t="n"/>
      <c r="M224" s="11" t="n"/>
      <c r="N224" s="11" t="n"/>
    </row>
    <row r="225" ht="69" customHeight="1">
      <c r="A225" s="10" t="n">
        <v>223</v>
      </c>
      <c r="B225" s="10" t="inlineStr">
        <is>
          <t>Collaudo: UNI EN 81-20:2020 e UNI EN 81-50:2020</t>
        </is>
      </c>
      <c r="C225" s="10" t="inlineStr">
        <is>
          <t>UNI EN 81-20:2020, 6.3.2</t>
        </is>
      </c>
      <c r="D225" s="10" t="inlineStr">
        <is>
          <t>impianto elettrico: esame a vista, continuità dei conduttori di protezione, isolamento circuito per circuito con l’elettronica scollegata, efficacia dell’interruzione automatica in caso di guasto</t>
        </is>
      </c>
      <c r="E225" s="10" t="inlineStr">
        <is>
          <t>UNI EN 81-20:2020, 6.3.2</t>
        </is>
      </c>
      <c r="F225" s="10" t="inlineStr">
        <is>
          <t>testo della norma, letto il 2026-10-06 (punti e valori con parole nostre)</t>
        </is>
      </c>
      <c r="G225" s="10" t="inlineStr">
        <is>
          <t>confermato</t>
        </is>
      </c>
      <c r="H225" s="10" t="inlineStr">
        <is>
          <t>—</t>
        </is>
      </c>
      <c r="I225" s="11" t="n"/>
      <c r="J225" s="11" t="n"/>
      <c r="K225" s="11" t="n"/>
      <c r="L225" s="11" t="n"/>
      <c r="M225" s="11" t="n"/>
      <c r="N225" s="11" t="n"/>
    </row>
    <row r="226" ht="82" customHeight="1">
      <c r="A226" s="10" t="n">
        <v>224</v>
      </c>
      <c r="B226" s="10" t="inlineStr">
        <is>
          <t>Collaudo: UNI EN 81-20:2020 e UNI EN 81-50:2020</t>
        </is>
      </c>
      <c r="C226" s="10" t="inlineStr">
        <is>
          <t>UNI EN 81-20:2020, 6.3.3</t>
        </is>
      </c>
      <c r="D226" s="10" t="inlineStr">
        <is>
          <t>aderenza: arresti con la frenatura più severa, in salita a cabina vuota nella parte alta e in discesa con il 125 % della portata verso il basso; con il contrappeso sugli ammortizzatori e la macchina in moto le funi slittano oppure la cabina non sale; bilanciamento come dichiarato</t>
        </is>
      </c>
      <c r="E226" s="10" t="inlineStr">
        <is>
          <t>UNI EN 81-20:2020, 6.3.3</t>
        </is>
      </c>
      <c r="F226" s="10" t="inlineStr">
        <is>
          <t>testo della norma, letto il 2026-10-06 (punti e valori con parole nostre)</t>
        </is>
      </c>
      <c r="G226" s="10" t="inlineStr">
        <is>
          <t>confermato</t>
        </is>
      </c>
      <c r="H226" s="10" t="inlineStr">
        <is>
          <t>—</t>
        </is>
      </c>
      <c r="I226" s="11" t="n"/>
      <c r="J226" s="11" t="n"/>
      <c r="K226" s="11" t="n"/>
      <c r="L226" s="11" t="n"/>
      <c r="M226" s="11" t="n"/>
      <c r="N226" s="11" t="n"/>
    </row>
    <row r="227" ht="121" customHeight="1">
      <c r="A227" s="10" t="n">
        <v>225</v>
      </c>
      <c r="B227" s="10" t="inlineStr">
        <is>
          <t>Collaudo: UNI EN 81-20:2020 e UNI EN 81-50:2020</t>
        </is>
      </c>
      <c r="C227" s="10" t="inlineStr">
        <is>
          <t>UNI EN 81-20:2020, 6.3.4, 6.3.5 e 6.3.7</t>
        </is>
      </c>
      <c r="D227" s="10" t="inlineStr">
        <is>
          <t>paracadute di cabina in discesa (istantaneo con la portata a velocità nominale; progressivo, negli impianti a frizione, con il 125 % della portata a velocità nominale o inferiore), del contrappeso a cabina vuota; ammortizzatori ad accumulo compressi dalla cabina con la portata, a dissipazione provati alla velocità nominale (o a quella usata per la corsa ridotta); dopo, nessun danno all’esame a vista</t>
        </is>
      </c>
      <c r="E227" s="10" t="inlineStr">
        <is>
          <t>UNI EN 81-20:2020, 6.3.4, 6.3.5 e 6.3.7</t>
        </is>
      </c>
      <c r="F227" s="10" t="inlineStr">
        <is>
          <t>testo della norma, letto il 2026-10-06 (punti e valori con parole nostre)</t>
        </is>
      </c>
      <c r="G227" s="10" t="inlineStr">
        <is>
          <t>confermato</t>
        </is>
      </c>
      <c r="H227" s="10" t="inlineStr">
        <is>
          <t>—</t>
        </is>
      </c>
      <c r="I227" s="11" t="n"/>
      <c r="J227" s="11" t="n"/>
      <c r="K227" s="11" t="n"/>
      <c r="L227" s="11" t="n"/>
      <c r="M227" s="11" t="n"/>
      <c r="N227" s="11" t="n"/>
    </row>
    <row r="228" ht="108" customHeight="1">
      <c r="A228" s="10" t="n">
        <v>226</v>
      </c>
      <c r="B228" s="10" t="inlineStr">
        <is>
          <t>Collaudo: UNI EN 81-20:2020 e UNI EN 81-50:2020</t>
        </is>
      </c>
      <c r="C228" s="10" t="inlineStr">
        <is>
          <t>UNI EN 81-20:2020, 6.3.11, 6.3.12 e 6.3.13</t>
        </is>
      </c>
      <c r="D228" s="10" t="inlineStr">
        <is>
          <t>ACOP: cabina vuota in salita a velocità non inferiore alla nominale, frenata solo dal dispositivo; livellamento verificato a ogni fermata e, al piano più sfavorevole, durante carico e scarico; UCM: cabina vuota verso l’alto e piena verso il basso a una velocità prestabilita, con il movimento entro il limite della 5.6.7.5 e l’autosorveglianza dove richiesta</t>
        </is>
      </c>
      <c r="E228" s="10" t="inlineStr">
        <is>
          <t>UNI EN 81-20:2020, 6.3.11, 6.3.12 e 6.3.13</t>
        </is>
      </c>
      <c r="F228" s="10" t="inlineStr">
        <is>
          <t>testo della norma, letto il 2026-10-06 (punti e valori con parole nostre)</t>
        </is>
      </c>
      <c r="G228" s="10" t="inlineStr">
        <is>
          <t>confermato</t>
        </is>
      </c>
      <c r="H228" s="10" t="inlineStr">
        <is>
          <t>—</t>
        </is>
      </c>
      <c r="I228" s="11" t="n"/>
      <c r="J228" s="11" t="n"/>
      <c r="K228" s="11" t="n"/>
      <c r="L228" s="11" t="n"/>
      <c r="M228" s="11" t="n"/>
      <c r="N228" s="11" t="n"/>
    </row>
    <row r="229" ht="43" customHeight="1">
      <c r="A229" s="10" t="n">
        <v>227</v>
      </c>
      <c r="B229" s="10" t="inlineStr">
        <is>
          <t>Collaudo: UNI EN 81-20:2020 e UNI EN 81-50:2020</t>
        </is>
      </c>
      <c r="C229" s="10" t="inlineStr">
        <is>
          <t>UNI EN 81-20:2020, 6.3.14</t>
        </is>
      </c>
      <c r="D229" s="10" t="inlineStr">
        <is>
          <t>cabina fuori dalla zona di sbloccaggio e porta di piano tenuta aperta di 100 mm: lasciata, la porta si richiude e si blocca</t>
        </is>
      </c>
      <c r="E229" s="10" t="inlineStr">
        <is>
          <t>UNI EN 81-20:2020, 6.3.14</t>
        </is>
      </c>
      <c r="F229" s="10" t="inlineStr">
        <is>
          <t>testo della norma, letto il 2026-10-06 (punti e valori con parole nostre)</t>
        </is>
      </c>
      <c r="G229" s="10" t="inlineStr">
        <is>
          <t>confermato</t>
        </is>
      </c>
      <c r="H229" s="10" t="inlineStr">
        <is>
          <t>—</t>
        </is>
      </c>
      <c r="I229" s="11" t="n"/>
      <c r="J229" s="11" t="n"/>
      <c r="K229" s="11" t="n"/>
      <c r="L229" s="11" t="n"/>
      <c r="M229" s="11" t="n"/>
      <c r="N229" s="11" t="n"/>
    </row>
    <row r="230" ht="43" customHeight="1">
      <c r="A230" s="10" t="n">
        <v>228</v>
      </c>
      <c r="B230" s="10" t="inlineStr">
        <is>
          <t>Collaudo: UNI EN 81-20:2020 e UNI EN 81-50:2020</t>
        </is>
      </c>
      <c r="C230" s="10" t="inlineStr">
        <is>
          <t>UNI EN 81-20:2020, C.2 e 7.3.2</t>
        </is>
      </c>
      <c r="D230" s="10" t="inlineStr">
        <is>
          <t>la sostituzione della macchina o della puleggia di frizione è una trasformazione importante: si annota nel registro dell’impianto, da aggiornare</t>
        </is>
      </c>
      <c r="E230" s="10" t="inlineStr">
        <is>
          <t>UNI EN 81-20:2020, C.2 e 7.3.2</t>
        </is>
      </c>
      <c r="F230" s="10" t="inlineStr">
        <is>
          <t>testo della norma, letto il 2026-10-06 (punti e valori con parole nostre)</t>
        </is>
      </c>
      <c r="G230" s="10" t="inlineStr">
        <is>
          <t>confermato</t>
        </is>
      </c>
      <c r="H230" s="10" t="inlineStr">
        <is>
          <t>—</t>
        </is>
      </c>
      <c r="I230" s="11" t="n"/>
      <c r="J230" s="11" t="n"/>
      <c r="K230" s="11" t="n"/>
      <c r="L230" s="11" t="n"/>
      <c r="M230" s="11" t="n"/>
      <c r="N230" s="11" t="n"/>
    </row>
    <row r="231" ht="108" customHeight="1">
      <c r="A231" s="10" t="n">
        <v>229</v>
      </c>
      <c r="B231" s="10" t="inlineStr">
        <is>
          <t>Collaudo: UNI EN 81-20:2020 e UNI EN 81-50:2020</t>
        </is>
      </c>
      <c r="C231" s="10" t="inlineStr">
        <is>
          <t>UNI EN 81-20:2020, 5.3.5.3.2, 5.3.5.3.4, 5.3.6.2.2.1 b) e 5.3.15.2 b)</t>
        </is>
      </c>
      <c r="D231" s="10" t="inlineStr">
        <is>
          <t>pannelli delle porte con i dispositivi di ritenuta e le prove a pendolo (morbido da 800 mm; rigido da 500 mm sui pannelli in vetro); sulle porte automatiche un dispositivo di protezione che copre da 25 a 1600 mm sopra la soglia e rileva ostacoli di 50 mm; fuori dalla zona di sbloccaggio la porta di cabina, spinta con 1000 N, non si apre più di 50 mm</t>
        </is>
      </c>
      <c r="E231" s="10" t="inlineStr">
        <is>
          <t>UNI EN 81-20:2020, 5.3.5.3.2, 5.3.5.3.4, 5.3.6.2.2.1 b) e 5.3.15.2 b)</t>
        </is>
      </c>
      <c r="F231" s="10" t="inlineStr">
        <is>
          <t>testo della norma, letto il 2026-10-06 (punti e valori con parole nostre)</t>
        </is>
      </c>
      <c r="G231" s="10" t="inlineStr">
        <is>
          <t>confermato</t>
        </is>
      </c>
      <c r="H231" s="10" t="inlineStr">
        <is>
          <t>—</t>
        </is>
      </c>
      <c r="I231" s="11" t="n"/>
      <c r="J231" s="11" t="n"/>
      <c r="K231" s="11" t="n"/>
      <c r="L231" s="11" t="n"/>
      <c r="M231" s="11" t="n"/>
      <c r="N231" s="11" t="n"/>
    </row>
    <row r="232" ht="121" customHeight="1">
      <c r="A232" s="10" t="n">
        <v>230</v>
      </c>
      <c r="B232" s="10" t="inlineStr">
        <is>
          <t>Collaudo: UNI EN 81-20:2020 e UNI EN 81-50:2020</t>
        </is>
      </c>
      <c r="C232" s="10" t="inlineStr">
        <is>
          <t>UNI EN 81-20:2020, 5.3.6.2.2.1 a)–d)</t>
        </is>
      </c>
      <c r="D232" s="10" t="inlineStr">
        <is>
          <t>porte scorrevoli automatiche: energia cinetica in chiusura non oltre 10 J alla velocità media (corsa senza 25 mm per estremità sulle porte centrali, 50 mm sulle laterali); con il dispositivo di protezione guasto o escluso e l’impianto in servizio non oltre 4 J, con un segnale acustico a ogni chiusura; forza per trattenere la porta in chiusura non oltre 150 N fuori dal primo terzo della corsa, e la porta trattenuta si riapre</t>
        </is>
      </c>
      <c r="E232" s="10" t="inlineStr">
        <is>
          <t>UNI EN 81-20:2020, 5.3.6.2.2.1 a)–d)</t>
        </is>
      </c>
      <c r="F232" s="10" t="inlineStr">
        <is>
          <t>testo della norma, letto il 2026-10-06 (punti e valori con parole nostre)</t>
        </is>
      </c>
      <c r="G232" s="10" t="inlineStr">
        <is>
          <t>confermato</t>
        </is>
      </c>
      <c r="H232" s="10" t="inlineStr">
        <is>
          <t>—</t>
        </is>
      </c>
      <c r="I232" s="11" t="n"/>
      <c r="J232" s="11" t="n"/>
      <c r="K232" s="11" t="n"/>
      <c r="L232" s="11" t="n"/>
      <c r="M232" s="11" t="n"/>
      <c r="N232" s="11" t="n"/>
    </row>
    <row r="233" ht="56" customHeight="1">
      <c r="A233" s="10" t="n">
        <v>231</v>
      </c>
      <c r="B233" s="10" t="inlineStr">
        <is>
          <t>Collaudo: UNI 10411-1:2024</t>
        </is>
      </c>
      <c r="C233" s="10" t="inlineStr">
        <is>
          <t>UNI 10411-1:2024, scopo</t>
        </is>
      </c>
      <c r="D233" s="10" t="inlineStr">
        <is>
          <t>impianti elettrici a frizione fuori dalla 95/16/CE e dalla 2014/33/UE; esclude le modifiche che cambiano le misure antincendio (per queste, a nostro giudizio, il DM 15/09/2005 o il Codice V.3)</t>
        </is>
      </c>
      <c r="E233" s="10" t="inlineStr">
        <is>
          <t>UNI 10411-1:2024, scopo</t>
        </is>
      </c>
      <c r="F233" s="10" t="inlineStr">
        <is>
          <t>testo della norma, letto il 2026-10-06 (punti e valori con parole nostre)</t>
        </is>
      </c>
      <c r="G233" s="10" t="inlineStr">
        <is>
          <t>confermato</t>
        </is>
      </c>
      <c r="H233" s="10" t="inlineStr">
        <is>
          <t>—</t>
        </is>
      </c>
      <c r="I233" s="11" t="n"/>
      <c r="J233" s="11" t="n"/>
      <c r="K233" s="11" t="n"/>
      <c r="L233" s="11" t="n"/>
      <c r="M233" s="11" t="n"/>
      <c r="N233" s="11" t="n"/>
    </row>
    <row r="234" ht="134" customHeight="1">
      <c r="A234" s="10" t="n">
        <v>232</v>
      </c>
      <c r="B234" s="10" t="inlineStr">
        <is>
          <t>Collaudo: UNI 10411-1:2024</t>
        </is>
      </c>
      <c r="C234" s="10" t="inlineStr">
        <is>
          <t>UNI 10411-1:2024, 9.1–9.2</t>
        </is>
      </c>
      <c r="D234" s="10" t="inlineStr">
        <is>
          <t>apparecchiature spostate o aggiunte nel locale del macchinario (a nostro giudizio anche la macchina nuova, che ne cambia gli ingombri): locale secondo la UNI EN 81-20 5.2.6.3, locale delle pulegge secondo la 5.2.6.7; l’altezza libera sulle zone di lavoro può restare sotto 2,1 m se non scende sotto quella esistente; sotto 2,0 m vale la UNI EN 81-21:2022, 5.9 (zone segnalate, materiale ammortizzante al soffitto, almeno 1,80 m liberi sotto di esso)</t>
        </is>
      </c>
      <c r="E234" s="10" t="inlineStr">
        <is>
          <t>UNI 10411-1:2024, 9.1–9.2</t>
        </is>
      </c>
      <c r="F234" s="10" t="inlineStr">
        <is>
          <t>testo della norma, letto il 2026-10-06 (punti e valori con parole nostre)</t>
        </is>
      </c>
      <c r="G234" s="10" t="inlineStr">
        <is>
          <t>confermato</t>
        </is>
      </c>
      <c r="H234" s="10" t="inlineStr">
        <is>
          <t>—</t>
        </is>
      </c>
      <c r="I234" s="11" t="n"/>
      <c r="J234" s="11" t="n"/>
      <c r="K234" s="11" t="n"/>
      <c r="L234" s="11" t="n"/>
      <c r="M234" s="11" t="n"/>
      <c r="N234" s="11" t="n"/>
    </row>
    <row r="235" ht="121" customHeight="1">
      <c r="A235" s="10" t="n">
        <v>233</v>
      </c>
      <c r="B235" s="10" t="inlineStr">
        <is>
          <t>Collaudo: UNI 10411-1:2024</t>
        </is>
      </c>
      <c r="C235" s="10" t="inlineStr">
        <is>
          <t>UNI 10411-1:2024, 5 e App. C (5, 9 e 14)</t>
        </is>
      </c>
      <c r="D235" s="10" t="inlineStr">
        <is>
          <t>se le forze sulle strutture dell’edificio crescono o si spostano a sfavore della sicurezza, l’idoneità della struttura la dimostra il proprietario (dichiarazione con le nuove posizioni e i nuovi valori dei carichi: foglio 1, P1–P9); disegno quotato del locale del macchinario con accessi e spazi di manutenzione; con la macchina nuova, quando pertinenti, anche i documenti dei punti 5, 9, 10 e 15</t>
        </is>
      </c>
      <c r="E235" s="10" t="inlineStr">
        <is>
          <t>UNI 10411-1:2024, 5 e App. C (5, 9 e 14)</t>
        </is>
      </c>
      <c r="F235" s="10" t="inlineStr">
        <is>
          <t>testo della norma, letto il 2026-10-06 (punti e valori con parole nostre)</t>
        </is>
      </c>
      <c r="G235" s="10" t="inlineStr">
        <is>
          <t>confermato</t>
        </is>
      </c>
      <c r="H235" s="10" t="inlineStr">
        <is>
          <t>—</t>
        </is>
      </c>
      <c r="I235" s="11" t="n"/>
      <c r="J235" s="11" t="n"/>
      <c r="K235" s="11" t="n"/>
      <c r="L235" s="11" t="n"/>
      <c r="M235" s="11" t="n"/>
      <c r="N235" s="11" t="n"/>
    </row>
    <row r="236" ht="121" customHeight="1">
      <c r="A236" s="10" t="n">
        <v>234</v>
      </c>
      <c r="B236" s="10" t="inlineStr">
        <is>
          <t>Collaudo: UNI 10411-1:2024</t>
        </is>
      </c>
      <c r="C236" s="10" t="inlineStr">
        <is>
          <t>UNI 10411-1:2024, 14.4 a)–g)</t>
        </is>
      </c>
      <c r="D236" s="10" t="inlineStr">
        <is>
          <t>con la macchina nuova: temporizzatore del motore (EN 81-20 5.9.2.7); arresto in salita prima della velocità d’intervento del limitatore; protezioni ACOP e UCM esistenti che continuano a funzionare; dispositivo d’arresto presso la macchina (5.12.1.11.1 e)); pulegge nel locale secondo la 5.5.7; senza UCM e con la regolazione di velocità, macchinario senza alimentazione se il freno non si apre, con ripristino solo manuale</t>
        </is>
      </c>
      <c r="E236" s="10" t="inlineStr">
        <is>
          <t>UNI 10411-1:2024, 14.4 a)–g)</t>
        </is>
      </c>
      <c r="F236" s="10" t="inlineStr">
        <is>
          <t>testo della norma, letto il 2026-10-06 (punti e valori con parole nostre)</t>
        </is>
      </c>
      <c r="G236" s="10" t="inlineStr">
        <is>
          <t>confermato</t>
        </is>
      </c>
      <c r="H236" s="10" t="inlineStr">
        <is>
          <t>—</t>
        </is>
      </c>
      <c r="I236" s="11" t="n"/>
      <c r="J236" s="11" t="n"/>
      <c r="K236" s="11" t="n"/>
      <c r="L236" s="11" t="n"/>
      <c r="M236" s="11" t="n"/>
      <c r="N236" s="11" t="n"/>
    </row>
    <row r="237" ht="56" customHeight="1">
      <c r="A237" s="10" t="n">
        <v>235</v>
      </c>
      <c r="B237" s="10" t="inlineStr">
        <is>
          <t>Collaudo: UNI 10411-11:2024</t>
        </is>
      </c>
      <c r="C237" s="10" t="inlineStr">
        <is>
          <t>UNI 10411-11:2024, scopo</t>
        </is>
      </c>
      <c r="D237" s="10" t="inlineStr">
        <is>
          <t>impianti elettrici a frizione marcati CE secondo la Direttiva; esclude le modifiche che cambiano le misure antincendio (per queste, a nostro giudizio, il DM 15/09/2005 o il Codice V.3)</t>
        </is>
      </c>
      <c r="E237" s="10" t="inlineStr">
        <is>
          <t>UNI 10411-11:2024, scopo</t>
        </is>
      </c>
      <c r="F237" s="10" t="inlineStr">
        <is>
          <t>testo della norma, letto il 2026-10-06 (punti e valori con parole nostre)</t>
        </is>
      </c>
      <c r="G237" s="10" t="inlineStr">
        <is>
          <t>confermato</t>
        </is>
      </c>
      <c r="H237" s="10" t="inlineStr">
        <is>
          <t>—</t>
        </is>
      </c>
      <c r="I237" s="11" t="n"/>
      <c r="J237" s="11" t="n"/>
      <c r="K237" s="11" t="n"/>
      <c r="L237" s="11" t="n"/>
      <c r="M237" s="11" t="n"/>
      <c r="N237" s="11" t="n"/>
    </row>
    <row r="238" ht="108" customHeight="1">
      <c r="A238" s="10" t="n">
        <v>236</v>
      </c>
      <c r="B238" s="10" t="inlineStr">
        <is>
          <t>Collaudo: UNI 10411-11:2024</t>
        </is>
      </c>
      <c r="C238" s="10" t="inlineStr">
        <is>
          <t>UNI 10411-11:2024, 14.3 a) e App. A (14); UNI EN 81-20:2020, 5.6.6.2 e 5.6.7.3</t>
        </is>
      </c>
      <c r="D238" s="10" t="inlineStr">
        <is>
          <t>cambiando la macchina: le protezioni UCM esistenti devono continuare a funzionare (14.3 a)); per l’ACOP esistente l’App. A (14) chiede una relazione sulla compatibilità della nuova macchina, oppure nuovi dispositivi con certificato di esame di tipo e dichiarazione di conformità; il freno della macchina vale come organo d’arresto solo se ridondante e autocontrollato</t>
        </is>
      </c>
      <c r="E238" s="10" t="inlineStr">
        <is>
          <t>UNI 10411-11:2024, 14.3 a) e App. A (14); UNI EN 81-20:2020, 5.6.6.2 e 5.6.7.3</t>
        </is>
      </c>
      <c r="F238" s="10" t="inlineStr">
        <is>
          <t>testo della norma, letto il 2026-10-06 (punti e valori con parole nostre)</t>
        </is>
      </c>
      <c r="G238" s="10" t="inlineStr">
        <is>
          <t>confermato</t>
        </is>
      </c>
      <c r="H238" s="10" t="inlineStr">
        <is>
          <t>—</t>
        </is>
      </c>
      <c r="I238" s="11" t="n"/>
      <c r="J238" s="11" t="n"/>
      <c r="K238" s="11" t="n"/>
      <c r="L238" s="11" t="n"/>
      <c r="M238" s="11" t="n"/>
      <c r="N238" s="11" t="n"/>
    </row>
    <row r="239" ht="95" customHeight="1">
      <c r="A239" s="10" t="n">
        <v>237</v>
      </c>
      <c r="B239" s="10" t="inlineStr">
        <is>
          <t>Collaudo: UNI 10411-11:2024</t>
        </is>
      </c>
      <c r="C239" s="10" t="inlineStr">
        <is>
          <t>UNI 10411-11:2024, 5 e 9.2</t>
        </is>
      </c>
      <c r="D239" s="10" t="inlineStr">
        <is>
          <t>se le forze sulle strutture dell’edificio crescono o si spostano a sfavore della sicurezza, l’idoneità della struttura la dimostra il proprietario; nuova disposizione del locale del macchinario secondo la UNI EN 81-20 5.2.6, con l’altezza esistente sulle zone di lavoro ammessa se non si arriva a 2,10 m</t>
        </is>
      </c>
      <c r="E239" s="10" t="inlineStr">
        <is>
          <t>UNI 10411-11:2024, 5 e 9.2</t>
        </is>
      </c>
      <c r="F239" s="10" t="inlineStr">
        <is>
          <t>testo della norma, letto il 2026-10-06 (punti e valori con parole nostre)</t>
        </is>
      </c>
      <c r="G239" s="10" t="inlineStr">
        <is>
          <t>confermato</t>
        </is>
      </c>
      <c r="H239" s="10" t="inlineStr">
        <is>
          <t>—</t>
        </is>
      </c>
      <c r="I239" s="11" t="n"/>
      <c r="J239" s="11" t="n"/>
      <c r="K239" s="11" t="n"/>
      <c r="L239" s="11" t="n"/>
      <c r="M239" s="11" t="n"/>
      <c r="N239" s="11" t="n"/>
    </row>
    <row r="240" ht="56" customHeight="1">
      <c r="A240" s="10" t="n">
        <v>238</v>
      </c>
      <c r="B240" s="10" t="inlineStr">
        <is>
          <t>Collaudo: UNI 10411-11:2024</t>
        </is>
      </c>
      <c r="C240" s="10" t="inlineStr">
        <is>
          <t>UNI 10411-11:2024, 14.3 b)</t>
        </is>
      </c>
      <c r="D240" s="10" t="inlineStr">
        <is>
          <t>senza UCM conforme alla 5.6.7 e con il rallentamento controllato: macchinario senza alimentazione se il freno non si apre, al più tardi all’arrivo al piano, con ripristino solo manuale</t>
        </is>
      </c>
      <c r="E240" s="10" t="inlineStr">
        <is>
          <t>UNI 10411-11:2024, 14.3 b)</t>
        </is>
      </c>
      <c r="F240" s="10" t="inlineStr">
        <is>
          <t>testo della norma, letto il 2026-10-06 (punti e valori con parole nostre)</t>
        </is>
      </c>
      <c r="G240" s="10" t="inlineStr">
        <is>
          <t>confermato</t>
        </is>
      </c>
      <c r="H240" s="10" t="inlineStr">
        <is>
          <t>—</t>
        </is>
      </c>
      <c r="I240" s="11" t="n"/>
      <c r="J240" s="11" t="n"/>
      <c r="K240" s="11" t="n"/>
      <c r="L240" s="11" t="n"/>
      <c r="M240" s="11" t="n"/>
      <c r="N240" s="11" t="n"/>
    </row>
    <row r="241" ht="56" customHeight="1">
      <c r="A241" s="10" t="n">
        <v>239</v>
      </c>
      <c r="B241" s="10" t="inlineStr">
        <is>
          <t>Collaudo: UNI EN 81-21:2022 (ascensori nuovi in edifici esistenti)</t>
        </is>
      </c>
      <c r="C241" s="10" t="inlineStr">
        <is>
          <t>UNI EN 81-21:2022, 1</t>
        </is>
      </c>
      <c r="D241" s="10" t="inlineStr">
        <is>
          <t>ascensori nuovi in un edificio esistente, dove l’edificio non permette di rispettare tutta la UNI EN 81-20:2020; esclusi gli impianti montati prima della sua pubblicazione</t>
        </is>
      </c>
      <c r="E241" s="10" t="inlineStr">
        <is>
          <t>UNI EN 81-21:2022, 1</t>
        </is>
      </c>
      <c r="F241" s="10" t="inlineStr">
        <is>
          <t>testo della norma, letto il 2026-10-06 (punti e valori con parole nostre)</t>
        </is>
      </c>
      <c r="G241" s="10" t="inlineStr">
        <is>
          <t>confermato</t>
        </is>
      </c>
      <c r="H241" s="10" t="inlineStr">
        <is>
          <t>—</t>
        </is>
      </c>
      <c r="I241" s="11" t="n"/>
      <c r="J241" s="11" t="n"/>
      <c r="K241" s="11" t="n"/>
      <c r="L241" s="11" t="n"/>
      <c r="M241" s="11" t="n"/>
      <c r="N241" s="11" t="n"/>
    </row>
    <row r="242" ht="95" customHeight="1">
      <c r="A242" s="10" t="n">
        <v>240</v>
      </c>
      <c r="B242" s="10" t="inlineStr">
        <is>
          <t>Collaudo: UNI EN 81-21:2022 (ascensori nuovi in edifici esistenti)</t>
        </is>
      </c>
      <c r="C242" s="10" t="inlineStr">
        <is>
          <t>UNI EN 81-21:2022, 6.2 e 7.1</t>
        </is>
      </c>
      <c r="D242" s="10" t="inlineStr">
        <is>
          <t>oltre alle prove della EN 81-20 6.3: arresti mobili e sistema di arresto preattivato provati in moto a velocità nominale (in testata a cabina vuota, in fossa con il carico nominale), corsa dei loro ammortizzatori e distanza di frenatura; nelle istruzioni: quanto frena il sistema, col valore nominale e i due limiti</t>
        </is>
      </c>
      <c r="E242" s="10" t="inlineStr">
        <is>
          <t>UNI EN 81-21:2022, 6.2 e 7.1</t>
        </is>
      </c>
      <c r="F242" s="10" t="inlineStr">
        <is>
          <t>testo della norma, letto il 2026-10-06 (punti e valori con parole nostre)</t>
        </is>
      </c>
      <c r="G242" s="10" t="inlineStr">
        <is>
          <t>confermato</t>
        </is>
      </c>
      <c r="H242" s="10" t="inlineStr">
        <is>
          <t>—</t>
        </is>
      </c>
      <c r="I242" s="11" t="n"/>
      <c r="J242" s="11" t="n"/>
      <c r="K242" s="11" t="n"/>
      <c r="L242" s="11" t="n"/>
      <c r="M242" s="11" t="n"/>
      <c r="N242" s="11" t="n"/>
    </row>
    <row r="243" ht="82" customHeight="1">
      <c r="A243" s="10" t="n">
        <v>241</v>
      </c>
      <c r="B243" s="10" t="inlineStr">
        <is>
          <t>Collaudo: UNI EN 81-21:2022 (ascensori nuovi in edifici esistenti)</t>
        </is>
      </c>
      <c r="C243" s="10" t="inlineStr">
        <is>
          <t>DPR 162/1999, art. 17-bis; DM 19/03/2015; linee guida MIMIT 2022</t>
        </is>
      </c>
      <c r="D243" s="10" t="inlineStr">
        <is>
          <t>spazi di rifugio ridotti solo con l’accordo preventivo: in edificio esistente PEC al Ministero con la certificazione dell’organismo prima dell’installazione (Procedura 2: dichiarazione dei punti della EN 81-21 applicati); la EN 81-21 da sola non giustifica la deroga</t>
        </is>
      </c>
      <c r="E243" s="10" t="inlineStr">
        <is>
          <t>DPR 162/1999, art. 17-bis; DM 19/03/2015; linee guida MIMIT 2022</t>
        </is>
      </c>
      <c r="F243" s="10" t="inlineStr">
        <is>
          <t>ricerca, cap. 16 (testi ufficiali e schede UNI, 2026-10-02)</t>
        </is>
      </c>
      <c r="G243" s="10" t="inlineStr">
        <is>
          <t>confermato</t>
        </is>
      </c>
      <c r="H243" s="10" t="inlineStr">
        <is>
          <t>—</t>
        </is>
      </c>
      <c r="I243" s="11" t="n"/>
      <c r="J243" s="11" t="n"/>
      <c r="K243" s="11" t="n"/>
      <c r="L243" s="11" t="n"/>
      <c r="M243" s="11" t="n"/>
      <c r="N243" s="11" t="n"/>
    </row>
    <row r="244" ht="82" customHeight="1">
      <c r="A244" s="10" t="n">
        <v>242</v>
      </c>
      <c r="B244" s="10" t="inlineStr">
        <is>
          <t>Collaudo: UNI EN 81-28:2022 (teleallarme)</t>
        </is>
      </c>
      <c r="C244" s="10" t="inlineStr">
        <is>
          <t>UNI EN 81-20:2020, 5.12.3.1; UNI EN 81-28:2004, 4.1.3, 4.2.1 e 7</t>
        </is>
      </c>
      <c r="D244" s="10" t="inlineStr">
        <is>
          <t>la EN 81-20 richiama con data la EN 81-28:2003 (UNI EN 81-28:2004): prova automatica del collegamento almeno ogni 3 giorni; con alimentazione a batteria, avviso al servizio di soccorso quando l’autonomia residua scende sotto 1 h; pulsante d’allarme giallo con il simbolo della campana</t>
        </is>
      </c>
      <c r="E244" s="10" t="inlineStr">
        <is>
          <t>UNI EN 81-20:2020, 5.12.3.1; UNI EN 81-28:2004, 4.1.3, 4.2.1 e 7</t>
        </is>
      </c>
      <c r="F244" s="10" t="inlineStr">
        <is>
          <t>testo della norma, letto il 2026-10-06 (punti e valori con parole nostre)</t>
        </is>
      </c>
      <c r="G244" s="10" t="inlineStr">
        <is>
          <t>confermato</t>
        </is>
      </c>
      <c r="H244" s="10" t="inlineStr">
        <is>
          <t>—</t>
        </is>
      </c>
      <c r="I244" s="11" t="n"/>
      <c r="J244" s="11" t="n"/>
      <c r="K244" s="11" t="n"/>
      <c r="L244" s="11" t="n"/>
      <c r="M244" s="11" t="n"/>
      <c r="N244" s="11" t="n"/>
    </row>
    <row r="245" ht="56" customHeight="1">
      <c r="A245" s="10" t="n">
        <v>243</v>
      </c>
      <c r="B245" s="10" t="inlineStr">
        <is>
          <t>Collaudo: UNI EN 81-28:2022 (teleallarme)</t>
        </is>
      </c>
      <c r="C245" s="10" t="inlineStr">
        <is>
          <t>UNI EN 81-28:2022</t>
        </is>
      </c>
      <c r="D245" s="10" t="inlineStr">
        <is>
          <t>requisiti dell’edizione citata in GUUE da verificare sul testo; nelle modifiche la UNI 10411-1/-11:2024 (punto 23) ammette l’allarme nuovo secondo la EN 81-20 5.12.3.1 o la UNI EN 81-28:2022</t>
        </is>
      </c>
      <c r="E245" s="10" t="inlineStr">
        <is>
          <t>UNI EN 81-28:2022</t>
        </is>
      </c>
      <c r="F245" s="10" t="inlineStr">
        <is>
          <t>ricerca, cap. 16 (testi ufficiali e schede UNI, 2026-10-02)</t>
        </is>
      </c>
      <c r="G245" s="10" t="inlineStr">
        <is>
          <t>da verificare</t>
        </is>
      </c>
      <c r="H245" s="10" t="inlineStr">
        <is>
          <t>—</t>
        </is>
      </c>
      <c r="I245" s="11" t="n"/>
      <c r="J245" s="11" t="n"/>
      <c r="K245" s="11" t="n"/>
      <c r="L245" s="11" t="n"/>
      <c r="M245" s="11" t="n"/>
      <c r="N245" s="11" t="n"/>
    </row>
    <row r="246" ht="95" customHeight="1">
      <c r="A246" s="10" t="n">
        <v>244</v>
      </c>
      <c r="B246" s="10" t="inlineStr">
        <is>
          <t>Collaudo: UNI EN 81-58:2022 (resistenza al fuoco delle porte di piano)</t>
        </is>
      </c>
      <c r="C246" s="10" t="inlineStr">
        <is>
          <t>UNI EN 81-58:2022; DM 15/09/2005, 3.2–3.3 e art. 1 c.2 lett. c)</t>
        </is>
      </c>
      <c r="D246" s="10" t="inlineStr">
        <is>
          <t>porte di piano resistenti al fuoco (classi E, EI, EW) provate secondo la norma, quando fanno parte della compartimentazione del vano; sostituirle con modelli diversi è una modifica sostanziale ai fini antincendio (la UNI EN 81-20:2020, 5.3.5.2, richiama con data la EN 81-58:2003: quale certificato accettare lo decide l’organismo)</t>
        </is>
      </c>
      <c r="E246" s="10" t="inlineStr">
        <is>
          <t>UNI EN 81-58:2022; DM 15/09/2005, 3.2–3.3 e art. 1 c.2 lett. c)</t>
        </is>
      </c>
      <c r="F246" s="10" t="inlineStr">
        <is>
          <t>ricerca, cap. 16 (testi ufficiali e schede UNI, 2026-10-02)</t>
        </is>
      </c>
      <c r="G246" s="10" t="inlineStr">
        <is>
          <t>confermato</t>
        </is>
      </c>
      <c r="H246" s="10" t="inlineStr">
        <is>
          <t>—</t>
        </is>
      </c>
      <c r="I246" s="11" t="n"/>
      <c r="J246" s="11" t="n"/>
      <c r="K246" s="11" t="n"/>
      <c r="L246" s="11" t="n"/>
      <c r="M246" s="11" t="n"/>
      <c r="N246" s="11" t="n"/>
    </row>
    <row r="247" ht="95" customHeight="1">
      <c r="A247" s="10" t="n">
        <v>245</v>
      </c>
      <c r="B247" s="10" t="inlineStr">
        <is>
          <t>Collaudo: UNI EN 81-70:2022 (accessibilità)</t>
        </is>
      </c>
      <c r="C247" s="10" t="inlineStr">
        <is>
          <t>UNI EN 81-70:2022, 5.3.1</t>
        </is>
      </c>
      <c r="D247" s="10" t="inlineStr">
        <is>
          <t>tipi di cabina (larghezza × profondità, luce della porta): 1) 1000 × 1300, 800; 2) 1100 × 1400, 900; 3) 1100 × 2100, 900; 4) 1600 × 1400 o 1400 × 1600, 900; 5) 2000 × 1400 o 1400 × 2000, 1100 mm (la UNI EN 81-70:2005 letta, Prospetto 1, ha tre tipi: 1000 × 1250, 1100 × 1400 e 2000 × 1400 mm)</t>
        </is>
      </c>
      <c r="E247" s="10" t="inlineStr">
        <is>
          <t>UNI EN 81-70:2022, 5.3.1</t>
        </is>
      </c>
      <c r="F247" s="10" t="inlineStr">
        <is>
          <t>ricerca, cap. 16 (testi ufficiali e schede UNI, 2026-10-02)</t>
        </is>
      </c>
      <c r="G247" s="10" t="inlineStr">
        <is>
          <t>da verificare</t>
        </is>
      </c>
      <c r="H247" s="10" t="inlineStr">
        <is>
          <t>—</t>
        </is>
      </c>
      <c r="I247" s="11" t="n"/>
      <c r="J247" s="11" t="n"/>
      <c r="K247" s="11" t="n"/>
      <c r="L247" s="11" t="n"/>
      <c r="M247" s="11" t="n"/>
      <c r="N247" s="11" t="n"/>
    </row>
    <row r="248" ht="95" customHeight="1">
      <c r="A248" s="10" t="n">
        <v>246</v>
      </c>
      <c r="B248" s="10" t="inlineStr">
        <is>
          <t>Collaudo: UNI EN 81-70:2022 (accessibilità)</t>
        </is>
      </c>
      <c r="C248" s="10" t="inlineStr">
        <is>
          <t>UNI EN 81-70:2022, 5.3.2 e 5.4</t>
        </is>
      </c>
      <c r="D248" s="10" t="inlineStr">
        <is>
          <t>specchio nei tipi 1–3; finiture che riducono le misure nominali al massimo di 15 mm per parete; segnale acustico regolabile 35–65 dB(A), fino a 80 in ambienti rumorosi; contrasto di Michelson con la A1:2022 (nella UNI EN 81-70:2005 letta: specchio nei tipi 1 e 2, 15 mm, 35–65 dB(A); non ci sono gli 80 dB(A) né il contrasto di Michelson)</t>
        </is>
      </c>
      <c r="E248" s="10" t="inlineStr">
        <is>
          <t>UNI EN 81-70:2022, 5.3.2 e 5.4</t>
        </is>
      </c>
      <c r="F248" s="10" t="inlineStr">
        <is>
          <t>ricerca, cap. 16 (testi ufficiali e schede UNI, 2026-10-02)</t>
        </is>
      </c>
      <c r="G248" s="10" t="inlineStr">
        <is>
          <t>da verificare</t>
        </is>
      </c>
      <c r="H248" s="10" t="inlineStr">
        <is>
          <t>—</t>
        </is>
      </c>
      <c r="I248" s="11" t="n"/>
      <c r="J248" s="11" t="n"/>
      <c r="K248" s="11" t="n"/>
      <c r="L248" s="11" t="n"/>
      <c r="M248" s="11" t="n"/>
      <c r="N248" s="11" t="n"/>
    </row>
    <row r="249" ht="43" customHeight="1">
      <c r="A249" s="10" t="n">
        <v>247</v>
      </c>
      <c r="B249" s="10" t="inlineStr">
        <is>
          <t>Collaudo: UNI EN 81-70:2022 (accessibilità)</t>
        </is>
      </c>
      <c r="C249" s="10" t="inlineStr">
        <is>
          <t>UNI EN 81-70:2022, scopo</t>
        </is>
      </c>
      <c r="D249" s="10" t="inlineStr">
        <is>
          <t>si usa con la UNI EN 81-20:2020; per gli impianti esistenti vale la UNI EN 81-82</t>
        </is>
      </c>
      <c r="E249" s="10" t="inlineStr">
        <is>
          <t>UNI EN 81-70:2022, scopo</t>
        </is>
      </c>
      <c r="F249" s="10" t="inlineStr">
        <is>
          <t>ricerca, cap. 16 (testi ufficiali e schede UNI, 2026-10-02)</t>
        </is>
      </c>
      <c r="G249" s="10" t="inlineStr">
        <is>
          <t>confermato</t>
        </is>
      </c>
      <c r="H249" s="10" t="inlineStr">
        <is>
          <t>—</t>
        </is>
      </c>
      <c r="I249" s="11" t="n"/>
      <c r="J249" s="11" t="n"/>
      <c r="K249" s="11" t="n"/>
      <c r="L249" s="11" t="n"/>
      <c r="M249" s="11" t="n"/>
      <c r="N249" s="11" t="n"/>
    </row>
    <row r="250" ht="43" customHeight="1">
      <c r="A250" s="10" t="n">
        <v>248</v>
      </c>
      <c r="B250" s="10" t="inlineStr">
        <is>
          <t>Collaudo: UNI EN 81-71 (ascensori antivandalo)</t>
        </is>
      </c>
      <c r="C250" s="10" t="inlineStr">
        <is>
          <t>UNI EN 81-71</t>
        </is>
      </c>
      <c r="D250" s="10" t="inlineStr">
        <is>
          <t>categoria antivandalo da concordare con il committente; per la presunzione di conformità vale l’edizione 2005+A1:2006</t>
        </is>
      </c>
      <c r="E250" s="10" t="inlineStr">
        <is>
          <t>UNI EN 81-71</t>
        </is>
      </c>
      <c r="F250" s="10" t="inlineStr">
        <is>
          <t>ricerca, cap. 16 (testi ufficiali e schede UNI, 2026-10-02)</t>
        </is>
      </c>
      <c r="G250" s="10" t="inlineStr">
        <is>
          <t>da verificare</t>
        </is>
      </c>
      <c r="H250" s="10" t="inlineStr">
        <is>
          <t>—</t>
        </is>
      </c>
      <c r="I250" s="11" t="n"/>
      <c r="J250" s="11" t="n"/>
      <c r="K250" s="11" t="n"/>
      <c r="L250" s="11" t="n"/>
      <c r="M250" s="11" t="n"/>
      <c r="N250" s="11" t="n"/>
    </row>
    <row r="251" ht="108" customHeight="1">
      <c r="A251" s="10" t="n">
        <v>249</v>
      </c>
      <c r="B251" s="10" t="inlineStr">
        <is>
          <t>Collaudo: UNI EN 81-72:2020 (ascensori antincendio)</t>
        </is>
      </c>
      <c r="C251" s="10" t="inlineStr">
        <is>
          <t>DM 15/09/2005, punto 7 (valori); Codice V.3.3.4</t>
        </is>
      </c>
      <c r="D251" s="10" t="inlineStr">
        <is>
          <t>ascensore antincendio: tutti i piani serviti; vano e porte di piano almeno REI 60; cabina interna almeno 1,10 × 2,10 m con accesso sul lato corto; botola sul tetto almeno 0,50 × 0,70 m; area dedicata almeno 5 m² a ogni piano; luce d’emergenza almeno 5 lux con 1 h di autonomia; IPX3 dove arriva l’acqua; linea dedicata con alimentazione di sicurezza</t>
        </is>
      </c>
      <c r="E251" s="10" t="inlineStr">
        <is>
          <t>DM 15/09/2005, punto 7 (valori); Codice V.3.3.4</t>
        </is>
      </c>
      <c r="F251" s="10" t="inlineStr">
        <is>
          <t>ricerca, cap. 16 (testi ufficiali e schede UNI, 2026-10-02)</t>
        </is>
      </c>
      <c r="G251" s="10" t="inlineStr">
        <is>
          <t>confermato</t>
        </is>
      </c>
      <c r="H251" s="10" t="inlineStr">
        <is>
          <t>—</t>
        </is>
      </c>
      <c r="I251" s="11" t="n"/>
      <c r="J251" s="11" t="n"/>
      <c r="K251" s="11" t="n"/>
      <c r="L251" s="11" t="n"/>
      <c r="M251" s="11" t="n"/>
      <c r="N251" s="11" t="n"/>
    </row>
    <row r="252" ht="56" customHeight="1">
      <c r="A252" s="10" t="n">
        <v>250</v>
      </c>
      <c r="B252" s="10" t="inlineStr">
        <is>
          <t>Collaudo: UNI EN 81-72:2020 (ascensori antincendio)</t>
        </is>
      </c>
      <c r="C252" s="10" t="inlineStr">
        <is>
          <t>Codice S.10, Tab. S.10-2</t>
        </is>
      </c>
      <c r="D252" s="10" t="inlineStr">
        <is>
          <t>alimentazione di sicurezza dell’ascensore antincendio: interruzione al massimo 15 s, autonomia oltre 30 min</t>
        </is>
      </c>
      <c r="E252" s="10" t="inlineStr">
        <is>
          <t>Codice S.10, Tab. S.10-2</t>
        </is>
      </c>
      <c r="F252" s="10" t="inlineStr">
        <is>
          <t>ricerca, cap. 16 (testi ufficiali e schede UNI, 2026-10-02)</t>
        </is>
      </c>
      <c r="G252" s="10" t="inlineStr">
        <is>
          <t>confermato</t>
        </is>
      </c>
      <c r="H252" s="10" t="inlineStr">
        <is>
          <t>—</t>
        </is>
      </c>
      <c r="I252" s="11" t="n"/>
      <c r="J252" s="11" t="n"/>
      <c r="K252" s="11" t="n"/>
      <c r="L252" s="11" t="n"/>
      <c r="M252" s="11" t="n"/>
      <c r="N252" s="11" t="n"/>
    </row>
    <row r="253" ht="56" customHeight="1">
      <c r="A253" s="10" t="n">
        <v>251</v>
      </c>
      <c r="B253" s="10" t="inlineStr">
        <is>
          <t>Collaudo: UNI EN 81-72:2020 (ascensori antincendio)</t>
        </is>
      </c>
      <c r="C253" s="10" t="inlineStr">
        <is>
          <t>UNI EN 81-72:2020</t>
        </is>
      </c>
      <c r="D253" s="10" t="inlineStr">
        <is>
          <t>requisiti propri della norma (cabina, tempi, protezione dall’acqua) da verificare sul testo</t>
        </is>
      </c>
      <c r="E253" s="10" t="inlineStr">
        <is>
          <t>UNI EN 81-72:2020</t>
        </is>
      </c>
      <c r="F253" s="10" t="inlineStr">
        <is>
          <t>ricerca, cap. 16 (testi ufficiali e schede UNI, 2026-10-02)</t>
        </is>
      </c>
      <c r="G253" s="10" t="inlineStr">
        <is>
          <t>da verificare</t>
        </is>
      </c>
      <c r="H253" s="10" t="inlineStr">
        <is>
          <t>—</t>
        </is>
      </c>
      <c r="I253" s="11" t="n"/>
      <c r="J253" s="11" t="n"/>
      <c r="K253" s="11" t="n"/>
      <c r="L253" s="11" t="n"/>
      <c r="M253" s="11" t="n"/>
      <c r="N253" s="11" t="n"/>
    </row>
    <row r="254" ht="69" customHeight="1">
      <c r="A254" s="10" t="n">
        <v>252</v>
      </c>
      <c r="B254" s="10" t="inlineStr">
        <is>
          <t>Collaudo: UNI EN 81-73:2020 (comportamento in caso d’incendio)</t>
        </is>
      </c>
      <c r="C254" s="10" t="inlineStr">
        <is>
          <t>DM 15/09/2005, punto 6; Codice V.3.3.1</t>
        </is>
      </c>
      <c r="D254" s="10" t="inlineStr">
        <is>
          <t>quando la compartimentazione lo richiede, su comando della rivelazione incendio la cabina va al piano prestabilito e lascia uscire i passeggeri; con il Codice l’ascensore «dovrebbe» essere conforme alla UNI EN 81-73</t>
        </is>
      </c>
      <c r="E254" s="10" t="inlineStr">
        <is>
          <t>DM 15/09/2005, punto 6; Codice V.3.3.1</t>
        </is>
      </c>
      <c r="F254" s="10" t="inlineStr">
        <is>
          <t>ricerca, cap. 16 (testi ufficiali e schede UNI, 2026-10-02)</t>
        </is>
      </c>
      <c r="G254" s="10" t="inlineStr">
        <is>
          <t>confermato</t>
        </is>
      </c>
      <c r="H254" s="10" t="inlineStr">
        <is>
          <t>—</t>
        </is>
      </c>
      <c r="I254" s="11" t="n"/>
      <c r="J254" s="11" t="n"/>
      <c r="K254" s="11" t="n"/>
      <c r="L254" s="11" t="n"/>
      <c r="M254" s="11" t="n"/>
      <c r="N254" s="11" t="n"/>
    </row>
    <row r="255" ht="56" customHeight="1">
      <c r="A255" s="10" t="n">
        <v>253</v>
      </c>
      <c r="B255" s="10" t="inlineStr">
        <is>
          <t>Collaudo: UNI EN 81-73:2020 (comportamento in caso d’incendio)</t>
        </is>
      </c>
      <c r="C255" s="10" t="inlineStr">
        <is>
          <t>UNI EN 81-73:2020</t>
        </is>
      </c>
      <c r="D255" s="10" t="inlineStr">
        <is>
          <t>segnali e comportamento della manovra da verificare sul testo; la norma serve anche da base per migliorare gli esistenti (così la UNI EN 81-73:2005 letta, punto 1)</t>
        </is>
      </c>
      <c r="E255" s="10" t="inlineStr">
        <is>
          <t>UNI EN 81-73:2020</t>
        </is>
      </c>
      <c r="F255" s="10" t="inlineStr">
        <is>
          <t>ricerca, cap. 16 (testi ufficiali e schede UNI, 2026-10-02)</t>
        </is>
      </c>
      <c r="G255" s="10" t="inlineStr">
        <is>
          <t>da verificare</t>
        </is>
      </c>
      <c r="H255" s="10" t="inlineStr">
        <is>
          <t>—</t>
        </is>
      </c>
      <c r="I255" s="11" t="n"/>
      <c r="J255" s="11" t="n"/>
      <c r="K255" s="11" t="n"/>
      <c r="L255" s="11" t="n"/>
      <c r="M255" s="11" t="n"/>
      <c r="N255" s="11" t="n"/>
    </row>
    <row r="256" ht="69" customHeight="1">
      <c r="A256" s="10" t="n">
        <v>254</v>
      </c>
      <c r="B256" s="10" t="inlineStr">
        <is>
          <t>Collaudo: UNI EN 81-76:2025 (evacuazione delle persone con disabilità)</t>
        </is>
      </c>
      <c r="C256" s="10" t="inlineStr">
        <is>
          <t>UNI EN 81-76:2025</t>
        </is>
      </c>
      <c r="D256" s="10" t="inlineStr">
        <is>
          <t>evacuazione delle persone con disabilità con l’ascensore: requisiti aggiuntivi alla EN 81-20 (manovra, alimentazione) da verificare sul testo</t>
        </is>
      </c>
      <c r="E256" s="10" t="inlineStr">
        <is>
          <t>UNI EN 81-76:2025</t>
        </is>
      </c>
      <c r="F256" s="10" t="inlineStr">
        <is>
          <t>ricerca, cap. 16 (testi ufficiali e schede UNI, 2026-10-02)</t>
        </is>
      </c>
      <c r="G256" s="10" t="inlineStr">
        <is>
          <t>da verificare</t>
        </is>
      </c>
      <c r="H256" s="10" t="inlineStr">
        <is>
          <t>—</t>
        </is>
      </c>
      <c r="I256" s="11" t="n"/>
      <c r="J256" s="11" t="n"/>
      <c r="K256" s="11" t="n"/>
      <c r="L256" s="11" t="n"/>
      <c r="M256" s="11" t="n"/>
      <c r="N256" s="11" t="n"/>
    </row>
    <row r="257" ht="56" customHeight="1">
      <c r="A257" s="10" t="n">
        <v>255</v>
      </c>
      <c r="B257" s="10" t="inlineStr">
        <is>
          <t>Collaudo: UNI EN 81-77:2022 (azioni sismiche)</t>
        </is>
      </c>
      <c r="C257" s="10" t="inlineStr">
        <is>
          <t>UNI EN 81-77:2022, 1</t>
        </is>
      </c>
      <c r="D257" s="10" t="inlineStr">
        <is>
          <t>con accelerazione di progetto a_d fino a 1 m/s² nessuna prescrizione specifica; a_d e la posizione dei rilevatori si concordano con il progettista dell’edificio</t>
        </is>
      </c>
      <c r="E257" s="10" t="inlineStr">
        <is>
          <t>UNI EN 81-77:2022, 1</t>
        </is>
      </c>
      <c r="F257" s="10" t="inlineStr">
        <is>
          <t>ricerca, cap. 16 (testi ufficiali e schede UNI, 2026-10-02)</t>
        </is>
      </c>
      <c r="G257" s="10" t="inlineStr">
        <is>
          <t>confermato</t>
        </is>
      </c>
      <c r="H257" s="10" t="inlineStr">
        <is>
          <t>—</t>
        </is>
      </c>
      <c r="I257" s="11" t="n"/>
      <c r="J257" s="11" t="n"/>
      <c r="K257" s="11" t="n"/>
      <c r="L257" s="11" t="n"/>
      <c r="M257" s="11" t="n"/>
      <c r="N257" s="11" t="n"/>
    </row>
    <row r="258" ht="95" customHeight="1">
      <c r="A258" s="10" t="n">
        <v>256</v>
      </c>
      <c r="B258" s="10" t="inlineStr">
        <is>
          <t>Collaudo: UNI EN 81-77:2022 (azioni sismiche)</t>
        </is>
      </c>
      <c r="C258" s="10" t="inlineStr">
        <is>
          <t>UNI EN 81-77:2022, 5.4–5.10, All. A, B, D</t>
        </is>
      </c>
      <c r="D258" s="10" t="inlineStr">
        <is>
          <t>oltre 1 m/s²: massa della cabina nei calcoli (5.4.1), ritegni della cabina (5.4.2) e del contrappeso (5.5), protezione delle pulegge (5.6.1), tensioni e frecce delle guide (5.8.2, All. D), rilevazione e modo sismico (5.10.3, 5.10.4); soglie delle categorie dell’All. A da verificare sul testo</t>
        </is>
      </c>
      <c r="E258" s="10" t="inlineStr">
        <is>
          <t>UNI EN 81-77:2022, 5.4–5.10, All. A, B, D</t>
        </is>
      </c>
      <c r="F258" s="10" t="inlineStr">
        <is>
          <t>ricerca, cap. 16 (testi ufficiali e schede UNI, 2026-10-02)</t>
        </is>
      </c>
      <c r="G258" s="10" t="inlineStr">
        <is>
          <t>da verificare</t>
        </is>
      </c>
      <c r="H258" s="10" t="inlineStr">
        <is>
          <t>—</t>
        </is>
      </c>
      <c r="I258" s="11" t="n"/>
      <c r="J258" s="11" t="n"/>
      <c r="K258" s="11" t="n"/>
      <c r="L258" s="11" t="n"/>
      <c r="M258" s="11" t="n"/>
      <c r="N258" s="11" t="n"/>
    </row>
    <row r="259" ht="43" customHeight="1">
      <c r="A259" s="10" t="n">
        <v>257</v>
      </c>
      <c r="B259" s="10" t="inlineStr">
        <is>
          <t>Collaudo: UNI EN 81-77:2022 (azioni sismiche)</t>
        </is>
      </c>
      <c r="C259" s="10" t="inlineStr">
        <is>
          <t>UNI EN 81-77:2022, 0.3</t>
        </is>
      </c>
      <c r="D259" s="10" t="inlineStr">
        <is>
          <t>non si applica agli impianti installati prima della sua pubblicazione</t>
        </is>
      </c>
      <c r="E259" s="10" t="inlineStr">
        <is>
          <t>UNI EN 81-77:2022, 0.3</t>
        </is>
      </c>
      <c r="F259" s="10" t="inlineStr">
        <is>
          <t>ricerca, cap. 16 (testi ufficiali e schede UNI, 2026-10-02)</t>
        </is>
      </c>
      <c r="G259" s="10" t="inlineStr">
        <is>
          <t>confermato</t>
        </is>
      </c>
      <c r="H259" s="10" t="inlineStr">
        <is>
          <t>—</t>
        </is>
      </c>
      <c r="I259" s="11" t="n"/>
      <c r="J259" s="11" t="n"/>
      <c r="K259" s="11" t="n"/>
      <c r="L259" s="11" t="n"/>
      <c r="M259" s="11" t="n"/>
      <c r="N259" s="11" t="n"/>
    </row>
    <row r="260" ht="69" customHeight="1">
      <c r="A260" s="10" t="n">
        <v>258</v>
      </c>
      <c r="B260" s="10" t="inlineStr">
        <is>
          <t>Collaudo: UNI EN 81-80:2019 (miglioramento della sicurezza degli esistenti)</t>
        </is>
      </c>
      <c r="C260" s="10" t="inlineStr">
        <is>
          <t>UNI EN 81-80:2004 e 2009, 1 e appendice A</t>
        </is>
      </c>
      <c r="D260" s="10" t="inlineStr">
        <is>
          <t>analisi dei rischi dell’impianto esistente e piano di miglioramento per priorità; quali misure e in che tempi lo decide la legislazione nazionale, non la norma</t>
        </is>
      </c>
      <c r="E260" s="10" t="inlineStr">
        <is>
          <t>UNI EN 81-80:2004 e 2009, 1 e appendice A</t>
        </is>
      </c>
      <c r="F260" s="10" t="inlineStr">
        <is>
          <t>testo della norma, letto il 2026-10-06 (punti e valori con parole nostre)</t>
        </is>
      </c>
      <c r="G260" s="10" t="inlineStr">
        <is>
          <t>confermato</t>
        </is>
      </c>
      <c r="H260" s="10" t="inlineStr">
        <is>
          <t>—</t>
        </is>
      </c>
      <c r="I260" s="11" t="n"/>
      <c r="J260" s="11" t="n"/>
      <c r="K260" s="11" t="n"/>
      <c r="L260" s="11" t="n"/>
      <c r="M260" s="11" t="n"/>
      <c r="N260" s="11" t="n"/>
    </row>
    <row r="261" ht="69" customHeight="1">
      <c r="A261" s="10" t="n">
        <v>259</v>
      </c>
      <c r="B261" s="10" t="inlineStr">
        <is>
          <t>Collaudo: UNI EN 81-80:2019 (miglioramento della sicurezza degli esistenti)</t>
        </is>
      </c>
      <c r="C261" s="10" t="inlineStr">
        <is>
          <t>UNI EN 81-80:2019</t>
        </is>
      </c>
      <c r="D261" s="10" t="inlineStr">
        <is>
          <t>la stessa analisi nell’edizione in vigore, con una struttura diversa: da verificare sul testo</t>
        </is>
      </c>
      <c r="E261" s="10" t="inlineStr">
        <is>
          <t>UNI EN 81-80:2019</t>
        </is>
      </c>
      <c r="F261" s="10" t="inlineStr">
        <is>
          <t>ricerca, cap. 16 (testi ufficiali e schede UNI, 2026-10-02)</t>
        </is>
      </c>
      <c r="G261" s="10" t="inlineStr">
        <is>
          <t>da verificare</t>
        </is>
      </c>
      <c r="H261" s="10" t="inlineStr">
        <is>
          <t>—</t>
        </is>
      </c>
      <c r="I261" s="11" t="n"/>
      <c r="J261" s="11" t="n"/>
      <c r="K261" s="11" t="n"/>
      <c r="L261" s="11" t="n"/>
      <c r="M261" s="11" t="n"/>
      <c r="N261" s="11" t="n"/>
    </row>
    <row r="262" ht="56" customHeight="1">
      <c r="A262" s="10" t="n">
        <v>260</v>
      </c>
      <c r="B262" s="10" t="inlineStr">
        <is>
          <t>Collaudo: UNI EN 81-82:2026 (accessibilità degli esistenti)</t>
        </is>
      </c>
      <c r="C262" s="10" t="inlineStr">
        <is>
          <t>UNI EN 81-82:2026</t>
        </is>
      </c>
      <c r="D262" s="10" t="inlineStr">
        <is>
          <t>miglioramento dell’accessibilità di un impianto esistente secondo i requisiti della EN 81-70</t>
        </is>
      </c>
      <c r="E262" s="10" t="inlineStr">
        <is>
          <t>UNI EN 81-82:2026</t>
        </is>
      </c>
      <c r="F262" s="10" t="inlineStr">
        <is>
          <t>ricerca, cap. 16 (testi ufficiali e schede UNI, 2026-10-02)</t>
        </is>
      </c>
      <c r="G262" s="10" t="inlineStr">
        <is>
          <t>confermato</t>
        </is>
      </c>
      <c r="H262" s="10" t="inlineStr">
        <is>
          <t>—</t>
        </is>
      </c>
      <c r="I262" s="11" t="n"/>
      <c r="J262" s="11" t="n"/>
      <c r="K262" s="11" t="n"/>
      <c r="L262" s="11" t="n"/>
      <c r="M262" s="11" t="n"/>
      <c r="N262" s="11" t="n"/>
    </row>
    <row r="263" ht="56" customHeight="1">
      <c r="A263" s="10" t="n">
        <v>261</v>
      </c>
      <c r="B263" s="10" t="inlineStr">
        <is>
          <t>Collaudo: UNI EN 81-83:2026 (antivandalo degli esistenti)</t>
        </is>
      </c>
      <c r="C263" s="10" t="inlineStr">
        <is>
          <t>UNI EN 81-83:2026</t>
        </is>
      </c>
      <c r="D263" s="10" t="inlineStr">
        <is>
          <t>miglioramento della resistenza agli atti vandalici di un impianto esistente secondo la EN 81-71:2022 (voce 1.2 della Tab. A.1 della EN 81-80)</t>
        </is>
      </c>
      <c r="E263" s="10" t="inlineStr">
        <is>
          <t>UNI EN 81-83:2026</t>
        </is>
      </c>
      <c r="F263" s="10" t="inlineStr">
        <is>
          <t>ricerca, cap. 16 (testi ufficiali e schede UNI, 2026-10-02)</t>
        </is>
      </c>
      <c r="G263" s="10" t="inlineStr">
        <is>
          <t>confermato</t>
        </is>
      </c>
      <c r="H263" s="10" t="inlineStr">
        <is>
          <t>—</t>
        </is>
      </c>
      <c r="I263" s="11" t="n"/>
      <c r="J263" s="11" t="n"/>
      <c r="K263" s="11" t="n"/>
      <c r="L263" s="11" t="n"/>
      <c r="M263" s="11" t="n"/>
      <c r="N263" s="11" t="n"/>
    </row>
    <row r="264" ht="82" customHeight="1">
      <c r="A264" s="10" t="n">
        <v>262</v>
      </c>
      <c r="B264" s="10" t="inlineStr">
        <is>
          <t>Collaudo: DM 236/1989 (barriere architettoniche)</t>
        </is>
      </c>
      <c r="C264" s="10" t="inlineStr">
        <is>
          <t>DM 236/1989, 8.1.12</t>
        </is>
      </c>
      <c r="D264" s="10" t="inlineStr">
        <is>
          <t>piattaforma di distribuzione davanti alla porta di cabina: 1,50 × 1,50 m negli edifici nuovi, 1,40 × 1,40 m nell’adeguamento (fuori dal vano: in sito)</t>
        </is>
      </c>
      <c r="E264" s="10" t="inlineStr">
        <is>
          <t>DM 236/1989, 8.1.12</t>
        </is>
      </c>
      <c r="F264" s="10" t="inlineStr">
        <is>
          <t>testo ufficiale del DM 236/1989</t>
        </is>
      </c>
      <c r="G264" s="10" t="inlineStr">
        <is>
          <t>confermato</t>
        </is>
      </c>
      <c r="H264" s="10" t="inlineStr">
        <is>
          <t>cabina minima (DM 236/1989); porta minima (DM 236/1989); porta sul lato corto; motivazione del caso c) (DM 236/1989); pulsanti più alti delle bottoniere (DM 236/1989)</t>
        </is>
      </c>
      <c r="I264" s="11" t="n"/>
      <c r="J264" s="11" t="n"/>
      <c r="K264" s="11" t="n"/>
      <c r="L264" s="11" t="n"/>
      <c r="M264" s="11" t="n"/>
      <c r="N264" s="11" t="n"/>
    </row>
    <row r="265" ht="82" customHeight="1">
      <c r="A265" s="10" t="n">
        <v>263</v>
      </c>
      <c r="B265" s="10" t="inlineStr">
        <is>
          <t>Collaudo: DM 236/1989 (barriere architettoniche)</t>
        </is>
      </c>
      <c r="C265" s="10" t="inlineStr">
        <is>
          <t>DM 236/1989, 8.1.12</t>
        </is>
      </c>
      <c r="D265" s="10" t="inlineStr">
        <is>
          <t>porte di cabina e di piano a scorrimento automatico (nell’adeguamento la porta di piano può essere a battente se ad apertura automatica); porte aperte almeno 8 s, chiusura in almeno 4 s</t>
        </is>
      </c>
      <c r="E265" s="10" t="inlineStr">
        <is>
          <t>DM 236/1989, 8.1.12</t>
        </is>
      </c>
      <c r="F265" s="10" t="inlineStr">
        <is>
          <t>testo ufficiale del DM 236/1989</t>
        </is>
      </c>
      <c r="G265" s="10" t="inlineStr">
        <is>
          <t>confermato</t>
        </is>
      </c>
      <c r="H265" s="10" t="inlineStr">
        <is>
          <t>cabina minima (DM 236/1989); porta minima (DM 236/1989); porta sul lato corto; motivazione del caso c) (DM 236/1989); pulsanti più alti delle bottoniere (DM 236/1989)</t>
        </is>
      </c>
      <c r="I265" s="11" t="n"/>
      <c r="J265" s="11" t="n"/>
      <c r="K265" s="11" t="n"/>
      <c r="L265" s="11" t="n"/>
      <c r="M265" s="11" t="n"/>
      <c r="N265" s="11" t="n"/>
    </row>
    <row r="266" ht="82" customHeight="1">
      <c r="A266" s="10" t="n">
        <v>264</v>
      </c>
      <c r="B266" s="10" t="inlineStr">
        <is>
          <t>Collaudo: DM 236/1989 (barriere architettoniche)</t>
        </is>
      </c>
      <c r="C266" s="10" t="inlineStr">
        <is>
          <t>DM 236/1989, 8.1.12</t>
        </is>
      </c>
      <c r="D266" s="10" t="inlineStr">
        <is>
          <t>arresto ai piani con autolivellamento entro ± 2 cm; sosta ai piani con le porte chiuse</t>
        </is>
      </c>
      <c r="E266" s="10" t="inlineStr">
        <is>
          <t>DM 236/1989, 8.1.12</t>
        </is>
      </c>
      <c r="F266" s="10" t="inlineStr">
        <is>
          <t>testo ufficiale del DM 236/1989</t>
        </is>
      </c>
      <c r="G266" s="10" t="inlineStr">
        <is>
          <t>confermato</t>
        </is>
      </c>
      <c r="H266" s="10" t="inlineStr">
        <is>
          <t>cabina minima (DM 236/1989); porta minima (DM 236/1989); porta sul lato corto; motivazione del caso c) (DM 236/1989); pulsanti più alti delle bottoniere (DM 236/1989)</t>
        </is>
      </c>
      <c r="I266" s="11" t="n"/>
      <c r="J266" s="11" t="n"/>
      <c r="K266" s="11" t="n"/>
      <c r="L266" s="11" t="n"/>
      <c r="M266" s="11" t="n"/>
      <c r="N266" s="11" t="n"/>
    </row>
    <row r="267" ht="82" customHeight="1">
      <c r="A267" s="10" t="n">
        <v>265</v>
      </c>
      <c r="B267" s="10" t="inlineStr">
        <is>
          <t>Collaudo: DM 236/1989 (barriere architettoniche)</t>
        </is>
      </c>
      <c r="C267" s="10" t="inlineStr">
        <is>
          <t>DM 236/1989, 8.1.12 e 8.0.1</t>
        </is>
      </c>
      <c r="D267" s="10" t="inlineStr">
        <is>
          <t>pulsanti di cabina e di piano: il più alto tra 1,10 e 1,40 m, misurato all’asse del comando; bottoniera di cabina su una parete laterale ad almeno 0,35 m dalla porta</t>
        </is>
      </c>
      <c r="E267" s="10" t="inlineStr">
        <is>
          <t>DM 236/1989, 8.1.12 e 8.0.1</t>
        </is>
      </c>
      <c r="F267" s="10" t="inlineStr">
        <is>
          <t>testo ufficiale del DM 236/1989</t>
        </is>
      </c>
      <c r="G267" s="10" t="inlineStr">
        <is>
          <t>confermato</t>
        </is>
      </c>
      <c r="H267" s="10" t="inlineStr">
        <is>
          <t>cabina minima (DM 236/1989); porta minima (DM 236/1989); porta sul lato corto; motivazione del caso c) (DM 236/1989); pulsanti più alti delle bottoniere (DM 236/1989)</t>
        </is>
      </c>
      <c r="I267" s="11" t="n"/>
      <c r="J267" s="11" t="n"/>
      <c r="K267" s="11" t="n"/>
      <c r="L267" s="11" t="n"/>
      <c r="M267" s="11" t="n"/>
      <c r="N267" s="11" t="n"/>
    </row>
    <row r="268" ht="95" customHeight="1">
      <c r="A268" s="10" t="n">
        <v>266</v>
      </c>
      <c r="B268" s="10" t="inlineStr">
        <is>
          <t>Collaudo: DM 236/1989 (barriere architettoniche)</t>
        </is>
      </c>
      <c r="C268" s="10" t="inlineStr">
        <is>
          <t>DM 236/1989, 8.1.12 e 4.1.12</t>
        </is>
      </c>
      <c r="D268" s="10" t="inlineStr">
        <is>
          <t>citofono in cabina tra 1,10 e 1,30 m; luce d’emergenza con almeno 3 h di autonomia; campanello d’allarme e segnale luminoso di allarme ricevuto; arresto e inversione della chiusura; segnale acustico d’arrivo; numeri in rilievo e Braille, targa Braille di piano; sedile ribaltabile dove possibile</t>
        </is>
      </c>
      <c r="E268" s="10" t="inlineStr">
        <is>
          <t>DM 236/1989, 8.1.12 e 4.1.12</t>
        </is>
      </c>
      <c r="F268" s="10" t="inlineStr">
        <is>
          <t>testo ufficiale del DM 236/1989</t>
        </is>
      </c>
      <c r="G268" s="10" t="inlineStr">
        <is>
          <t>confermato</t>
        </is>
      </c>
      <c r="H268" s="10" t="inlineStr">
        <is>
          <t>cabina minima (DM 236/1989); porta minima (DM 236/1989); porta sul lato corto; motivazione del caso c) (DM 236/1989); pulsanti più alti delle bottoniere (DM 236/1989)</t>
        </is>
      </c>
      <c r="I268" s="11" t="n"/>
      <c r="J268" s="11" t="n"/>
      <c r="K268" s="11" t="n"/>
      <c r="L268" s="11" t="n"/>
      <c r="M268" s="11" t="n"/>
      <c r="N268" s="11" t="n"/>
    </row>
    <row r="269" ht="82" customHeight="1">
      <c r="A269" s="10" t="n">
        <v>267</v>
      </c>
      <c r="B269" s="10" t="inlineStr">
        <is>
          <t>Collaudo: DM 236/1989 (barriere architettoniche)</t>
        </is>
      </c>
      <c r="C269" s="10" t="inlineStr">
        <is>
          <t>DM 236/1989, 3.2; L. 13/1989, art. 1 c.3 lett. d)</t>
        </is>
      </c>
      <c r="D269" s="10" t="inlineStr">
        <is>
          <t>ascensore obbligatorio oltre il terzo livello (contati interrati e porticati); negli immobili con più di tre livelli fuori terra un ascensore per ogni scala principale</t>
        </is>
      </c>
      <c r="E269" s="10" t="inlineStr">
        <is>
          <t>DM 236/1989, 3.2; L. 13/1989, art. 1 c.3 lett. d)</t>
        </is>
      </c>
      <c r="F269" s="10" t="inlineStr">
        <is>
          <t>testo ufficiale del DM 236/1989; L. 13/1989: ricerca, cap. 16</t>
        </is>
      </c>
      <c r="G269" s="10" t="inlineStr">
        <is>
          <t>confermato</t>
        </is>
      </c>
      <c r="H269" s="10" t="inlineStr">
        <is>
          <t>cabina minima (DM 236/1989); porta minima (DM 236/1989); porta sul lato corto; motivazione del caso c) (DM 236/1989); pulsanti più alti delle bottoniere (DM 236/1989)</t>
        </is>
      </c>
      <c r="I269" s="11" t="n"/>
      <c r="J269" s="11" t="n"/>
      <c r="K269" s="11" t="n"/>
      <c r="L269" s="11" t="n"/>
      <c r="M269" s="11" t="n"/>
      <c r="N269" s="11" t="n"/>
    </row>
    <row r="270" ht="82" customHeight="1">
      <c r="A270" s="10" t="n">
        <v>268</v>
      </c>
      <c r="B270" s="10" t="inlineStr">
        <is>
          <t>Collaudo: DM 236/1989 (barriere architettoniche)</t>
        </is>
      </c>
      <c r="C270" s="10" t="inlineStr">
        <is>
          <t>DM 236/1989, 7.5; DPR 503/1996, art. 19</t>
        </is>
      </c>
      <c r="D270" s="10" t="inlineStr">
        <is>
          <t>nelle ristrutturazioni deroghe per impossibilità tecnica strutturale o impiantistica (privati: concesse dal Sindaco); edifici vincolati: deroga se le opere pregiudicano il bene</t>
        </is>
      </c>
      <c r="E270" s="10" t="inlineStr">
        <is>
          <t>DM 236/1989, 7.5; DPR 503/1996, art. 19</t>
        </is>
      </c>
      <c r="F270" s="10" t="inlineStr">
        <is>
          <t>testo ufficiale del DM 236/1989; DPR 503/1996: ricerca, cap. 16</t>
        </is>
      </c>
      <c r="G270" s="10" t="inlineStr">
        <is>
          <t>confermato</t>
        </is>
      </c>
      <c r="H270" s="10" t="inlineStr">
        <is>
          <t>cabina minima (DM 236/1989); porta minima (DM 236/1989); porta sul lato corto; motivazione del caso c) (DM 236/1989); pulsanti più alti delle bottoniere (DM 236/1989)</t>
        </is>
      </c>
      <c r="I270" s="11" t="n"/>
      <c r="J270" s="11" t="n"/>
      <c r="K270" s="11" t="n"/>
      <c r="L270" s="11" t="n"/>
      <c r="M270" s="11" t="n"/>
      <c r="N270" s="11" t="n"/>
    </row>
    <row r="271" ht="69" customHeight="1">
      <c r="A271" s="10" t="n">
        <v>269</v>
      </c>
      <c r="B271" s="10" t="inlineStr">
        <is>
          <t>Collaudo: DM 15/09/2005 o Codice di prevenzione incendi, RTV V.3 (antincendio)</t>
        </is>
      </c>
      <c r="C271" s="10" t="inlineStr">
        <is>
          <t>DM 3/8/2015, art. 5 c.1-bis lett. e)</t>
        </is>
      </c>
      <c r="D271" s="10" t="inlineStr">
        <is>
          <t>il progettista applica il DM 15/09/2005 oppure la RTV V.3 del Codice: dove si usa il Codice il DM 2005 non si applica</t>
        </is>
      </c>
      <c r="E271" s="10" t="inlineStr">
        <is>
          <t>DM 3/8/2015, art. 5 c.1-bis lett. e)</t>
        </is>
      </c>
      <c r="F271" s="10" t="inlineStr">
        <is>
          <t>ricerca, cap. 16 (testi ufficiali e schede UNI, 2026-10-02)</t>
        </is>
      </c>
      <c r="G271" s="10" t="inlineStr">
        <is>
          <t>confermato</t>
        </is>
      </c>
      <c r="H271" s="10" t="inlineStr">
        <is>
          <t>—</t>
        </is>
      </c>
      <c r="I271" s="11" t="n"/>
      <c r="J271" s="11" t="n"/>
      <c r="K271" s="11" t="n"/>
      <c r="L271" s="11" t="n"/>
      <c r="M271" s="11" t="n"/>
      <c r="N271" s="11" t="n"/>
    </row>
    <row r="272" ht="95" customHeight="1">
      <c r="A272" s="10" t="n">
        <v>270</v>
      </c>
      <c r="B272" s="10" t="inlineStr">
        <is>
          <t>Collaudo: DM 15/09/2005 o Codice di prevenzione incendi, RTV V.3 (antincendio)</t>
        </is>
      </c>
      <c r="C272" s="10" t="inlineStr">
        <is>
          <t>DM 15/09/2005, art. 1 c.2</t>
        </is>
      </c>
      <c r="D272" s="10" t="inlineStr">
        <is>
          <t>sugli impianti esistenti vale per le modifiche sostanziali: nuovo impianto; più fermate o altro azionamento; pareti del vano, porte di piano, locale macchina o pulegge sostituiti con materiali, modelli, dimensioni o criteri diversi; solai o scale rifatti che coinvolgono l’impianto; sopraelevazione; cambio di destinazione d’uso</t>
        </is>
      </c>
      <c r="E272" s="10" t="inlineStr">
        <is>
          <t>DM 15/09/2005, art. 1 c.2</t>
        </is>
      </c>
      <c r="F272" s="10" t="inlineStr">
        <is>
          <t>ricerca, cap. 16 (testi ufficiali e schede UNI, 2026-10-02)</t>
        </is>
      </c>
      <c r="G272" s="10" t="inlineStr">
        <is>
          <t>confermato</t>
        </is>
      </c>
      <c r="H272" s="10" t="inlineStr">
        <is>
          <t>—</t>
        </is>
      </c>
      <c r="I272" s="11" t="n"/>
      <c r="J272" s="11" t="n"/>
      <c r="K272" s="11" t="n"/>
      <c r="L272" s="11" t="n"/>
      <c r="M272" s="11" t="n"/>
      <c r="N272" s="11" t="n"/>
    </row>
    <row r="273" ht="69" customHeight="1">
      <c r="A273" s="10" t="n">
        <v>271</v>
      </c>
      <c r="B273" s="10" t="inlineStr">
        <is>
          <t>Collaudo: DM 15/09/2005 o Codice di prevenzione incendi, RTV V.3 (antincendio)</t>
        </is>
      </c>
      <c r="C273" s="10" t="inlineStr">
        <is>
          <t>DM 15/09/2005, 3.1–3.3; Codice V.3.2</t>
        </is>
      </c>
      <c r="D273" s="10" t="inlineStr">
        <is>
          <t>tipo di vano: aperto, protetto o a prova di fumo (Codice: classi da SA a SE)</t>
        </is>
      </c>
      <c r="E273" s="10" t="inlineStr">
        <is>
          <t>DM 15/09/2005, 3.1–3.3; Codice V.3.2</t>
        </is>
      </c>
      <c r="F273" s="10" t="inlineStr">
        <is>
          <t>ricerca, cap. 16 (testi ufficiali e schede UNI, 2026-10-02)</t>
        </is>
      </c>
      <c r="G273" s="10" t="inlineStr">
        <is>
          <t>confermato</t>
        </is>
      </c>
      <c r="H273" s="10" t="inlineStr">
        <is>
          <t>—</t>
        </is>
      </c>
      <c r="I273" s="11" t="n"/>
      <c r="J273" s="11" t="n"/>
      <c r="K273" s="11" t="n"/>
      <c r="L273" s="11" t="n"/>
      <c r="M273" s="11" t="n"/>
      <c r="N273" s="11" t="n"/>
    </row>
    <row r="274" ht="69" customHeight="1">
      <c r="A274" s="10" t="n">
        <v>272</v>
      </c>
      <c r="B274" s="10" t="inlineStr">
        <is>
          <t>Collaudo: DM 15/09/2005 o Codice di prevenzione incendi, RTV V.3 (antincendio)</t>
        </is>
      </c>
      <c r="C274" s="10" t="inlineStr">
        <is>
          <t>DM 15/09/2005, punto 2</t>
        </is>
      </c>
      <c r="D274" s="10" t="inlineStr">
        <is>
          <t>pareti del vano, locale macchina e pulegge, setti e arcata non combustibili; pareti, pavimento e tetto della cabina in classe di reazione al fuoco non oltre 1</t>
        </is>
      </c>
      <c r="E274" s="10" t="inlineStr">
        <is>
          <t>DM 15/09/2005, punto 2</t>
        </is>
      </c>
      <c r="F274" s="10" t="inlineStr">
        <is>
          <t>ricerca, cap. 16 (testi ufficiali e schede UNI, 2026-10-02)</t>
        </is>
      </c>
      <c r="G274" s="10" t="inlineStr">
        <is>
          <t>confermato</t>
        </is>
      </c>
      <c r="H274" s="10" t="inlineStr">
        <is>
          <t>—</t>
        </is>
      </c>
      <c r="I274" s="11" t="n"/>
      <c r="J274" s="11" t="n"/>
      <c r="K274" s="11" t="n"/>
      <c r="L274" s="11" t="n"/>
      <c r="M274" s="11" t="n"/>
      <c r="N274" s="11" t="n"/>
    </row>
    <row r="275" ht="108" customHeight="1">
      <c r="A275" s="10" t="n">
        <v>273</v>
      </c>
      <c r="B275" s="10" t="inlineStr">
        <is>
          <t>Collaudo: DM 15/09/2005 o Codice di prevenzione incendi, RTV V.3 (antincendio)</t>
        </is>
      </c>
      <c r="C275" s="10" t="inlineStr">
        <is>
          <t>DM 15/03/2005 (tabella di confronto); UNI EN 81-20:2020, 5.4.4</t>
        </is>
      </c>
      <c r="D275" s="10" t="inlineStr">
        <is>
          <t>le classi minime della EN 81-20 per la cabina (pavimento Cfl-s2, pareti C-s2,d1, soffitto C-s2,d0) corrispondono alla classe italiana 2; la classe 1 vuole pareti in A2 o B (fumo s1–s2, gocce d0–d1), soffitto in A2 o B-s1/s2,d0, pavimento in A2fl o Bfl (corrispondenza letta su una scheda commerciale del decreto, da confermare sul testo ufficiale)</t>
        </is>
      </c>
      <c r="E275" s="10" t="inlineStr">
        <is>
          <t>DM 15/03/2005 (tabella di confronto); UNI EN 81-20:2020, 5.4.4</t>
        </is>
      </c>
      <c r="F275" s="10" t="inlineStr">
        <is>
          <t>ricerca, cap. 16 (testi ufficiali e schede UNI, 2026-10-02)</t>
        </is>
      </c>
      <c r="G275" s="10" t="inlineStr">
        <is>
          <t>da verificare</t>
        </is>
      </c>
      <c r="H275" s="10" t="inlineStr">
        <is>
          <t>—</t>
        </is>
      </c>
      <c r="I275" s="11" t="n"/>
      <c r="J275" s="11" t="n"/>
      <c r="K275" s="11" t="n"/>
      <c r="L275" s="11" t="n"/>
      <c r="M275" s="11" t="n"/>
      <c r="N275" s="11" t="n"/>
    </row>
    <row r="276" ht="82" customHeight="1">
      <c r="A276" s="10" t="n">
        <v>274</v>
      </c>
      <c r="B276" s="10" t="inlineStr">
        <is>
          <t>Collaudo: DM 15/09/2005 o Codice di prevenzione incendi, RTV V.3 (antincendio)</t>
        </is>
      </c>
      <c r="C276" s="10" t="inlineStr">
        <is>
          <t>DM 15/09/2005, punto 5</t>
        </is>
      </c>
      <c r="D276" s="10" t="inlineStr">
        <is>
          <t>aerazione permanente in alto verso spazi scoperti di almeno il 3 % della pianta (vano almeno 0,20 m², locale macchina o pulegge almeno 0,05 m²), con una protezione che non lascia passare una sfera oltre 15 mm; non serve se il vano è aperto su spazi scoperti</t>
        </is>
      </c>
      <c r="E276" s="10" t="inlineStr">
        <is>
          <t>DM 15/09/2005, punto 5</t>
        </is>
      </c>
      <c r="F276" s="10" t="inlineStr">
        <is>
          <t>ricerca, cap. 16 (testi ufficiali e schede UNI, 2026-10-02)</t>
        </is>
      </c>
      <c r="G276" s="10" t="inlineStr">
        <is>
          <t>confermato</t>
        </is>
      </c>
      <c r="H276" s="10" t="inlineStr">
        <is>
          <t>—</t>
        </is>
      </c>
      <c r="I276" s="11" t="n"/>
      <c r="J276" s="11" t="n"/>
      <c r="K276" s="11" t="n"/>
      <c r="L276" s="11" t="n"/>
      <c r="M276" s="11" t="n"/>
      <c r="N276" s="11" t="n"/>
    </row>
    <row r="277" ht="69" customHeight="1">
      <c r="A277" s="10" t="n">
        <v>275</v>
      </c>
      <c r="B277" s="10" t="inlineStr">
        <is>
          <t>Collaudo: DM 15/09/2005 o Codice di prevenzione incendi, RTV V.3 (antincendio)</t>
        </is>
      </c>
      <c r="C277" s="10" t="inlineStr">
        <is>
          <t>DM 15/09/2005, punto 6; Codice V.3.3.1 c.5</t>
        </is>
      </c>
      <c r="D277" s="10" t="inlineStr">
        <is>
          <t>estintore 21A89BC vicino all’accesso al macchinario; richiamo della cabina al piano prestabilito su comando della rivelazione quando la compartimentazione lo richiede</t>
        </is>
      </c>
      <c r="E277" s="10" t="inlineStr">
        <is>
          <t>DM 15/09/2005, punto 6; Codice V.3.3.1 c.5</t>
        </is>
      </c>
      <c r="F277" s="10" t="inlineStr">
        <is>
          <t>ricerca, cap. 16 (testi ufficiali e schede UNI, 2026-10-02)</t>
        </is>
      </c>
      <c r="G277" s="10" t="inlineStr">
        <is>
          <t>confermato</t>
        </is>
      </c>
      <c r="H277" s="10" t="inlineStr">
        <is>
          <t>—</t>
        </is>
      </c>
      <c r="I277" s="11" t="n"/>
      <c r="J277" s="11" t="n"/>
      <c r="K277" s="11" t="n"/>
      <c r="L277" s="11" t="n"/>
      <c r="M277" s="11" t="n"/>
      <c r="N277" s="11" t="n"/>
    </row>
    <row r="278" ht="69" customHeight="1">
      <c r="A278" s="10" t="n">
        <v>276</v>
      </c>
      <c r="B278" s="10" t="inlineStr">
        <is>
          <t>Collaudo: DM 15/09/2005 o Codice di prevenzione incendi, RTV V.3 (antincendio)</t>
        </is>
      </c>
      <c r="C278" s="10" t="inlineStr">
        <is>
          <t>Codice S.9, Tab. S.9-3</t>
        </is>
      </c>
      <c r="D278" s="10" t="inlineStr">
        <is>
          <t>piani tra 32 e 54 m: almeno un ascensore antincendio; oltre 54 m: almeno uno di soccorso; interrati tra −10 e −15 m: antincendio; sotto −15 m: soccorso</t>
        </is>
      </c>
      <c r="E278" s="10" t="inlineStr">
        <is>
          <t>Codice S.9, Tab. S.9-3</t>
        </is>
      </c>
      <c r="F278" s="10" t="inlineStr">
        <is>
          <t>ricerca, cap. 16 (testi ufficiali e schede UNI, 2026-10-02)</t>
        </is>
      </c>
      <c r="G278" s="10" t="inlineStr">
        <is>
          <t>confermato</t>
        </is>
      </c>
      <c r="H278" s="10" t="inlineStr">
        <is>
          <t>—</t>
        </is>
      </c>
      <c r="I278" s="11" t="n"/>
      <c r="J278" s="11" t="n"/>
      <c r="K278" s="11" t="n"/>
      <c r="L278" s="11" t="n"/>
      <c r="M278" s="11" t="n"/>
      <c r="N278" s="11" t="n"/>
    </row>
    <row r="279" ht="82" customHeight="1">
      <c r="A279" s="10" t="n">
        <v>277</v>
      </c>
      <c r="B279" s="10" t="inlineStr">
        <is>
          <t>Collaudo: NTC 2018 (strutture e azioni sismiche)</t>
        </is>
      </c>
      <c r="C279" s="10" t="inlineStr">
        <is>
          <t>NTC 2018, §3.1.4</t>
        </is>
      </c>
      <c r="D279" s="10" t="inlineStr">
        <is>
          <t>carichi del macchinario valutati caso per caso sui massimi prevedibili e riportati nel progetto e nel collaudo statico</t>
        </is>
      </c>
      <c r="E279" s="10" t="inlineStr">
        <is>
          <t>NTC 2018, §3.1.4</t>
        </is>
      </c>
      <c r="F279" s="10" t="inlineStr">
        <is>
          <t>ricerca, cap. 16 (testi ufficiali e schede UNI, 2026-10-02)</t>
        </is>
      </c>
      <c r="G279" s="10" t="inlineStr">
        <is>
          <t>confermato</t>
        </is>
      </c>
      <c r="H279" s="10" t="inlineStr">
        <is>
          <t>tensione nelle putrelle sotto l’argano; freccia delle putrelle sotto l’argano; tensione nelle putrelle HEB sui muri del vano; freccia delle putrelle HEB sui muri del vano</t>
        </is>
      </c>
      <c r="I279" s="11" t="n"/>
      <c r="J279" s="11" t="n"/>
      <c r="K279" s="11" t="n"/>
      <c r="L279" s="11" t="n"/>
      <c r="M279" s="11" t="n"/>
      <c r="N279" s="11" t="n"/>
    </row>
    <row r="280" ht="82" customHeight="1">
      <c r="A280" s="10" t="n">
        <v>278</v>
      </c>
      <c r="B280" s="10" t="inlineStr">
        <is>
          <t>Collaudo: NTC 2018 (strutture e azioni sismiche)</t>
        </is>
      </c>
      <c r="C280" s="10" t="inlineStr">
        <is>
          <t>NTC 2018, §8.4.1</t>
        </is>
      </c>
      <c r="D280" s="10" t="inlineStr">
        <is>
          <t>su un edificio esistente l’intervento è locale: verifica limitata alle parti interessate, senza ridurre la sicurezza preesistente</t>
        </is>
      </c>
      <c r="E280" s="10" t="inlineStr">
        <is>
          <t>NTC 2018, §8.4.1</t>
        </is>
      </c>
      <c r="F280" s="10" t="inlineStr">
        <is>
          <t>ricerca, cap. 16 (testi ufficiali e schede UNI, 2026-10-02)</t>
        </is>
      </c>
      <c r="G280" s="10" t="inlineStr">
        <is>
          <t>confermato</t>
        </is>
      </c>
      <c r="H280" s="10" t="inlineStr">
        <is>
          <t>tensione nelle putrelle sotto l’argano; freccia delle putrelle sotto l’argano; tensione nelle putrelle HEB sui muri del vano; freccia delle putrelle HEB sui muri del vano</t>
        </is>
      </c>
      <c r="I280" s="11" t="n"/>
      <c r="J280" s="11" t="n"/>
      <c r="K280" s="11" t="n"/>
      <c r="L280" s="11" t="n"/>
      <c r="M280" s="11" t="n"/>
      <c r="N280" s="11" t="n"/>
    </row>
    <row r="281" ht="82" customHeight="1">
      <c r="A281" s="10" t="n">
        <v>279</v>
      </c>
      <c r="B281" s="10" t="inlineStr">
        <is>
          <t>Collaudo: NTC 2018 (strutture e azioni sismiche)</t>
        </is>
      </c>
      <c r="C281" s="10" t="inlineStr">
        <is>
          <t>NTC 2018, §11.4.1</t>
        </is>
      </c>
      <c r="D281" s="10" t="inlineStr">
        <is>
          <t>ancoranti per uso strutturale qualificati; con azioni sismiche categoria C2 per tutte le classi d’uso</t>
        </is>
      </c>
      <c r="E281" s="10" t="inlineStr">
        <is>
          <t>NTC 2018, §11.4.1</t>
        </is>
      </c>
      <c r="F281" s="10" t="inlineStr">
        <is>
          <t>ricerca, cap. 16 (testi ufficiali e schede UNI, 2026-10-02)</t>
        </is>
      </c>
      <c r="G281" s="10" t="inlineStr">
        <is>
          <t>confermato</t>
        </is>
      </c>
      <c r="H281" s="10" t="inlineStr">
        <is>
          <t>tensione nelle putrelle sotto l’argano; freccia delle putrelle sotto l’argano; tensione nelle putrelle HEB sui muri del vano; freccia delle putrelle HEB sui muri del vano</t>
        </is>
      </c>
      <c r="I281" s="11" t="n"/>
      <c r="J281" s="11" t="n"/>
      <c r="K281" s="11" t="n"/>
      <c r="L281" s="11" t="n"/>
      <c r="M281" s="11" t="n"/>
      <c r="N281" s="11" t="n"/>
    </row>
    <row r="282" ht="108" customHeight="1">
      <c r="A282" s="10" t="n">
        <v>280</v>
      </c>
      <c r="B282" s="10" t="inlineStr">
        <is>
          <t>Collaudo: NTC 2018 (strutture e azioni sismiche)</t>
        </is>
      </c>
      <c r="C282" s="10" t="inlineStr">
        <is>
          <t>NTC 2018, §7.2.3–7.2.4</t>
        </is>
      </c>
      <c r="D282" s="10" t="inlineStr">
        <is>
          <t>forza sismica sull’elemento non strutturale Fa = Sa·Wa/qa; nessun vincolo ad attrito; studio specifico oltre il 30 % del carico permanente del solaio o il 10 % di quello dell’intera struttura; progetto antisismico dell’impianto del produttore, dei collegamenti dell’installatore, dei solai e delle pareti d’ancoraggio del progettista strutturale</t>
        </is>
      </c>
      <c r="E282" s="10" t="inlineStr">
        <is>
          <t>NTC 2018, §7.2.3–7.2.4</t>
        </is>
      </c>
      <c r="F282" s="10" t="inlineStr">
        <is>
          <t>ricerca, cap. 16 (testi ufficiali e schede UNI, 2026-10-02)</t>
        </is>
      </c>
      <c r="G282" s="10" t="inlineStr">
        <is>
          <t>confermato</t>
        </is>
      </c>
      <c r="H282" s="10" t="inlineStr">
        <is>
          <t>tensione nelle putrelle sotto l’argano; freccia delle putrelle sotto l’argano; tensione nelle putrelle HEB sui muri del vano; freccia delle putrelle HEB sui muri del vano</t>
        </is>
      </c>
      <c r="I282" s="11" t="n"/>
      <c r="J282" s="11" t="n"/>
      <c r="K282" s="11" t="n"/>
      <c r="L282" s="11" t="n"/>
      <c r="M282" s="11" t="n"/>
      <c r="N282" s="11" t="n"/>
    </row>
    <row r="283" ht="82" customHeight="1">
      <c r="A283" s="10" t="n">
        <v>281</v>
      </c>
      <c r="B283" s="10" t="inlineStr">
        <is>
          <t>Collaudo: NTC 2018 (strutture e azioni sismiche)</t>
        </is>
      </c>
      <c r="C283" s="10" t="inlineStr">
        <is>
          <t>NTC 2018, Tab. 7.3.III e §7.3.6.3</t>
        </is>
      </c>
      <c r="D283" s="10" t="inlineStr">
        <is>
          <t>impianti: stabilità allo SLV per tutte le classi d’uso; nelle classi III e IV anche funzionamento allo SLO</t>
        </is>
      </c>
      <c r="E283" s="10" t="inlineStr">
        <is>
          <t>NTC 2018, Tab. 7.3.III e §7.3.6.3</t>
        </is>
      </c>
      <c r="F283" s="10" t="inlineStr">
        <is>
          <t>ricerca, cap. 16 (testi ufficiali e schede UNI, 2026-10-02)</t>
        </is>
      </c>
      <c r="G283" s="10" t="inlineStr">
        <is>
          <t>confermato</t>
        </is>
      </c>
      <c r="H283" s="10" t="inlineStr">
        <is>
          <t>tensione nelle putrelle sotto l’argano; freccia delle putrelle sotto l’argano; tensione nelle putrelle HEB sui muri del vano; freccia delle putrelle HEB sui muri del vano</t>
        </is>
      </c>
      <c r="I283" s="11" t="n"/>
      <c r="J283" s="11" t="n"/>
      <c r="K283" s="11" t="n"/>
      <c r="L283" s="11" t="n"/>
      <c r="M283" s="11" t="n"/>
      <c r="N283" s="11" t="n"/>
    </row>
    <row r="284" ht="134" customHeight="1">
      <c r="A284" s="10" t="n">
        <v>282</v>
      </c>
      <c r="B284" s="10" t="inlineStr">
        <is>
          <t>Collaudo: UNI 10411-1:2024, parti sostituite oltre la macchina</t>
        </is>
      </c>
      <c r="C284" s="10" t="inlineStr">
        <is>
          <t>UNI 10411-1:2024, 22</t>
        </is>
      </c>
      <c r="D284" s="10" t="inlineStr">
        <is>
          <t>cabina nuova sull’arcata esistente: la cabina e ciò che vi è montato secondo la UNI EN 81-20 da 5.4.1 a 5.4.10, la superficie utile entro il prospetto 6 per la portata, e le lettere a)–n) del punto (tra cui il grembiule 5.4.5, la presa di corrente in fossa, il parapetto 5.4.7.4 oltre 0,30 m dalla parete, altezze sotto 2 m solo non inferiori alle esistenti e con gli avvertimenti); con T* o la portata oltre il prospetto 1 i punti 6.3–6.12 e 6.15, tra cui l’arcata (6.9)</t>
        </is>
      </c>
      <c r="E284" s="10" t="inlineStr">
        <is>
          <t>UNI 10411-1:2024, 22</t>
        </is>
      </c>
      <c r="F284" s="10" t="inlineStr">
        <is>
          <t>testo della norma, letto il 2026-10-06 (punti e valori con parole nostre)</t>
        </is>
      </c>
      <c r="G284" s="10" t="inlineStr">
        <is>
          <t>confermato</t>
        </is>
      </c>
      <c r="H284" s="10" t="inlineStr">
        <is>
          <t>—</t>
        </is>
      </c>
      <c r="I284" s="11" t="n"/>
      <c r="J284" s="11" t="n"/>
      <c r="K284" s="11" t="n"/>
      <c r="L284" s="11" t="n"/>
      <c r="M284" s="11" t="n"/>
      <c r="N284" s="11" t="n"/>
    </row>
    <row r="285" ht="56" customHeight="1">
      <c r="A285" s="10" t="n">
        <v>283</v>
      </c>
      <c r="B285" s="10" t="inlineStr">
        <is>
          <t>Collaudo: UNI 10411-1:2024, parti sostituite oltre la macchina</t>
        </is>
      </c>
      <c r="C285" s="10" t="inlineStr">
        <is>
          <t>UNI 10411-1:2024, 12.1 e 12.3</t>
        </is>
      </c>
      <c r="D285" s="10" t="inlineStr">
        <is>
          <t>meccanismi delle porte di cabina nuovi secondo la UNI EN 81-20 5.3.3.2, 5.3.3.3 e da 5.3.8 a 5.3.14; porte motorizzate anche 5.3.6.2 e 5.3.6.3</t>
        </is>
      </c>
      <c r="E285" s="10" t="inlineStr">
        <is>
          <t>UNI 10411-1:2024, 12.1 e 12.3</t>
        </is>
      </c>
      <c r="F285" s="10" t="inlineStr">
        <is>
          <t>testo della norma, letto il 2026-10-06 (punti e valori con parole nostre)</t>
        </is>
      </c>
      <c r="G285" s="10" t="inlineStr">
        <is>
          <t>confermato</t>
        </is>
      </c>
      <c r="H285" s="10" t="inlineStr">
        <is>
          <t>—</t>
        </is>
      </c>
      <c r="I285" s="11" t="n"/>
      <c r="J285" s="11" t="n"/>
      <c r="K285" s="11" t="n"/>
      <c r="L285" s="11" t="n"/>
      <c r="M285" s="11" t="n"/>
      <c r="N285" s="11" t="n"/>
    </row>
    <row r="286" ht="134" customHeight="1">
      <c r="A286" s="10" t="n">
        <v>284</v>
      </c>
      <c r="B286" s="10" t="inlineStr">
        <is>
          <t>Collaudo: UNI 10411-1:2024, parti sostituite oltre la macchina</t>
        </is>
      </c>
      <c r="C286" s="10" t="inlineStr">
        <is>
          <t>UNI 10411-1:2024, 19 e 12.2</t>
        </is>
      </c>
      <c r="D286" s="10" t="inlineStr">
        <is>
          <t>porte di piano nuove secondo la UNI EN 81-20 5.3, mai più basse delle esistenti (sotto 1,9 m la UNI EN 81-21 5.12); resistenza al fuoco non inferiore all’esistente; presenza della cabina segnalata (5.3.7.2); porte scorrevoli nuove: la difesa frontale del vano dove si muovono secondo il punto 7 (19.5); grembiule della soglia di cabina secondo la 5.4.5 (la UNI EN 81-21 5.8 se i luoghi non lo consentono, 19.6); dispositivi di blocco nuovi con certificato di esame del tipo (12.2)</t>
        </is>
      </c>
      <c r="E286" s="10" t="inlineStr">
        <is>
          <t>UNI 10411-1:2024, 19 e 12.2</t>
        </is>
      </c>
      <c r="F286" s="10" t="inlineStr">
        <is>
          <t>testo della norma, letto il 2026-10-06 (punti e valori con parole nostre)</t>
        </is>
      </c>
      <c r="G286" s="10" t="inlineStr">
        <is>
          <t>confermato</t>
        </is>
      </c>
      <c r="H286" s="10" t="inlineStr">
        <is>
          <t>—</t>
        </is>
      </c>
      <c r="I286" s="11" t="n"/>
      <c r="J286" s="11" t="n"/>
      <c r="K286" s="11" t="n"/>
      <c r="L286" s="11" t="n"/>
      <c r="M286" s="11" t="n"/>
      <c r="N286" s="11" t="n"/>
    </row>
    <row r="287" ht="56" customHeight="1">
      <c r="A287" s="10" t="n">
        <v>285</v>
      </c>
      <c r="B287" s="10" t="inlineStr">
        <is>
          <t>Collaudo: UNI 10411-1:2024, parti sostituite oltre la macchina</t>
        </is>
      </c>
      <c r="C287" s="10" t="inlineStr">
        <is>
          <t>UNI 10411-1:2024, 6.2 e 22 b)</t>
        </is>
      </c>
      <c r="D287" s="10" t="inlineStr">
        <is>
          <t>arcata nuova: il contatto di allentamento delle funi, che interviene anche per una sola fune, si conserva, anche con cabina e arcata sostituite insieme</t>
        </is>
      </c>
      <c r="E287" s="10" t="inlineStr">
        <is>
          <t>UNI 10411-1:2024, 6.2 e 22 b)</t>
        </is>
      </c>
      <c r="F287" s="10" t="inlineStr">
        <is>
          <t>testo della norma, letto il 2026-10-06 (punti e valori con parole nostre)</t>
        </is>
      </c>
      <c r="G287" s="10" t="inlineStr">
        <is>
          <t>confermato</t>
        </is>
      </c>
      <c r="H287" s="10" t="inlineStr">
        <is>
          <t>—</t>
        </is>
      </c>
      <c r="I287" s="11" t="n"/>
      <c r="J287" s="11" t="n"/>
      <c r="K287" s="11" t="n"/>
      <c r="L287" s="11" t="n"/>
      <c r="M287" s="11" t="n"/>
      <c r="N287" s="11" t="n"/>
    </row>
    <row r="288" ht="108" customHeight="1">
      <c r="A288" s="10" t="n">
        <v>286</v>
      </c>
      <c r="B288" s="10" t="inlineStr">
        <is>
          <t>Collaudo: UNI 10411-1:2024, parti sostituite oltre la macchina</t>
        </is>
      </c>
      <c r="C288" s="10" t="inlineStr">
        <is>
          <t>UNI 10411-1:2024, 11.1</t>
        </is>
      </c>
      <c r="D288" s="10" t="inlineStr">
        <is>
          <t>quadro nuovo secondo la UNI EN 81-20 da 5.10 a 5.12.4, 5.4.10.4 c) e da 5.9.2.5 a 5.9.2.7, con le deroghe di 11.1.3; la parte elettrica si rifà salvo compatibilità attestata e conduttori marcati (11.1.2); senza UCM conforme alla 5.6.7 il freno a doppio elemento meccanico sorvegliato (11.1.4); luce del locale del macchinario e del vano secondo la 5.2.1.4 (11.1.8)</t>
        </is>
      </c>
      <c r="E288" s="10" t="inlineStr">
        <is>
          <t>UNI 10411-1:2024, 11.1</t>
        </is>
      </c>
      <c r="F288" s="10" t="inlineStr">
        <is>
          <t>testo della norma, letto il 2026-10-06 (punti e valori con parole nostre)</t>
        </is>
      </c>
      <c r="G288" s="10" t="inlineStr">
        <is>
          <t>confermato</t>
        </is>
      </c>
      <c r="H288" s="10" t="inlineStr">
        <is>
          <t>—</t>
        </is>
      </c>
      <c r="I288" s="11" t="n"/>
      <c r="J288" s="11" t="n"/>
      <c r="K288" s="11" t="n"/>
      <c r="L288" s="11" t="n"/>
      <c r="M288" s="11" t="n"/>
      <c r="N288" s="11" t="n"/>
    </row>
    <row r="289" ht="69" customHeight="1">
      <c r="A289" s="10" t="n">
        <v>287</v>
      </c>
      <c r="B289" s="10" t="inlineStr">
        <is>
          <t>Collaudo: UNI 10411-1:2024, parti sostituite oltre la macchina</t>
        </is>
      </c>
      <c r="C289" s="10" t="inlineStr">
        <is>
          <t>UNI 10411-1:2024, 17</t>
        </is>
      </c>
      <c r="D289" s="10" t="inlineStr">
        <is>
          <t>funi nuove secondo la UNI EN 81-20 5.5.1 e attacchi d’estremità controllati (17.1); diametro o carico di rottura diversi da quelli documentati: verifiche della 14.1 anche con la stessa puleggia (17.2)</t>
        </is>
      </c>
      <c r="E289" s="10" t="inlineStr">
        <is>
          <t>UNI 10411-1:2024, 17</t>
        </is>
      </c>
      <c r="F289" s="10" t="inlineStr">
        <is>
          <t>testo della norma, letto il 2026-10-06 (punti e valori con parole nostre)</t>
        </is>
      </c>
      <c r="G289" s="10" t="inlineStr">
        <is>
          <t>confermato</t>
        </is>
      </c>
      <c r="H289" s="10" t="inlineStr">
        <is>
          <t>—</t>
        </is>
      </c>
      <c r="I289" s="11" t="n"/>
      <c r="J289" s="11" t="n"/>
      <c r="K289" s="11" t="n"/>
      <c r="L289" s="11" t="n"/>
      <c r="M289" s="11" t="n"/>
      <c r="N289" s="11" t="n"/>
    </row>
    <row r="290" ht="56" customHeight="1">
      <c r="A290" s="10" t="n">
        <v>288</v>
      </c>
      <c r="B290" s="10" t="inlineStr">
        <is>
          <t>Collaudo: UNI 10411-1:2024, parti sostituite oltre la macchina</t>
        </is>
      </c>
      <c r="C290" s="10" t="inlineStr">
        <is>
          <t>UNI 10411-1:2024, 18</t>
        </is>
      </c>
      <c r="D290" s="10" t="inlineStr">
        <is>
          <t>limitatore, tenditore, fune e contatti nuovi secondo la UNI EN 81-20 5.6.2.2.1 e 5.5.7.1, con l’intervento del paracadute entro i limiti della norma in vigore all’installazione</t>
        </is>
      </c>
      <c r="E290" s="10" t="inlineStr">
        <is>
          <t>UNI 10411-1:2024, 18</t>
        </is>
      </c>
      <c r="F290" s="10" t="inlineStr">
        <is>
          <t>testo della norma, letto il 2026-10-06 (punti e valori con parole nostre)</t>
        </is>
      </c>
      <c r="G290" s="10" t="inlineStr">
        <is>
          <t>confermato</t>
        </is>
      </c>
      <c r="H290" s="10" t="inlineStr">
        <is>
          <t>—</t>
        </is>
      </c>
      <c r="I290" s="11" t="n"/>
      <c r="J290" s="11" t="n"/>
      <c r="K290" s="11" t="n"/>
      <c r="L290" s="11" t="n"/>
      <c r="M290" s="11" t="n"/>
      <c r="N290" s="11" t="n"/>
    </row>
    <row r="291" ht="121" customHeight="1">
      <c r="A291" s="10" t="n">
        <v>289</v>
      </c>
      <c r="B291" s="10" t="inlineStr">
        <is>
          <t>Collaudo: UNI 10411-1:2024, parti sostituite oltre la macchina</t>
        </is>
      </c>
      <c r="C291" s="10" t="inlineStr">
        <is>
          <t>UNI 10411-1:2024, 6.6, 6.7, 15.3 e 15.6</t>
        </is>
      </c>
      <c r="D291" s="10" t="inlineStr">
        <is>
          <t>paracadute nuovo (di cabina o del contrappeso) secondo la UNI EN 81-20 5.6.2, con certificato di esame del tipo e dichiarazione di conformità, insieme al suo sistema di azionamento e al limitatore; il limitatore esistente resta solo se un certificato di esame del tipo ne attesta l’idoneità alla velocità nominale; le guide hanno le caratteristiche che il certificato del paracadute indica (15.6)</t>
        </is>
      </c>
      <c r="E291" s="10" t="inlineStr">
        <is>
          <t>UNI 10411-1:2024, 6.6, 6.7, 15.3 e 15.6</t>
        </is>
      </c>
      <c r="F291" s="10" t="inlineStr">
        <is>
          <t>ricerca, cap. 16 (testi ufficiali e schede UNI, 2026-10-02)</t>
        </is>
      </c>
      <c r="G291" s="10" t="inlineStr">
        <is>
          <t>da verificare</t>
        </is>
      </c>
      <c r="H291" s="10" t="inlineStr">
        <is>
          <t>—</t>
        </is>
      </c>
      <c r="I291" s="11" t="n"/>
      <c r="J291" s="11" t="n"/>
      <c r="K291" s="11" t="n"/>
      <c r="L291" s="11" t="n"/>
      <c r="M291" s="11" t="n"/>
      <c r="N291" s="11" t="n"/>
    </row>
    <row r="292" ht="108" customHeight="1">
      <c r="A292" s="10" t="n">
        <v>290</v>
      </c>
      <c r="B292" s="10" t="inlineStr">
        <is>
          <t>Collaudo: UNI 10411-1:2024, parti sostituite oltre la macchina</t>
        </is>
      </c>
      <c r="C292" s="10" t="inlineStr">
        <is>
          <t>UNI 10411-1:2024, 6.12, 15.4 e 14.4 c)–d)</t>
        </is>
      </c>
      <c r="D292" s="10" t="inlineStr">
        <is>
          <t>protezioni contro la velocità eccessiva in salita (ACOP, UNI EN 81-20 5.6.6) e contro il movimento incontrollato della cabina (UCM, 5.6.7) nuove o modificate: con la portata o la velocità variate le ACOP secondo la 5.6.6 (6.12, 15.4); con la macchina nuova le ACOP e le UCM presenti devono continuare a funzionare correttamente (14.4 c) e d))</t>
        </is>
      </c>
      <c r="E292" s="10" t="inlineStr">
        <is>
          <t>UNI 10411-1:2024, 6.12, 15.4 e 14.4 c)–d)</t>
        </is>
      </c>
      <c r="F292" s="10" t="inlineStr">
        <is>
          <t>testo della norma, letto il 2026-10-06 (punti e valori con parole nostre)</t>
        </is>
      </c>
      <c r="G292" s="10" t="inlineStr">
        <is>
          <t>confermato</t>
        </is>
      </c>
      <c r="H292" s="10" t="inlineStr">
        <is>
          <t>—</t>
        </is>
      </c>
      <c r="I292" s="11" t="n"/>
      <c r="J292" s="11" t="n"/>
      <c r="K292" s="11" t="n"/>
      <c r="L292" s="11" t="n"/>
      <c r="M292" s="11" t="n"/>
      <c r="N292" s="11" t="n"/>
    </row>
    <row r="293" ht="56" customHeight="1">
      <c r="A293" s="10" t="n">
        <v>291</v>
      </c>
      <c r="B293" s="10" t="inlineStr">
        <is>
          <t>Collaudo: UNI 10411-1:2024, parti sostituite oltre la macchina</t>
        </is>
      </c>
      <c r="C293" s="10" t="inlineStr">
        <is>
          <t>UNI 10411-1:2024, 23</t>
        </is>
      </c>
      <c r="D293" s="10" t="inlineStr">
        <is>
          <t>allarme di emergenza nuovo secondo la UNI EN 81-20 5.12.3.1 (con il suo rinvio alla UNI EN 81-28:2004) oppure secondo la UNI EN 81-28:2022</t>
        </is>
      </c>
      <c r="E293" s="10" t="inlineStr">
        <is>
          <t>UNI 10411-1:2024, 23</t>
        </is>
      </c>
      <c r="F293" s="10" t="inlineStr">
        <is>
          <t>testo della norma, letto il 2026-10-06 (punti e valori con parole nostre)</t>
        </is>
      </c>
      <c r="G293" s="10" t="inlineStr">
        <is>
          <t>confermato</t>
        </is>
      </c>
      <c r="H293" s="10" t="inlineStr">
        <is>
          <t>—</t>
        </is>
      </c>
      <c r="I293" s="11" t="n"/>
      <c r="J293" s="11" t="n"/>
      <c r="K293" s="11" t="n"/>
      <c r="L293" s="11" t="n"/>
      <c r="M293" s="11" t="n"/>
      <c r="N293" s="11" t="n"/>
    </row>
    <row r="294" ht="108" customHeight="1">
      <c r="A294" s="10" t="n">
        <v>292</v>
      </c>
      <c r="B294" s="10" t="inlineStr">
        <is>
          <t>Collaudo: UNI 10411-1:2024, parti sostituite oltre la macchina</t>
        </is>
      </c>
      <c r="C294" s="10" t="inlineStr">
        <is>
          <t>UNI 10411-1:2024, 8</t>
        </is>
      </c>
      <c r="D294" s="10" t="inlineStr">
        <is>
          <t>locale del macchinario nuovo o modificato secondo la UNI EN 81-20 5.2.1, 5.2.6.1–5.2.6.3, 5.10.1.2.2 e 5.10.5 (locale delle pulegge di rinvio: 5.2.1, 5.10.1.2.2 e 5.2.6.7); cambiando dimensioni o accesso di un locale esistente dove i luoghi non consentono uno di questi requisiti basta una sicurezza almeno equivalente a quella dell’epoca dell’installazione</t>
        </is>
      </c>
      <c r="E294" s="10" t="inlineStr">
        <is>
          <t>UNI 10411-1:2024, 8</t>
        </is>
      </c>
      <c r="F294" s="10" t="inlineStr">
        <is>
          <t>testo della norma, letto il 2026-10-06 (punti e valori con parole nostre)</t>
        </is>
      </c>
      <c r="G294" s="10" t="inlineStr">
        <is>
          <t>confermato</t>
        </is>
      </c>
      <c r="H294" s="10" t="inlineStr">
        <is>
          <t>—</t>
        </is>
      </c>
      <c r="I294" s="11" t="n"/>
      <c r="J294" s="11" t="n"/>
      <c r="K294" s="11" t="n"/>
      <c r="L294" s="11" t="n"/>
      <c r="M294" s="11" t="n"/>
      <c r="N294" s="11" t="n"/>
    </row>
    <row r="295" ht="173" customHeight="1">
      <c r="A295" s="10" t="n">
        <v>293</v>
      </c>
      <c r="B295" s="10" t="inlineStr">
        <is>
          <t>Collaudo: UNI 10411-1:2024, parti sostituite oltre la macchina</t>
        </is>
      </c>
      <c r="C295" s="10" t="inlineStr">
        <is>
          <t>UNI 10411-1:2024, 13.1.1–13.2.4</t>
        </is>
      </c>
      <c r="D295" s="10" t="inlineStr">
        <is>
          <t>porte di cabina da battente a scorrevoli: portata e T* ricalcolati se la nuova superficie utile lo richiede, con il punto 6 (13.1.1); porte secondo la UNI EN 81-20 5.3 esclusa la 5.3.15.2, il punto 7 se si avvicinano alle difese (13.1.2); sul tetto di cabina il rifugio della 5.2.5.7 (o quello dell’app. B) e sopra le parti nuove uno spazio libero di almeno 0,3 + 0,035·v² m, altrimenti la UNI EN 81-21 5.5 (13.1.3); grembiule secondo la 5.4.5 (13.1.4); motorizzate anche 5.3.6.2 e 5.3.6.3, pulsante di riapertura in cabina, tolto l’eventuale pulsante ALT, e schema come al punto 11.2 (13.2)</t>
        </is>
      </c>
      <c r="E295" s="10" t="inlineStr">
        <is>
          <t>UNI 10411-1:2024, 13.1.1–13.2.4</t>
        </is>
      </c>
      <c r="F295" s="10" t="inlineStr">
        <is>
          <t>testo della norma, letto il 2026-10-06 (punti e valori con parole nostre)</t>
        </is>
      </c>
      <c r="G295" s="10" t="inlineStr">
        <is>
          <t>confermato</t>
        </is>
      </c>
      <c r="H295" s="10" t="inlineStr">
        <is>
          <t>—</t>
        </is>
      </c>
      <c r="I295" s="11" t="n"/>
      <c r="J295" s="11" t="n"/>
      <c r="K295" s="11" t="n"/>
      <c r="L295" s="11" t="n"/>
      <c r="M295" s="11" t="n"/>
      <c r="N295" s="11" t="n"/>
    </row>
    <row r="296" ht="108" customHeight="1">
      <c r="A296" s="10" t="n">
        <v>294</v>
      </c>
      <c r="B296" s="10" t="inlineStr">
        <is>
          <t>Collaudo: UNI 10411-11:2024, parti sostituite oltre la macchina</t>
        </is>
      </c>
      <c r="C296" s="10" t="inlineStr">
        <is>
          <t>UNI 10411-11:2024, 22</t>
        </is>
      </c>
      <c r="D296" s="10" t="inlineStr">
        <is>
          <t>cabina nuova sull’arcata esistente: la cabina e ciò che vi è montato secondo la UNI EN 81-20 da 5.4.1 a 5.4.10; con T* aumentato i punti 6.2–6.13, tra cui l’arcata (6.9); con T* diminuito gli ammortizzatori per i nuovi carichi; con un’altezza diversa gli spazi in fossa e in testata (5.2.5.8 e 5.2.5.7); parapetto (5.4.7.4) oltre 0,30 m dalla parete; valutazione 4.3</t>
        </is>
      </c>
      <c r="E296" s="10" t="inlineStr">
        <is>
          <t>UNI 10411-11:2024, 22</t>
        </is>
      </c>
      <c r="F296" s="10" t="inlineStr">
        <is>
          <t>testo della norma, letto il 2026-10-06 (punti e valori con parole nostre)</t>
        </is>
      </c>
      <c r="G296" s="10" t="inlineStr">
        <is>
          <t>confermato</t>
        </is>
      </c>
      <c r="H296" s="10" t="inlineStr">
        <is>
          <t>—</t>
        </is>
      </c>
      <c r="I296" s="11" t="n"/>
      <c r="J296" s="11" t="n"/>
      <c r="K296" s="11" t="n"/>
      <c r="L296" s="11" t="n"/>
      <c r="M296" s="11" t="n"/>
      <c r="N296" s="11" t="n"/>
    </row>
    <row r="297" ht="56" customHeight="1">
      <c r="A297" s="10" t="n">
        <v>295</v>
      </c>
      <c r="B297" s="10" t="inlineStr">
        <is>
          <t>Collaudo: UNI 10411-11:2024, parti sostituite oltre la macchina</t>
        </is>
      </c>
      <c r="C297" s="10" t="inlineStr">
        <is>
          <t>UNI 10411-11:2024, 12.1–12.3</t>
        </is>
      </c>
      <c r="D297" s="10" t="inlineStr">
        <is>
          <t>meccanismi delle porte di cabina nuovi secondo la UNI EN 81-20 5.3.3.2, 5.3.3.3 e da 5.3.8 a 5.3.14; porte motorizzate anche 5.3.6.2 e 5.3.6.3</t>
        </is>
      </c>
      <c r="E297" s="10" t="inlineStr">
        <is>
          <t>UNI 10411-11:2024, 12.1–12.3</t>
        </is>
      </c>
      <c r="F297" s="10" t="inlineStr">
        <is>
          <t>testo della norma, letto il 2026-10-06 (punti e valori con parole nostre)</t>
        </is>
      </c>
      <c r="G297" s="10" t="inlineStr">
        <is>
          <t>confermato</t>
        </is>
      </c>
      <c r="H297" s="10" t="inlineStr">
        <is>
          <t>—</t>
        </is>
      </c>
      <c r="I297" s="11" t="n"/>
      <c r="J297" s="11" t="n"/>
      <c r="K297" s="11" t="n"/>
      <c r="L297" s="11" t="n"/>
      <c r="M297" s="11" t="n"/>
      <c r="N297" s="11" t="n"/>
    </row>
    <row r="298" ht="69" customHeight="1">
      <c r="A298" s="10" t="n">
        <v>296</v>
      </c>
      <c r="B298" s="10" t="inlineStr">
        <is>
          <t>Collaudo: UNI 10411-11:2024, parti sostituite oltre la macchina</t>
        </is>
      </c>
      <c r="C298" s="10" t="inlineStr">
        <is>
          <t>UNI 10411-11:2024, 19</t>
        </is>
      </c>
      <c r="D298" s="10" t="inlineStr">
        <is>
          <t>porte di piano nuove come le originali, altrimenti secondo la UNI EN 81-20 5.3 (la UNI EN 81-21 5.12 se i luoghi non consentono la 5.3.2.1), con la valutazione 4.3; resistenza al fuoco non inferiore all’esistente</t>
        </is>
      </c>
      <c r="E298" s="10" t="inlineStr">
        <is>
          <t>UNI 10411-11:2024, 19</t>
        </is>
      </c>
      <c r="F298" s="10" t="inlineStr">
        <is>
          <t>testo della norma, letto il 2026-10-06 (punti e valori con parole nostre)</t>
        </is>
      </c>
      <c r="G298" s="10" t="inlineStr">
        <is>
          <t>confermato</t>
        </is>
      </c>
      <c r="H298" s="10" t="inlineStr">
        <is>
          <t>—</t>
        </is>
      </c>
      <c r="I298" s="11" t="n"/>
      <c r="J298" s="11" t="n"/>
      <c r="K298" s="11" t="n"/>
      <c r="L298" s="11" t="n"/>
      <c r="M298" s="11" t="n"/>
      <c r="N298" s="11" t="n"/>
    </row>
    <row r="299" ht="95" customHeight="1">
      <c r="A299" s="10" t="n">
        <v>297</v>
      </c>
      <c r="B299" s="10" t="inlineStr">
        <is>
          <t>Collaudo: UNI 10411-11:2024, parti sostituite oltre la macchina</t>
        </is>
      </c>
      <c r="C299" s="10" t="inlineStr">
        <is>
          <t>UNI 10411-11:2024, 11.1</t>
        </is>
      </c>
      <c r="D299" s="10" t="inlineStr">
        <is>
          <t>quadro nuovo secondo la UNI EN 81-20 da 5.10 a 5.12.4, 5.4.10.4 c) e da 5.9.2.5 a 5.9.2.7 (11.1.1), con le deroghe di 11.1.2 per gli impianti secondo la UNI EN 81-1; senza UCM conforme alla 5.6.7 macchinario senza alimentazione se il freno non si apre, con ripristino solo manuale (11.1.3); valutazione 4.3 (11.1.4)</t>
        </is>
      </c>
      <c r="E299" s="10" t="inlineStr">
        <is>
          <t>UNI 10411-11:2024, 11.1</t>
        </is>
      </c>
      <c r="F299" s="10" t="inlineStr">
        <is>
          <t>testo della norma, letto il 2026-10-06 (punti e valori con parole nostre)</t>
        </is>
      </c>
      <c r="G299" s="10" t="inlineStr">
        <is>
          <t>confermato</t>
        </is>
      </c>
      <c r="H299" s="10" t="inlineStr">
        <is>
          <t>—</t>
        </is>
      </c>
      <c r="I299" s="11" t="n"/>
      <c r="J299" s="11" t="n"/>
      <c r="K299" s="11" t="n"/>
      <c r="L299" s="11" t="n"/>
      <c r="M299" s="11" t="n"/>
      <c r="N299" s="11" t="n"/>
    </row>
    <row r="300" ht="56" customHeight="1">
      <c r="A300" s="10" t="n">
        <v>298</v>
      </c>
      <c r="B300" s="10" t="inlineStr">
        <is>
          <t>Collaudo: UNI 10411-11:2024, parti sostituite oltre la macchina</t>
        </is>
      </c>
      <c r="C300" s="10" t="inlineStr">
        <is>
          <t>UNI 10411-11:2024, 17</t>
        </is>
      </c>
      <c r="D300" s="10" t="inlineStr">
        <is>
          <t>funi nuove e attacchi d’estremità come gli originali, altrimenti verificati per l’impianto con la valutazione 4.3</t>
        </is>
      </c>
      <c r="E300" s="10" t="inlineStr">
        <is>
          <t>UNI 10411-11:2024, 17</t>
        </is>
      </c>
      <c r="F300" s="10" t="inlineStr">
        <is>
          <t>testo della norma, letto il 2026-10-06 (punti e valori con parole nostre)</t>
        </is>
      </c>
      <c r="G300" s="10" t="inlineStr">
        <is>
          <t>confermato</t>
        </is>
      </c>
      <c r="H300" s="10" t="inlineStr">
        <is>
          <t>—</t>
        </is>
      </c>
      <c r="I300" s="11" t="n"/>
      <c r="J300" s="11" t="n"/>
      <c r="K300" s="11" t="n"/>
      <c r="L300" s="11" t="n"/>
      <c r="M300" s="11" t="n"/>
      <c r="N300" s="11" t="n"/>
    </row>
    <row r="301" ht="56" customHeight="1">
      <c r="A301" s="10" t="n">
        <v>299</v>
      </c>
      <c r="B301" s="10" t="inlineStr">
        <is>
          <t>Collaudo: UNI 10411-11:2024, parti sostituite oltre la macchina</t>
        </is>
      </c>
      <c r="C301" s="10" t="inlineStr">
        <is>
          <t>UNI 10411-11:2024, 18</t>
        </is>
      </c>
      <c r="D301" s="10" t="inlineStr">
        <is>
          <t>limitatore, tenditore, fune e contatti come gli originali, altrimenti verificati per l’impianto con la valutazione 4.3</t>
        </is>
      </c>
      <c r="E301" s="10" t="inlineStr">
        <is>
          <t>UNI 10411-11:2024, 18</t>
        </is>
      </c>
      <c r="F301" s="10" t="inlineStr">
        <is>
          <t>testo della norma, letto il 2026-10-06 (punti e valori con parole nostre)</t>
        </is>
      </c>
      <c r="G301" s="10" t="inlineStr">
        <is>
          <t>confermato</t>
        </is>
      </c>
      <c r="H301" s="10" t="inlineStr">
        <is>
          <t>—</t>
        </is>
      </c>
      <c r="I301" s="11" t="n"/>
      <c r="J301" s="11" t="n"/>
      <c r="K301" s="11" t="n"/>
      <c r="L301" s="11" t="n"/>
      <c r="M301" s="11" t="n"/>
      <c r="N301" s="11" t="n"/>
    </row>
    <row r="302" ht="56" customHeight="1">
      <c r="A302" s="10" t="n">
        <v>300</v>
      </c>
      <c r="B302" s="10" t="inlineStr">
        <is>
          <t>Collaudo: UNI 10411-11:2024, parti sostituite oltre la macchina</t>
        </is>
      </c>
      <c r="C302" s="10" t="inlineStr">
        <is>
          <t>UNI 10411-11:2024, 6.6 e 6.7</t>
        </is>
      </c>
      <c r="D302" s="10" t="inlineStr">
        <is>
          <t>paracadute nuovo (di cabina o del contrappeso) verificato per l’impianto, con il suo sistema di azionamento e il limitatore; altrimenti come l’originale; valutazione 4.3</t>
        </is>
      </c>
      <c r="E302" s="10" t="inlineStr">
        <is>
          <t>UNI 10411-11:2024, 6.6 e 6.7</t>
        </is>
      </c>
      <c r="F302" s="10" t="inlineStr">
        <is>
          <t>ricerca, cap. 16 (testi ufficiali e schede UNI, 2026-10-02)</t>
        </is>
      </c>
      <c r="G302" s="10" t="inlineStr">
        <is>
          <t>da verificare</t>
        </is>
      </c>
      <c r="H302" s="10" t="inlineStr">
        <is>
          <t>—</t>
        </is>
      </c>
      <c r="I302" s="11" t="n"/>
      <c r="J302" s="11" t="n"/>
      <c r="K302" s="11" t="n"/>
      <c r="L302" s="11" t="n"/>
      <c r="M302" s="11" t="n"/>
      <c r="N302" s="11" t="n"/>
    </row>
    <row r="303" ht="95" customHeight="1">
      <c r="A303" s="10" t="n">
        <v>301</v>
      </c>
      <c r="B303" s="10" t="inlineStr">
        <is>
          <t>Collaudo: UNI 10411-11:2024, parti sostituite oltre la macchina</t>
        </is>
      </c>
      <c r="C303" s="10" t="inlineStr">
        <is>
          <t>UNI 10411-11:2024, 6.10, 15 c), 15 i) e 14.3 a)</t>
        </is>
      </c>
      <c r="D303" s="10" t="inlineStr">
        <is>
          <t>protezioni ACOP e UCM nuove o modificate: verificate per i nuovi carichi (6.10) e per la nuova velocità (15 c)), la UCM secondo la UNI EN 81-20 5.6.7 con la velocità variata oltre il 5 % (15 i)); con la macchina nuova le UCM presenti devono continuare a funzionare correttamente (14.3 a)); valutazione 4.3</t>
        </is>
      </c>
      <c r="E303" s="10" t="inlineStr">
        <is>
          <t>UNI 10411-11:2024, 6.10, 15 c), 15 i) e 14.3 a)</t>
        </is>
      </c>
      <c r="F303" s="10" t="inlineStr">
        <is>
          <t>testo della norma, letto il 2026-10-06 (punti e valori con parole nostre)</t>
        </is>
      </c>
      <c r="G303" s="10" t="inlineStr">
        <is>
          <t>confermato</t>
        </is>
      </c>
      <c r="H303" s="10" t="inlineStr">
        <is>
          <t>—</t>
        </is>
      </c>
      <c r="I303" s="11" t="n"/>
      <c r="J303" s="11" t="n"/>
      <c r="K303" s="11" t="n"/>
      <c r="L303" s="11" t="n"/>
      <c r="M303" s="11" t="n"/>
      <c r="N303" s="11" t="n"/>
    </row>
    <row r="304" ht="56" customHeight="1">
      <c r="A304" s="10" t="n">
        <v>302</v>
      </c>
      <c r="B304" s="10" t="inlineStr">
        <is>
          <t>Collaudo: UNI 10411-11:2024, parti sostituite oltre la macchina</t>
        </is>
      </c>
      <c r="C304" s="10" t="inlineStr">
        <is>
          <t>UNI 10411-11:2024, 23</t>
        </is>
      </c>
      <c r="D304" s="10" t="inlineStr">
        <is>
          <t>allarme di emergenza nuovo secondo la UNI EN 81-20 5.12.3.1 (con il suo rinvio alla UNI EN 81-28:2004) oppure secondo la UNI EN 81-28:2022</t>
        </is>
      </c>
      <c r="E304" s="10" t="inlineStr">
        <is>
          <t>UNI 10411-11:2024, 23</t>
        </is>
      </c>
      <c r="F304" s="10" t="inlineStr">
        <is>
          <t>testo della norma, letto il 2026-10-06 (punti e valori con parole nostre)</t>
        </is>
      </c>
      <c r="G304" s="10" t="inlineStr">
        <is>
          <t>confermato</t>
        </is>
      </c>
      <c r="H304" s="10" t="inlineStr">
        <is>
          <t>—</t>
        </is>
      </c>
      <c r="I304" s="11" t="n"/>
      <c r="J304" s="11" t="n"/>
      <c r="K304" s="11" t="n"/>
      <c r="L304" s="11" t="n"/>
      <c r="M304" s="11" t="n"/>
      <c r="N304" s="11" t="n"/>
    </row>
    <row r="305" ht="56" customHeight="1">
      <c r="A305" s="10" t="n">
        <v>303</v>
      </c>
      <c r="B305" s="10" t="inlineStr">
        <is>
          <t>Collaudo: UNI 10411-11:2024, parti sostituite oltre la macchina</t>
        </is>
      </c>
      <c r="C305" s="10" t="inlineStr">
        <is>
          <t>UNI 10411-11:2024, 8</t>
        </is>
      </c>
      <c r="D305" s="10" t="inlineStr">
        <is>
          <t>spazio del macchinario nuovo o modificato secondo la UNI EN 81-20 5.2.6; sulle aree di lavoro 2,10 m di altezza libera, oppure quella esistente se non si raggiunge; valutazione 4.3</t>
        </is>
      </c>
      <c r="E305" s="10" t="inlineStr">
        <is>
          <t>UNI 10411-11:2024, 8</t>
        </is>
      </c>
      <c r="F305" s="10" t="inlineStr">
        <is>
          <t>testo della norma, letto il 2026-10-06 (punti e valori con parole nostre)</t>
        </is>
      </c>
      <c r="G305" s="10" t="inlineStr">
        <is>
          <t>confermato</t>
        </is>
      </c>
      <c r="H305" s="10" t="inlineStr">
        <is>
          <t>—</t>
        </is>
      </c>
      <c r="I305" s="11" t="n"/>
      <c r="J305" s="11" t="n"/>
      <c r="K305" s="11" t="n"/>
      <c r="L305" s="11" t="n"/>
      <c r="M305" s="11" t="n"/>
      <c r="N305" s="11" t="n"/>
    </row>
    <row r="306" ht="147" customHeight="1">
      <c r="A306" s="10" t="n">
        <v>304</v>
      </c>
      <c r="B306" s="10" t="inlineStr">
        <is>
          <t>Collaudo: UNI 10411-11:2024, parti sostituite oltre la macchina</t>
        </is>
      </c>
      <c r="C306" s="10" t="inlineStr">
        <is>
          <t>UNI 10411-11:2024, 13.1.1–13.2.4</t>
        </is>
      </c>
      <c r="D306" s="10" t="inlineStr">
        <is>
          <t>porte di cabina da battente a scorrevoli: portata e T* ricalcolati se la nuova superficie utile lo richiede, con il punto 6 (13.1.1); porte secondo la UNI EN 81-20 5.3 (la 5.3.15.2 se già applicata), il punto 7 se si avvicinano alle difese; sul tetto di cabina il rifugio della 5.2.5.7 e sopra le parti nuove uno spazio libero di almeno 0,3 + 0,035·v² m, altrimenti la UNI EN 81-21 5.5 (13.1.2); motorizzate anche 5.3.6.2 e 5.3.6.3, pulsante di riapertura in cabina e schema come all’11.2 (13.2)</t>
        </is>
      </c>
      <c r="E306" s="10" t="inlineStr">
        <is>
          <t>UNI 10411-11:2024, 13.1.1–13.2.4</t>
        </is>
      </c>
      <c r="F306" s="10" t="inlineStr">
        <is>
          <t>testo della norma, letto il 2026-10-06 (punti e valori con parole nostre)</t>
        </is>
      </c>
      <c r="G306" s="10" t="inlineStr">
        <is>
          <t>confermato</t>
        </is>
      </c>
      <c r="H306" s="10" t="inlineStr">
        <is>
          <t>—</t>
        </is>
      </c>
      <c r="I306" s="11" t="n"/>
      <c r="J306" s="11" t="n"/>
      <c r="K306" s="11" t="n"/>
      <c r="L306" s="11" t="n"/>
      <c r="M306" s="11" t="n"/>
      <c r="N306" s="11" t="n"/>
    </row>
    <row r="307" ht="225" customHeight="1">
      <c r="A307" s="10" t="n">
        <v>305</v>
      </c>
      <c r="B307" s="10" t="inlineStr">
        <is>
          <t>Collaudo: UNI 10411-1:2024, velocità, carichi e corsa variati</t>
        </is>
      </c>
      <c r="C307" s="10" t="inlineStr">
        <is>
          <t>UNI 10411-1:2024, 15.1–15.15</t>
        </is>
      </c>
      <c r="D307" s="10" t="inlineStr">
        <is>
          <t>velocità portata oltre il 5 % sopra il riferimento (la maggiore tra quella del libretto, o accertata in seguito con verbale, e quella dopo il passaggio della rete a 50 Hz): ammortizzatori (15.2) e paracadute (15.3) secondo la UNI EN 81-20, guide con attacchi e giunzioni (15.5–15.6), contrappeso guidato e difesa del suo percorso (15.7), funi verificate con il 14.1 anche se macchina e puleggia restano (15.8), spazi liberi in fossa e in testata (15.11, con la UNI EN 81-21 se i luoghi non lo consentono: 15.12); non calcolati dal software: ACOP secondo la 5.6.6 (15.4), ispezione non oltre 0,63 m/s (15.9), porta a ogni accesso della cabina (15.10), limitatore secondo la 5.6.2.2.1 (15.13), extracorsa secondo la 5.12.2 (15.14), precisione di arresto e livellamento secondo la 5.12.1.1.4 (15.15)</t>
        </is>
      </c>
      <c r="E307" s="10" t="inlineStr">
        <is>
          <t>UNI 10411-1:2024, 15.1–15.15</t>
        </is>
      </c>
      <c r="F307" s="10" t="inlineStr">
        <is>
          <t>testo della norma, letto il 2026-10-06 (punti e valori con parole nostre)</t>
        </is>
      </c>
      <c r="G307" s="10" t="inlineStr">
        <is>
          <t>confermato</t>
        </is>
      </c>
      <c r="H307" s="10" t="inlineStr">
        <is>
          <t>—</t>
        </is>
      </c>
      <c r="I307" s="11" t="n"/>
      <c r="J307" s="11" t="n"/>
      <c r="K307" s="11" t="n"/>
      <c r="L307" s="11" t="n"/>
      <c r="M307" s="11" t="n"/>
      <c r="N307" s="11" t="n"/>
    </row>
    <row r="308" ht="82" customHeight="1">
      <c r="A308" s="10" t="n">
        <v>306</v>
      </c>
      <c r="B308" s="10" t="inlineStr">
        <is>
          <t>Collaudo: UNI 10411-1:2024, velocità, carichi e corsa variati</t>
        </is>
      </c>
      <c r="C308" s="10" t="inlineStr">
        <is>
          <t>UNI 10411-1:2024, 15.16–15.17</t>
        </is>
      </c>
      <c r="D308" s="10" t="inlineStr">
        <is>
          <t>velocità ridotta di più del 5 % sotto l’iniziale o quella documentata con verbale: ammortizzatori secondo la UNI EN 81-20 5.8 (15.2) e paracadute fatto intervenire dal limitatore entro i limiti della normativa in vigore all’installazione (15.17)</t>
        </is>
      </c>
      <c r="E308" s="10" t="inlineStr">
        <is>
          <t>UNI 10411-1:2024, 15.16–15.17</t>
        </is>
      </c>
      <c r="F308" s="10" t="inlineStr">
        <is>
          <t>testo della norma, letto il 2026-10-06 (punti e valori con parole nostre)</t>
        </is>
      </c>
      <c r="G308" s="10" t="inlineStr">
        <is>
          <t>confermato</t>
        </is>
      </c>
      <c r="H308" s="10" t="inlineStr">
        <is>
          <t>—</t>
        </is>
      </c>
      <c r="I308" s="11" t="n"/>
      <c r="J308" s="11" t="n"/>
      <c r="K308" s="11" t="n"/>
      <c r="L308" s="11" t="n"/>
      <c r="M308" s="11" t="n"/>
      <c r="N308" s="11" t="n"/>
    </row>
    <row r="309" ht="95" customHeight="1">
      <c r="A309" s="10" t="n">
        <v>307</v>
      </c>
      <c r="B309" s="10" t="inlineStr">
        <is>
          <t>Collaudo: UNI 10411-1:2024, velocità, carichi e corsa variati</t>
        </is>
      </c>
      <c r="C309" s="10" t="inlineStr">
        <is>
          <t>UNI 10411-1:2024, 15.1 e 15.16</t>
        </is>
      </c>
      <c r="D309" s="10" t="inlineStr">
        <is>
          <t>velocità né oltre il 5 % sopra il riferimento (15.1) né oltre il 5 % sotto la velocità iniziale del libretto o documentata con verbale (15.16): i punti da 15.2 a 15.17 non si applicano; se sia comunque un cambio della velocità ai sensi del DPR 162/1999 (art. 2 c.1 lett. cc) n. 1)) lo valuta il tecnico</t>
        </is>
      </c>
      <c r="E309" s="10" t="inlineStr">
        <is>
          <t>UNI 10411-1:2024, 15.1 e 15.16</t>
        </is>
      </c>
      <c r="F309" s="10" t="inlineStr">
        <is>
          <t>ricerca, cap. 16 (testi ufficiali e schede UNI, 2026-10-02)</t>
        </is>
      </c>
      <c r="G309" s="10" t="inlineStr">
        <is>
          <t>da verificare</t>
        </is>
      </c>
      <c r="H309" s="10" t="inlineStr">
        <is>
          <t>—</t>
        </is>
      </c>
      <c r="I309" s="11" t="n"/>
      <c r="J309" s="11" t="n"/>
      <c r="K309" s="11" t="n"/>
      <c r="L309" s="11" t="n"/>
      <c r="M309" s="11" t="n"/>
      <c r="N309" s="11" t="n"/>
    </row>
    <row r="310" ht="147" customHeight="1">
      <c r="A310" s="10" t="n">
        <v>308</v>
      </c>
      <c r="B310" s="10" t="inlineStr">
        <is>
          <t>Collaudo: UNI 10411-1:2024, velocità, carichi e corsa variati</t>
        </is>
      </c>
      <c r="C310" s="10" t="inlineStr">
        <is>
          <t>UNI 10411-1:2024, 15.1 e 15.16</t>
        </is>
      </c>
      <c r="D310" s="10" t="inlineStr">
        <is>
          <t>velocità non oltre il 5 % sopra il riferimento, la velocità dopo il passaggio della rete a 50 Hz (15.1): i punti da 15.2 a 15.15 non si applicano; la riduzione dalla velocità iniziale (15.16) non si misura senza la velocità del libretto — indicata come non variata, i punti 15.2 e 15.17 valgono se il tecnico accerta sul libretto o su un verbale successivo una riduzione di oltre il 5 %; se sia comunque un cambio della velocità ai sensi del DPR 162/1999 (art. 2 c.1 lett. cc) n. 1)) lo valuta il tecnico</t>
        </is>
      </c>
      <c r="E310" s="10" t="inlineStr">
        <is>
          <t>UNI 10411-1:2024, 15.1 e 15.16</t>
        </is>
      </c>
      <c r="F310" s="10" t="inlineStr">
        <is>
          <t>ricerca, cap. 16 (testi ufficiali e schede UNI, 2026-10-02)</t>
        </is>
      </c>
      <c r="G310" s="10" t="inlineStr">
        <is>
          <t>da verificare</t>
        </is>
      </c>
      <c r="H310" s="10" t="inlineStr">
        <is>
          <t>—</t>
        </is>
      </c>
      <c r="I310" s="11" t="n"/>
      <c r="J310" s="11" t="n"/>
      <c r="K310" s="11" t="n"/>
      <c r="L310" s="11" t="n"/>
      <c r="M310" s="11" t="n"/>
      <c r="N310" s="11" t="n"/>
    </row>
    <row r="311" ht="121" customHeight="1">
      <c r="A311" s="10" t="n">
        <v>309</v>
      </c>
      <c r="B311" s="10" t="inlineStr">
        <is>
          <t>Collaudo: UNI 10411-1:2024, velocità, carichi e corsa variati</t>
        </is>
      </c>
      <c r="C311" s="10" t="inlineStr">
        <is>
          <t>UNI 10411-1:2024, 6.1, 6.3–6.12 e 6.15</t>
        </is>
      </c>
      <c r="D311" s="10" t="inlineStr">
        <is>
          <t>T* o portata oltre il prospetto 1: strutture dell’edificio secondo il punto 5 (6.3), ammortizzatori secondo la UNI EN 81-20 5.8 (6.4), guide e ancoraggi (6.5), paracadute di cabina per i nuovi carichi (6.6), funi e attacchi (6.8), arcata (6.9), macchina (6.10) e altri componenti interessati (6.15); non calcolati dal software: controllo del carico secondo la 5.12.1.2 (6.11) e ACOP secondo la 5.6.6 (6.12)</t>
        </is>
      </c>
      <c r="E311" s="10" t="inlineStr">
        <is>
          <t>UNI 10411-1:2024, 6.1, 6.3–6.12 e 6.15</t>
        </is>
      </c>
      <c r="F311" s="10" t="inlineStr">
        <is>
          <t>testo della norma, letto il 2026-10-06 (punti e valori con parole nostre)</t>
        </is>
      </c>
      <c r="G311" s="10" t="inlineStr">
        <is>
          <t>confermato</t>
        </is>
      </c>
      <c r="H311" s="10" t="inlineStr">
        <is>
          <t>—</t>
        </is>
      </c>
      <c r="I311" s="11" t="n"/>
      <c r="J311" s="11" t="n"/>
      <c r="K311" s="11" t="n"/>
      <c r="L311" s="11" t="n"/>
      <c r="M311" s="11" t="n"/>
      <c r="N311" s="11" t="n"/>
    </row>
    <row r="312" ht="95" customHeight="1">
      <c r="A312" s="10" t="n">
        <v>310</v>
      </c>
      <c r="B312" s="10" t="inlineStr">
        <is>
          <t>Collaudo: UNI 10411-1:2024, velocità, carichi e corsa variati</t>
        </is>
      </c>
      <c r="C312" s="10" t="inlineStr">
        <is>
          <t>UNI 10411-1:2024, 6.1, 6.4, 6.5, 6.8 e 6.13–6.15</t>
        </is>
      </c>
      <c r="D312" s="10" t="inlineStr">
        <is>
          <t>contrappeso oltre il prospetto 2: ammortizzatori (6.4), guide e ancoraggi (6.5), funi e attacchi (6.8), contrappeso guidato e difesa del suo percorso (6.13), altri componenti interessati (6.15); non calcolato dal software: con spazi accessibili sotto il vano fondo della fossa per almeno 5000 N/m² e paracadute del contrappeso (6.14)</t>
        </is>
      </c>
      <c r="E312" s="10" t="inlineStr">
        <is>
          <t>UNI 10411-1:2024, 6.1, 6.4, 6.5, 6.8 e 6.13–6.15</t>
        </is>
      </c>
      <c r="F312" s="10" t="inlineStr">
        <is>
          <t>testo della norma, letto il 2026-10-06 (punti e valori con parole nostre)</t>
        </is>
      </c>
      <c r="G312" s="10" t="inlineStr">
        <is>
          <t>confermato</t>
        </is>
      </c>
      <c r="H312" s="10" t="inlineStr">
        <is>
          <t>—</t>
        </is>
      </c>
      <c r="I312" s="11" t="n"/>
      <c r="J312" s="11" t="n"/>
      <c r="K312" s="11" t="n"/>
      <c r="L312" s="11" t="n"/>
      <c r="M312" s="11" t="n"/>
      <c r="N312" s="11" t="n"/>
    </row>
    <row r="313" ht="56" customHeight="1">
      <c r="A313" s="10" t="n">
        <v>311</v>
      </c>
      <c r="B313" s="10" t="inlineStr">
        <is>
          <t>Collaudo: UNI 10411-1:2024, velocità, carichi e corsa variati</t>
        </is>
      </c>
      <c r="C313" s="10" t="inlineStr">
        <is>
          <t>UNI 10411-1:2024, 6.1</t>
        </is>
      </c>
      <c r="D313" s="10" t="inlineStr">
        <is>
          <t>T* o contrappeso diminuiti: ammortizzatori esistenti secondo la UNI EN 81-20 5.8 e paracadute progressivo, se c’è, secondo la 5.6.2</t>
        </is>
      </c>
      <c r="E313" s="10" t="inlineStr">
        <is>
          <t>UNI 10411-1:2024, 6.1</t>
        </is>
      </c>
      <c r="F313" s="10" t="inlineStr">
        <is>
          <t>testo della norma, letto il 2026-10-06 (punti e valori con parole nostre)</t>
        </is>
      </c>
      <c r="G313" s="10" t="inlineStr">
        <is>
          <t>confermato</t>
        </is>
      </c>
      <c r="H313" s="10" t="inlineStr">
        <is>
          <t>—</t>
        </is>
      </c>
      <c r="I313" s="11" t="n"/>
      <c r="J313" s="11" t="n"/>
      <c r="K313" s="11" t="n"/>
      <c r="L313" s="11" t="n"/>
      <c r="M313" s="11" t="n"/>
      <c r="N313" s="11" t="n"/>
    </row>
    <row r="314" ht="82" customHeight="1">
      <c r="A314" s="10" t="n">
        <v>312</v>
      </c>
      <c r="B314" s="10" t="inlineStr">
        <is>
          <t>Collaudo: UNI 10411-1:2024, velocità, carichi e corsa variati</t>
        </is>
      </c>
      <c r="C314" s="10" t="inlineStr">
        <is>
          <t>UNI 10411-1:2024, 6.1</t>
        </is>
      </c>
      <c r="D314" s="10" t="inlineStr">
        <is>
          <t>carichi indicati come variati, ma secondo i carichi documentati la variazione resta entro i prospetti 1 e 2, nessun carico diminuisce e il rapporto tra i carichi appesi non cambia: i punti da 6.3 a 6.15 e l’App. D valgono solo se il tecnico conferma una variazione oltre questi limiti</t>
        </is>
      </c>
      <c r="E314" s="10" t="inlineStr">
        <is>
          <t>UNI 10411-1:2024, 6.1</t>
        </is>
      </c>
      <c r="F314" s="10" t="inlineStr">
        <is>
          <t>ricerca, cap. 16 (testi ufficiali e schede UNI, 2026-10-02)</t>
        </is>
      </c>
      <c r="G314" s="10" t="inlineStr">
        <is>
          <t>da verificare</t>
        </is>
      </c>
      <c r="H314" s="10" t="inlineStr">
        <is>
          <t>—</t>
        </is>
      </c>
      <c r="I314" s="11" t="n"/>
      <c r="J314" s="11" t="n"/>
      <c r="K314" s="11" t="n"/>
      <c r="L314" s="11" t="n"/>
      <c r="M314" s="11" t="n"/>
      <c r="N314" s="11" t="n"/>
    </row>
    <row r="315" ht="82" customHeight="1">
      <c r="A315" s="10" t="n">
        <v>313</v>
      </c>
      <c r="B315" s="10" t="inlineStr">
        <is>
          <t>Collaudo: UNI 10411-1:2024, velocità, carichi e corsa variati</t>
        </is>
      </c>
      <c r="C315" s="10" t="inlineStr">
        <is>
          <t>UNI 10411-1:2024, 6.1 e App. D</t>
        </is>
      </c>
      <c r="D315" s="10" t="inlineStr">
        <is>
          <t>rapporto tra i carichi appesi lato cabina e lato contrappeso cambiato: stabilità allo scorrimento (D.1) e pressione nelle gole (D.2) verificate, ammortizzatori secondo la UNI EN 81-20 5.8 sotto cabina e contrappeso; aderenza eccessiva delle funi esclusa (UNI EN 81-20 5.5.3 c))</t>
        </is>
      </c>
      <c r="E315" s="10" t="inlineStr">
        <is>
          <t>UNI 10411-1:2024, 6.1 e App. D</t>
        </is>
      </c>
      <c r="F315" s="10" t="inlineStr">
        <is>
          <t>testo della norma, letto il 2026-10-06 (punti e valori con parole nostre)</t>
        </is>
      </c>
      <c r="G315" s="10" t="inlineStr">
        <is>
          <t>confermato</t>
        </is>
      </c>
      <c r="H315" s="10" t="inlineStr">
        <is>
          <t>—</t>
        </is>
      </c>
      <c r="I315" s="11" t="n"/>
      <c r="J315" s="11" t="n"/>
      <c r="K315" s="11" t="n"/>
      <c r="L315" s="11" t="n"/>
      <c r="M315" s="11" t="n"/>
      <c r="N315" s="11" t="n"/>
    </row>
    <row r="316" ht="147" customHeight="1">
      <c r="A316" s="10" t="n">
        <v>314</v>
      </c>
      <c r="B316" s="10" t="inlineStr">
        <is>
          <t>Collaudo: UNI 10411-1:2024, velocità, carichi e corsa variati</t>
        </is>
      </c>
      <c r="C316" s="10" t="inlineStr">
        <is>
          <t>UNI 10411-1:2024, 16 a)–l)</t>
        </is>
      </c>
      <c r="D316" s="10" t="inlineStr">
        <is>
          <t>corsa allungata rispetto al primo collaudo (fino a 8 m l’intervento non conta come nuova installazione, punto 16): contrappeso guidato e difesa del suo percorso (a)), locale o macchina spostati con i punti 8 e 9 (b), c)), difese dei tratti di vano aggiunti (d)), linee elettriche (e)), quadro (f)), guide dei tratti aggiunti (g)), funi nuove con il 17.2 (h)), fune del limitatore (i)), spazi liberi in fossa e in testata (j)), porte di piano nuove con il punto 19 (k)), extracorsa all’estremità interessata (l))</t>
        </is>
      </c>
      <c r="E316" s="10" t="inlineStr">
        <is>
          <t>UNI 10411-1:2024, 16 a)–l)</t>
        </is>
      </c>
      <c r="F316" s="10" t="inlineStr">
        <is>
          <t>testo della norma, letto il 2026-10-06 (punti e valori con parole nostre)</t>
        </is>
      </c>
      <c r="G316" s="10" t="inlineStr">
        <is>
          <t>confermato</t>
        </is>
      </c>
      <c r="H316" s="10" t="inlineStr">
        <is>
          <t>—</t>
        </is>
      </c>
      <c r="I316" s="11" t="n"/>
      <c r="J316" s="11" t="n"/>
      <c r="K316" s="11" t="n"/>
      <c r="L316" s="11" t="n"/>
      <c r="M316" s="11" t="n"/>
      <c r="N316" s="11" t="n"/>
    </row>
    <row r="317" ht="56" customHeight="1">
      <c r="A317" s="10" t="n">
        <v>315</v>
      </c>
      <c r="B317" s="10" t="inlineStr">
        <is>
          <t>Collaudo: UNI 10411-1:2024, velocità, carichi e corsa variati</t>
        </is>
      </c>
      <c r="C317" s="10" t="inlineStr">
        <is>
          <t>UNI 10411-1:2024, 16</t>
        </is>
      </c>
      <c r="D317" s="10" t="inlineStr">
        <is>
          <t>⚠ corsa allungata di oltre 8 m rispetto al primo collaudo: l’intervento conta come nuova installazione; la procedura la conferma il tecnico con il soggetto che esegue la verifica</t>
        </is>
      </c>
      <c r="E317" s="10" t="inlineStr">
        <is>
          <t>UNI 10411-1:2024, 16</t>
        </is>
      </c>
      <c r="F317" s="10" t="inlineStr">
        <is>
          <t>ricerca, cap. 16 (testi ufficiali e schede UNI, 2026-10-02)</t>
        </is>
      </c>
      <c r="G317" s="10" t="inlineStr">
        <is>
          <t>da verificare</t>
        </is>
      </c>
      <c r="H317" s="10" t="inlineStr">
        <is>
          <t>—</t>
        </is>
      </c>
      <c r="I317" s="11" t="n"/>
      <c r="J317" s="11" t="n"/>
      <c r="K317" s="11" t="n"/>
      <c r="L317" s="11" t="n"/>
      <c r="M317" s="11" t="n"/>
      <c r="N317" s="11" t="n"/>
    </row>
    <row r="318" ht="56" customHeight="1">
      <c r="A318" s="10" t="n">
        <v>316</v>
      </c>
      <c r="B318" s="10" t="inlineStr">
        <is>
          <t>Collaudo: UNI 10411-1:2024, velocità, carichi e corsa variati</t>
        </is>
      </c>
      <c r="C318" s="10" t="inlineStr">
        <is>
          <t>UNI 10411-1:2024, 16 e 4</t>
        </is>
      </c>
      <c r="D318" s="10" t="inlineStr">
        <is>
          <t>corsa accorciata: il punto 16 tratta solo l’allungamento; la modifica (DPR 162/1999, art. 2 c.1 lett. cc) n. 3)) si valuta secondo il punto 4</t>
        </is>
      </c>
      <c r="E318" s="10" t="inlineStr">
        <is>
          <t>UNI 10411-1:2024, 16 e 4</t>
        </is>
      </c>
      <c r="F318" s="10" t="inlineStr">
        <is>
          <t>ricerca, cap. 16 (testi ufficiali e schede UNI, 2026-10-02)</t>
        </is>
      </c>
      <c r="G318" s="10" t="inlineStr">
        <is>
          <t>da verificare</t>
        </is>
      </c>
      <c r="H318" s="10" t="inlineStr">
        <is>
          <t>—</t>
        </is>
      </c>
      <c r="I318" s="11" t="n"/>
      <c r="J318" s="11" t="n"/>
      <c r="K318" s="11" t="n"/>
      <c r="L318" s="11" t="n"/>
      <c r="M318" s="11" t="n"/>
      <c r="N318" s="11" t="n"/>
    </row>
    <row r="319" ht="108" customHeight="1">
      <c r="A319" s="10" t="n">
        <v>317</v>
      </c>
      <c r="B319" s="10" t="inlineStr">
        <is>
          <t>Collaudo: UNI 10411-1:2024, velocità, carichi e corsa variati</t>
        </is>
      </c>
      <c r="C319" s="10" t="inlineStr">
        <is>
          <t>UNI 10411-1:2024, 15.1 e 15.16</t>
        </is>
      </c>
      <c r="D319" s="10" t="inlineStr">
        <is>
          <t>velocità indicata come variata, ma secondo i dati documentati quella del progetto non supera di oltre il 5 % il riferimento né, quando il libretto ne riporta la velocità, scende di oltre il 5 % sotto di essa: i punti da 15.2 a 15.15 (aumento) o 15.2 e 15.17 (riduzione) valgono solo se il tecnico accerta una variazione oltre questi limiti</t>
        </is>
      </c>
      <c r="E319" s="10" t="inlineStr">
        <is>
          <t>UNI 10411-1:2024, 15.1 e 15.16</t>
        </is>
      </c>
      <c r="F319" s="10" t="inlineStr">
        <is>
          <t>ricerca, cap. 16 (testi ufficiali e schede UNI, 2026-10-02)</t>
        </is>
      </c>
      <c r="G319" s="10" t="inlineStr">
        <is>
          <t>da verificare</t>
        </is>
      </c>
      <c r="H319" s="10" t="inlineStr">
        <is>
          <t>—</t>
        </is>
      </c>
      <c r="I319" s="11" t="n"/>
      <c r="J319" s="11" t="n"/>
      <c r="K319" s="11" t="n"/>
      <c r="L319" s="11" t="n"/>
      <c r="M319" s="11" t="n"/>
      <c r="N319" s="11" t="n"/>
    </row>
    <row r="320" ht="82" customHeight="1">
      <c r="A320" s="10" t="n">
        <v>318</v>
      </c>
      <c r="B320" s="10" t="inlineStr">
        <is>
          <t>Collaudo: UNI 10411-1:2024, velocità, carichi e corsa variati</t>
        </is>
      </c>
      <c r="C320" s="10" t="inlineStr">
        <is>
          <t>UNI 10411-1:2024, 16</t>
        </is>
      </c>
      <c r="D320" s="10" t="inlineStr">
        <is>
          <t>corsa indicata come variata, ma quella del progetto coincide con la corsa del primo collaudo entro l’arrotondamento dei dati: le lettere a)–l) del punto 16 valgono solo se il tecnico accerta un allungamento (un accorciamento si valuta secondo il punto 4)</t>
        </is>
      </c>
      <c r="E320" s="10" t="inlineStr">
        <is>
          <t>UNI 10411-1:2024, 16</t>
        </is>
      </c>
      <c r="F320" s="10" t="inlineStr">
        <is>
          <t>ricerca, cap. 16 (testi ufficiali e schede UNI, 2026-10-02)</t>
        </is>
      </c>
      <c r="G320" s="10" t="inlineStr">
        <is>
          <t>da verificare</t>
        </is>
      </c>
      <c r="H320" s="10" t="inlineStr">
        <is>
          <t>—</t>
        </is>
      </c>
      <c r="I320" s="11" t="n"/>
      <c r="J320" s="11" t="n"/>
      <c r="K320" s="11" t="n"/>
      <c r="L320" s="11" t="n"/>
      <c r="M320" s="11" t="n"/>
      <c r="N320" s="11" t="n"/>
    </row>
    <row r="321" ht="82" customHeight="1">
      <c r="A321" s="10" t="n">
        <v>319</v>
      </c>
      <c r="B321" s="10" t="inlineStr">
        <is>
          <t>Collaudo: UNI 10411-1:2024, velocità, carichi e corsa variati</t>
        </is>
      </c>
      <c r="C321" s="10" t="inlineStr">
        <is>
          <t>UNI 10411-1:2024, 22 e 6.1</t>
        </is>
      </c>
      <c r="D321" s="10" t="inlineStr">
        <is>
          <t>cabina nuova sull’arcata esistente con i carichi del progetto uguali a quelli documentati: P va confermata come massa della cabina nuova completa (arcata, porte e operatore compresi); se cambia, i carichi si confrontano di nuovo con quelli documentati</t>
        </is>
      </c>
      <c r="E321" s="10" t="inlineStr">
        <is>
          <t>UNI 10411-1:2024, 22 e 6.1</t>
        </is>
      </c>
      <c r="F321" s="10" t="inlineStr">
        <is>
          <t>ricerca, cap. 16 (testi ufficiali e schede UNI, 2026-10-02)</t>
        </is>
      </c>
      <c r="G321" s="10" t="inlineStr">
        <is>
          <t>da verificare</t>
        </is>
      </c>
      <c r="H321" s="10" t="inlineStr">
        <is>
          <t>—</t>
        </is>
      </c>
      <c r="I321" s="11" t="n"/>
      <c r="J321" s="11" t="n"/>
      <c r="K321" s="11" t="n"/>
      <c r="L321" s="11" t="n"/>
      <c r="M321" s="11" t="n"/>
      <c r="N321" s="11" t="n"/>
    </row>
    <row r="322" ht="69" customHeight="1">
      <c r="A322" s="10" t="n">
        <v>320</v>
      </c>
      <c r="B322" s="10" t="inlineStr">
        <is>
          <t>Collaudo: UNI 10411-1:2024, velocità, carichi e corsa variati</t>
        </is>
      </c>
      <c r="C322" s="10" t="inlineStr">
        <is>
          <t>UNI 10411-1:2024, 6.1</t>
        </is>
      </c>
      <c r="D322" s="10" t="inlineStr">
        <is>
          <t>cabina e arcata nuove con i carichi del progetto uguali a quelli documentati: P va confermata come massa della cabina nuova completa (arcata, porte e operatore compresi); se cambia, i carichi si confrontano di nuovo con quelli documentati</t>
        </is>
      </c>
      <c r="E322" s="10" t="inlineStr">
        <is>
          <t>UNI 10411-1:2024, 6.1</t>
        </is>
      </c>
      <c r="F322" s="10" t="inlineStr">
        <is>
          <t>ricerca, cap. 16 (testi ufficiali e schede UNI, 2026-10-02)</t>
        </is>
      </c>
      <c r="G322" s="10" t="inlineStr">
        <is>
          <t>da verificare</t>
        </is>
      </c>
      <c r="H322" s="10" t="inlineStr">
        <is>
          <t>—</t>
        </is>
      </c>
      <c r="I322" s="11" t="n"/>
      <c r="J322" s="11" t="n"/>
      <c r="K322" s="11" t="n"/>
      <c r="L322" s="11" t="n"/>
      <c r="M322" s="11" t="n"/>
      <c r="N322" s="11" t="n"/>
    </row>
    <row r="323" ht="199" customHeight="1">
      <c r="A323" s="10" t="n">
        <v>321</v>
      </c>
      <c r="B323" s="10" t="inlineStr">
        <is>
          <t>Collaudo: UNI 10411-1:2024, velocità, carichi e corsa variati</t>
        </is>
      </c>
      <c r="C323" s="10" t="inlineStr">
        <is>
          <t>UNI 10411-1:2024, 6.1 e D.1</t>
        </is>
      </c>
      <c r="D323" s="10" t="inlineStr">
        <is>
          <t>alla prova del freno si misura la decelerazione di frenatura della cabina con i carichi dei due casi della D.1 (1,25·Q e cabina vuota) — in discesa con 1,25·Q e in salita a vuoto, scelta del software: la D.1 dà i carichi e la posizione della cabina ferma, non il verso di marcia —, e la maggiore si confronta con a_lim, la decelerazione fino alla quale la D.1 regge nel caso più sfavorevole (a_lim = g·(C1lim − 1)/(C1lim + 1), con C1lim della relazione); se quella misurata supera a_lim, la D.1 rifatta con essa non regge e vanno rivisti il rapporto tra i carichi o la frenatura; come si fa la prova lo decide il tecnico e quale decelerazione intenda la D.1 il soggetto della verifica</t>
        </is>
      </c>
      <c r="E323" s="10" t="inlineStr">
        <is>
          <t>UNI 10411-1:2024, 6.1 e D.1</t>
        </is>
      </c>
      <c r="F323" s="10" t="inlineStr">
        <is>
          <t>UNI 10411-1:2024, testo della norma, letto il 2026-10-06, p. 33 (D.1); il confronto alla prova del freno: scelta del software</t>
        </is>
      </c>
      <c r="G323" s="10" t="inlineStr">
        <is>
          <t>da verificare</t>
        </is>
      </c>
      <c r="H323" s="10" t="inlineStr">
        <is>
          <t>—</t>
        </is>
      </c>
      <c r="I323" s="11" t="n"/>
      <c r="J323" s="11" t="n"/>
      <c r="K323" s="11" t="n"/>
      <c r="L323" s="11" t="n"/>
      <c r="M323" s="11" t="n"/>
      <c r="N323" s="11" t="n"/>
    </row>
    <row r="324" ht="69" customHeight="1">
      <c r="A324" s="10" t="n">
        <v>322</v>
      </c>
      <c r="B324" s="10" t="inlineStr">
        <is>
          <t>Collaudo: UNI 10411-1:2024, velocità, carichi e corsa variati</t>
        </is>
      </c>
      <c r="C324" s="10" t="inlineStr">
        <is>
          <t>UNI 10411-1:2024, 6.1 e D.1</t>
        </is>
      </c>
      <c r="D324" s="10" t="inlineStr">
        <is>
          <t>la D.1 non regge nemmeno con il C1 minimo della fascia di velocità: nessuna decelerazione misurata alla prova del freno la rispetta, e il rapporto tra i carichi va rivisto con il soggetto della verifica</t>
        </is>
      </c>
      <c r="E324" s="10" t="inlineStr">
        <is>
          <t>UNI 10411-1:2024, 6.1 e D.1</t>
        </is>
      </c>
      <c r="F324" s="10" t="inlineStr">
        <is>
          <t>UNI 10411-1:2024, testo della norma, letto il 2026-10-06, p. 33 (D.1); il confronto alla prova del freno: scelta del software</t>
        </is>
      </c>
      <c r="G324" s="10" t="inlineStr">
        <is>
          <t>da verificare</t>
        </is>
      </c>
      <c r="H324" s="10" t="inlineStr">
        <is>
          <t>—</t>
        </is>
      </c>
      <c r="I324" s="11" t="n"/>
      <c r="J324" s="11" t="n"/>
      <c r="K324" s="11" t="n"/>
      <c r="L324" s="11" t="n"/>
      <c r="M324" s="11" t="n"/>
      <c r="N324" s="11" t="n"/>
    </row>
    <row r="325" ht="108" customHeight="1">
      <c r="A325" s="10" t="n">
        <v>323</v>
      </c>
      <c r="B325" s="10" t="inlineStr">
        <is>
          <t>Collaudo: UNI 10411-11:2024, velocità, carichi e corsa variati</t>
        </is>
      </c>
      <c r="C325" s="10" t="inlineStr">
        <is>
          <t>UNI 10411-11:2024, 15 a)–k) e 4.3</t>
        </is>
      </c>
      <c r="D325" s="10" t="inlineStr">
        <is>
          <t>velocità cambiata, in più o in meno: verificati per la nuova velocità ammortizzatori (a)), paracadute (b)), ACOP (c)), organi di sospensione (d)), limitatore (f)), extracorsa (g)) e guide di cabina e del contrappeso con attacchi e giunzioni (j), k)); spazi liberi in fossa e in testata (e)); precisione di arresto e livellamento secondo la UNI EN 81-20 5.12.1.1.4 (h)); valutazione 4.3</t>
        </is>
      </c>
      <c r="E325" s="10" t="inlineStr">
        <is>
          <t>UNI 10411-11:2024, 15 a)–k) e 4.3</t>
        </is>
      </c>
      <c r="F325" s="10" t="inlineStr">
        <is>
          <t>testo della norma, letto il 2026-10-06 (punti e valori con parole nostre)</t>
        </is>
      </c>
      <c r="G325" s="10" t="inlineStr">
        <is>
          <t>confermato</t>
        </is>
      </c>
      <c r="H325" s="10" t="inlineStr">
        <is>
          <t>—</t>
        </is>
      </c>
      <c r="I325" s="11" t="n"/>
      <c r="J325" s="11" t="n"/>
      <c r="K325" s="11" t="n"/>
      <c r="L325" s="11" t="n"/>
      <c r="M325" s="11" t="n"/>
      <c r="N325" s="11" t="n"/>
    </row>
    <row r="326" ht="56" customHeight="1">
      <c r="A326" s="10" t="n">
        <v>324</v>
      </c>
      <c r="B326" s="10" t="inlineStr">
        <is>
          <t>Collaudo: UNI 10411-11:2024, velocità, carichi e corsa variati</t>
        </is>
      </c>
      <c r="C326" s="10" t="inlineStr">
        <is>
          <t>UNI 10411-11:2024, 15 i)</t>
        </is>
      </c>
      <c r="D326" s="10" t="inlineStr">
        <is>
          <t>protezione UCM secondo la UNI EN 81-20 5.6.7, salvo con una variazione della velocità entro il 5 % su un impianto dove la 5.6.7 non era applicata</t>
        </is>
      </c>
      <c r="E326" s="10" t="inlineStr">
        <is>
          <t>UNI 10411-11:2024, 15 i)</t>
        </is>
      </c>
      <c r="F326" s="10" t="inlineStr">
        <is>
          <t>testo della norma, letto il 2026-10-06 (punti e valori con parole nostre)</t>
        </is>
      </c>
      <c r="G326" s="10" t="inlineStr">
        <is>
          <t>confermato</t>
        </is>
      </c>
      <c r="H326" s="10" t="inlineStr">
        <is>
          <t>—</t>
        </is>
      </c>
      <c r="I326" s="11" t="n"/>
      <c r="J326" s="11" t="n"/>
      <c r="K326" s="11" t="n"/>
      <c r="L326" s="11" t="n"/>
      <c r="M326" s="11" t="n"/>
      <c r="N326" s="11" t="n"/>
    </row>
    <row r="327" ht="108" customHeight="1">
      <c r="A327" s="10" t="n">
        <v>325</v>
      </c>
      <c r="B327" s="10" t="inlineStr">
        <is>
          <t>Collaudo: UNI 10411-11:2024, velocità, carichi e corsa variati</t>
        </is>
      </c>
      <c r="C327" s="10" t="inlineStr">
        <is>
          <t>UNI 10411-11:2024, 6.1–6.13</t>
        </is>
      </c>
      <c r="D327" s="10" t="inlineStr">
        <is>
          <t>T* aumentato: verificati per i nuovi carichi organi di sospensione (6.3), ammortizzatori (6.4), guide (6.5), paracadute (6.6), attacchi (6.8), arcata (6.9), ACOP e UCM (6.10), controllo del carico (6.11), macchina (6.12) e altri componenti interessati (6.13); entro il 10 %, anche sommato alle modifiche precedenti, le strutture del punto 5 no (6.2)</t>
        </is>
      </c>
      <c r="E327" s="10" t="inlineStr">
        <is>
          <t>UNI 10411-11:2024, 6.1–6.13</t>
        </is>
      </c>
      <c r="F327" s="10" t="inlineStr">
        <is>
          <t>testo della norma, letto il 2026-10-06 (punti e valori con parole nostre)</t>
        </is>
      </c>
      <c r="G327" s="10" t="inlineStr">
        <is>
          <t>confermato</t>
        </is>
      </c>
      <c r="H327" s="10" t="inlineStr">
        <is>
          <t>—</t>
        </is>
      </c>
      <c r="I327" s="11" t="n"/>
      <c r="J327" s="11" t="n"/>
      <c r="K327" s="11" t="n"/>
      <c r="L327" s="11" t="n"/>
      <c r="M327" s="11" t="n"/>
      <c r="N327" s="11" t="n"/>
    </row>
    <row r="328" ht="56" customHeight="1">
      <c r="A328" s="10" t="n">
        <v>326</v>
      </c>
      <c r="B328" s="10" t="inlineStr">
        <is>
          <t>Collaudo: UNI 10411-11:2024, velocità, carichi e corsa variati</t>
        </is>
      </c>
      <c r="C328" s="10" t="inlineStr">
        <is>
          <t>UNI 10411-11:2024, 6.1–6.13</t>
        </is>
      </c>
      <c r="D328" s="10" t="inlineStr">
        <is>
          <t>contrappeso aumentato: i punti da 6.2 a 6.13 per i nuovi carichi, tranne l’arcata (6.9)</t>
        </is>
      </c>
      <c r="E328" s="10" t="inlineStr">
        <is>
          <t>UNI 10411-11:2024, 6.1–6.13</t>
        </is>
      </c>
      <c r="F328" s="10" t="inlineStr">
        <is>
          <t>testo della norma, letto il 2026-10-06 (punti e valori con parole nostre)</t>
        </is>
      </c>
      <c r="G328" s="10" t="inlineStr">
        <is>
          <t>confermato</t>
        </is>
      </c>
      <c r="H328" s="10" t="inlineStr">
        <is>
          <t>—</t>
        </is>
      </c>
      <c r="I328" s="11" t="n"/>
      <c r="J328" s="11" t="n"/>
      <c r="K328" s="11" t="n"/>
      <c r="L328" s="11" t="n"/>
      <c r="M328" s="11" t="n"/>
      <c r="N328" s="11" t="n"/>
    </row>
    <row r="329" ht="56" customHeight="1">
      <c r="A329" s="10" t="n">
        <v>327</v>
      </c>
      <c r="B329" s="10" t="inlineStr">
        <is>
          <t>Collaudo: UNI 10411-11:2024, velocità, carichi e corsa variati</t>
        </is>
      </c>
      <c r="C329" s="10" t="inlineStr">
        <is>
          <t>UNI 10411-11:2024, 6.1</t>
        </is>
      </c>
      <c r="D329" s="10" t="inlineStr">
        <is>
          <t>T* o contrappeso diminuiti: ammortizzatori e, se c’è, paracadute progressivo verificati per i nuovi carichi</t>
        </is>
      </c>
      <c r="E329" s="10" t="inlineStr">
        <is>
          <t>UNI 10411-11:2024, 6.1</t>
        </is>
      </c>
      <c r="F329" s="10" t="inlineStr">
        <is>
          <t>testo della norma, letto il 2026-10-06 (punti e valori con parole nostre)</t>
        </is>
      </c>
      <c r="G329" s="10" t="inlineStr">
        <is>
          <t>confermato</t>
        </is>
      </c>
      <c r="H329" s="10" t="inlineStr">
        <is>
          <t>—</t>
        </is>
      </c>
      <c r="I329" s="11" t="n"/>
      <c r="J329" s="11" t="n"/>
      <c r="K329" s="11" t="n"/>
      <c r="L329" s="11" t="n"/>
      <c r="M329" s="11" t="n"/>
      <c r="N329" s="11" t="n"/>
    </row>
    <row r="330" ht="82" customHeight="1">
      <c r="A330" s="10" t="n">
        <v>328</v>
      </c>
      <c r="B330" s="10" t="inlineStr">
        <is>
          <t>Collaudo: UNI 10411-11:2024, velocità, carichi e corsa variati</t>
        </is>
      </c>
      <c r="C330" s="10" t="inlineStr">
        <is>
          <t>UNI 10411-11:2024, 6.1</t>
        </is>
      </c>
      <c r="D330" s="10" t="inlineStr">
        <is>
          <t>carichi indicati come variati, ma secondo i carichi documentati T* e contrappeso restano gli stessi entro l’arrotondamento dei dati: i punti da 6.2 a 6.13 valgono solo se il tecnico conferma un aumento di T* o del contrappeso (con una riduzione, le verifiche della 6.1)</t>
        </is>
      </c>
      <c r="E330" s="10" t="inlineStr">
        <is>
          <t>UNI 10411-11:2024, 6.1</t>
        </is>
      </c>
      <c r="F330" s="10" t="inlineStr">
        <is>
          <t>ricerca, cap. 16 (testi ufficiali e schede UNI, 2026-10-02)</t>
        </is>
      </c>
      <c r="G330" s="10" t="inlineStr">
        <is>
          <t>da verificare</t>
        </is>
      </c>
      <c r="H330" s="10" t="inlineStr">
        <is>
          <t>—</t>
        </is>
      </c>
      <c r="I330" s="11" t="n"/>
      <c r="J330" s="11" t="n"/>
      <c r="K330" s="11" t="n"/>
      <c r="L330" s="11" t="n"/>
      <c r="M330" s="11" t="n"/>
      <c r="N330" s="11" t="n"/>
    </row>
    <row r="331" ht="95" customHeight="1">
      <c r="A331" s="10" t="n">
        <v>329</v>
      </c>
      <c r="B331" s="10" t="inlineStr">
        <is>
          <t>Collaudo: UNI 10411-11:2024, velocità, carichi e corsa variati</t>
        </is>
      </c>
      <c r="C331" s="10" t="inlineStr">
        <is>
          <t>UNI 10411-11:2024, 16 a)–i) e 4.3</t>
        </is>
      </c>
      <c r="D331" s="10" t="inlineStr">
        <is>
          <t>corsa allungata: locale o macchina spostati con i punti 8 e 9 (a), b)), difese dei tratti di vano aggiunti (c)), linee elettriche (d)), quadro (e)), guide dei tratti aggiunti con gli ancoraggi (f)), organi di sospensione nuovi con il punto 17 (g)), fune nuova del limitatore (h)), spazi liberi in fossa e in testata (i)); valutazione 4.3</t>
        </is>
      </c>
      <c r="E331" s="10" t="inlineStr">
        <is>
          <t>UNI 10411-11:2024, 16 a)–i) e 4.3</t>
        </is>
      </c>
      <c r="F331" s="10" t="inlineStr">
        <is>
          <t>testo della norma, letto il 2026-10-06 (punti e valori con parole nostre)</t>
        </is>
      </c>
      <c r="G331" s="10" t="inlineStr">
        <is>
          <t>confermato</t>
        </is>
      </c>
      <c r="H331" s="10" t="inlineStr">
        <is>
          <t>—</t>
        </is>
      </c>
      <c r="I331" s="11" t="n"/>
      <c r="J331" s="11" t="n"/>
      <c r="K331" s="11" t="n"/>
      <c r="L331" s="11" t="n"/>
      <c r="M331" s="11" t="n"/>
      <c r="N331" s="11" t="n"/>
    </row>
    <row r="332" ht="56" customHeight="1">
      <c r="A332" s="10" t="n">
        <v>330</v>
      </c>
      <c r="B332" s="10" t="inlineStr">
        <is>
          <t>Collaudo: UNI 10411-11:2024, velocità, carichi e corsa variati</t>
        </is>
      </c>
      <c r="C332" s="10" t="inlineStr">
        <is>
          <t>UNI 10411-11:2024, 16 e 4.3</t>
        </is>
      </c>
      <c r="D332" s="10" t="inlineStr">
        <is>
          <t>corsa accorciata: il punto 16 tratta solo l’allungamento; la modifica (DPR 162/1999, art. 2 c.1 lett. cc) n. 3)) si valuta con la 4.3</t>
        </is>
      </c>
      <c r="E332" s="10" t="inlineStr">
        <is>
          <t>UNI 10411-11:2024, 16 e 4.3</t>
        </is>
      </c>
      <c r="F332" s="10" t="inlineStr">
        <is>
          <t>ricerca, cap. 16 (testi ufficiali e schede UNI, 2026-10-02)</t>
        </is>
      </c>
      <c r="G332" s="10" t="inlineStr">
        <is>
          <t>da verificare</t>
        </is>
      </c>
      <c r="H332" s="10" t="inlineStr">
        <is>
          <t>—</t>
        </is>
      </c>
      <c r="I332" s="11" t="n"/>
      <c r="J332" s="11" t="n"/>
      <c r="K332" s="11" t="n"/>
      <c r="L332" s="11" t="n"/>
      <c r="M332" s="11" t="n"/>
      <c r="N332" s="11" t="n"/>
    </row>
    <row r="333" ht="95" customHeight="1">
      <c r="A333" s="10" t="n">
        <v>331</v>
      </c>
      <c r="B333" s="10" t="inlineStr">
        <is>
          <t>Collaudo: UNI 10411-11:2024, velocità, carichi e corsa variati</t>
        </is>
      </c>
      <c r="C333" s="10" t="inlineStr">
        <is>
          <t>UNI 10411-11:2024, 15 e 4.3</t>
        </is>
      </c>
      <c r="D333" s="10" t="inlineStr">
        <is>
          <t>velocità indicata come variata, ma quella del progetto coincide con la documentata entro l’arrotondamento dei dati: le lettere a)–k) del punto 15 e la valutazione 4.3 valgono solo se il tecnico conferma una variazione; la protezione UCM (15 i)) con una variazione oltre il 5 % o dove la 5.6.7 era già applicata</t>
        </is>
      </c>
      <c r="E333" s="10" t="inlineStr">
        <is>
          <t>UNI 10411-11:2024, 15 e 4.3</t>
        </is>
      </c>
      <c r="F333" s="10" t="inlineStr">
        <is>
          <t>ricerca, cap. 16 (testi ufficiali e schede UNI, 2026-10-02)</t>
        </is>
      </c>
      <c r="G333" s="10" t="inlineStr">
        <is>
          <t>da verificare</t>
        </is>
      </c>
      <c r="H333" s="10" t="inlineStr">
        <is>
          <t>—</t>
        </is>
      </c>
      <c r="I333" s="11" t="n"/>
      <c r="J333" s="11" t="n"/>
      <c r="K333" s="11" t="n"/>
      <c r="L333" s="11" t="n"/>
      <c r="M333" s="11" t="n"/>
      <c r="N333" s="11" t="n"/>
    </row>
    <row r="334" ht="82" customHeight="1">
      <c r="A334" s="10" t="n">
        <v>332</v>
      </c>
      <c r="B334" s="10" t="inlineStr">
        <is>
          <t>Collaudo: UNI 10411-11:2024, velocità, carichi e corsa variati</t>
        </is>
      </c>
      <c r="C334" s="10" t="inlineStr">
        <is>
          <t>UNI 10411-11:2024, 16 e 4.3</t>
        </is>
      </c>
      <c r="D334" s="10" t="inlineStr">
        <is>
          <t>corsa indicata come variata, ma quella del progetto coincide con la documentata entro l’arrotondamento dei dati: le lettere a)–i) del punto 16 e la valutazione 4.3 valgono solo se il tecnico accerta un allungamento (un accorciamento con la 4.3)</t>
        </is>
      </c>
      <c r="E334" s="10" t="inlineStr">
        <is>
          <t>UNI 10411-11:2024, 16 e 4.3</t>
        </is>
      </c>
      <c r="F334" s="10" t="inlineStr">
        <is>
          <t>ricerca, cap. 16 (testi ufficiali e schede UNI, 2026-10-02)</t>
        </is>
      </c>
      <c r="G334" s="10" t="inlineStr">
        <is>
          <t>da verificare</t>
        </is>
      </c>
      <c r="H334" s="10" t="inlineStr">
        <is>
          <t>—</t>
        </is>
      </c>
      <c r="I334" s="11" t="n"/>
      <c r="J334" s="11" t="n"/>
      <c r="K334" s="11" t="n"/>
      <c r="L334" s="11" t="n"/>
      <c r="M334" s="11" t="n"/>
      <c r="N334" s="11" t="n"/>
    </row>
    <row r="335" ht="82" customHeight="1">
      <c r="A335" s="10" t="n">
        <v>333</v>
      </c>
      <c r="B335" s="10" t="inlineStr">
        <is>
          <t>Collaudo: UNI 10411-11:2024, velocità, carichi e corsa variati</t>
        </is>
      </c>
      <c r="C335" s="10" t="inlineStr">
        <is>
          <t>UNI 10411-11:2024, 22 e 6.1</t>
        </is>
      </c>
      <c r="D335" s="10" t="inlineStr">
        <is>
          <t>cabina nuova sull’arcata esistente con i carichi del progetto uguali a quelli documentati: P va confermata come massa della cabina nuova completa (arcata, porte e operatore compresi); se cambia, i carichi si confrontano di nuovo con quelli documentati</t>
        </is>
      </c>
      <c r="E335" s="10" t="inlineStr">
        <is>
          <t>UNI 10411-11:2024, 22 e 6.1</t>
        </is>
      </c>
      <c r="F335" s="10" t="inlineStr">
        <is>
          <t>ricerca, cap. 16 (testi ufficiali e schede UNI, 2026-10-02)</t>
        </is>
      </c>
      <c r="G335" s="10" t="inlineStr">
        <is>
          <t>da verificare</t>
        </is>
      </c>
      <c r="H335" s="10" t="inlineStr">
        <is>
          <t>—</t>
        </is>
      </c>
      <c r="I335" s="11" t="n"/>
      <c r="J335" s="11" t="n"/>
      <c r="K335" s="11" t="n"/>
      <c r="L335" s="11" t="n"/>
      <c r="M335" s="11" t="n"/>
      <c r="N335" s="11" t="n"/>
    </row>
    <row r="336" ht="69" customHeight="1">
      <c r="A336" s="10" t="n">
        <v>334</v>
      </c>
      <c r="B336" s="10" t="inlineStr">
        <is>
          <t>Collaudo: UNI 10411-11:2024, velocità, carichi e corsa variati</t>
        </is>
      </c>
      <c r="C336" s="10" t="inlineStr">
        <is>
          <t>UNI 10411-11:2024, 6.1</t>
        </is>
      </c>
      <c r="D336" s="10" t="inlineStr">
        <is>
          <t>cabina e arcata nuove con i carichi del progetto uguali a quelli documentati: P va confermata come massa della cabina nuova completa (arcata, porte e operatore compresi); se cambia, i carichi si confrontano di nuovo con quelli documentati</t>
        </is>
      </c>
      <c r="E336" s="10" t="inlineStr">
        <is>
          <t>UNI 10411-11:2024, 6.1</t>
        </is>
      </c>
      <c r="F336" s="10" t="inlineStr">
        <is>
          <t>ricerca, cap. 16 (testi ufficiali e schede UNI, 2026-10-02)</t>
        </is>
      </c>
      <c r="G336" s="10" t="inlineStr">
        <is>
          <t>da verificare</t>
        </is>
      </c>
      <c r="H336" s="10" t="inlineStr">
        <is>
          <t>—</t>
        </is>
      </c>
      <c r="I336" s="11" t="n"/>
      <c r="J336" s="11" t="n"/>
      <c r="K336" s="11" t="n"/>
      <c r="L336" s="11" t="n"/>
      <c r="M336" s="11" t="n"/>
      <c r="N336" s="11" t="n"/>
    </row>
    <row r="337" ht="1473" customHeight="1">
      <c r="A337" s="10" t="n">
        <v>335</v>
      </c>
      <c r="B337" s="10" t="inlineStr">
        <is>
          <t>Relazione tecnica di modifica: sezioni, documenti e strutture</t>
        </is>
      </c>
      <c r="C337" s="10" t="inlineStr">
        <is>
          <t>Sezioni della relazione per le parti e i casi della modifica — i casi che portano solo punti (corsa oltre 8 m o accorciata, velocità entro i limiti, variazioni smentite dai documenti) li stampano in «Adeguamenti e adempimenti»; con la UNI 10411-11 le lettere dei punti 15 e 16 sono quelle del testo e, dove il testo non nomina il componente, la sezione cita l’intervallo del caso (6.1–6.13); le regole di decisione di modelli di terzi non sono usate</t>
        </is>
      </c>
      <c r="D337" s="10" t="inlineStr">
        <is>
          <t>una sezione entra quando una sua parte è sostituita o modificata, quando un suo caso è tra quelli che i documenti danno al calcolo, o quando il tecnico la aggiunge con un motivo; quelle portate dalla regola non si tolgono. «Quadro di manovra»: con la UNI 10411-1:2024 quadro di manovra (11.1), portata o T* oltre il prospetto 1 (6.11), velocità aumentata di oltre il 5 % sul riferimento (15.9, 15.14 e 15.15), corsa allungata (16 f)); con la UNI 10411-11:2024 quadro di manovra (11.1), T* aumentato (6.11), contrappeso aumentato (6.1–6.13), velocità cambiata (15 g) e 15 h)), corsa allungata (16 e)). «Cabina e carichi»: con la UNI 10411-1:2024 cabina (22), arcata (6.2 e 22 b)), porte di cabina: da battente a scorrevoli (13.1.1), portata o T* oltre il prospetto 1 (6.9), contrappeso oltre il prospetto 2 (6.1), T* o contrappeso diminuiti (6.1), rapporto tra i carichi appesi lato cabina e lato contrappeso cambiato (6.1), carichi indicati come variati, entro i prospetti secondo i carichi documentati (6.1), cabina nuova sull’arcata esistente, con i carichi documentati (22), cabina e arcata nuove, con i carichi documentati (6.1); con la UNI 10411-11:2024 cabina (22), arcata (6.9), porte di cabina: da battente a scorrevoli (13.1.1), T* aumentato (6.9), T* o contrappeso diminuiti (6.1), carichi indicati come variati, invariati secondo i carichi documentati (6.1), cabina nuova sull’arcata esistente, con i carichi documentati (22), cabina e arcata nuove, con i carichi documentati (6.1). «Funi di trazione»: con la UNI 10411-1:2024 funi (17), macchina (argano) (14.1), portata o T* oltre il prospetto 1 (6.8), contrappeso oltre il prospetto 2 (6.8), rapporto tra i carichi appesi lato cabina e lato contrappeso cambiato (App. D), velocità aumentata di oltre il 5 % sul riferimento (15.8), corsa allungata (16 h)); con la UNI 10411-11:2024 funi (17), macchina (argano) (14), T* aumentato (6.3), contrappeso aumentato (6.1–6.13), velocità cambiata (15 d)), corsa allungata (16 g)). «Argano»: con la UNI 10411-1:2024 macchina (argano) (14), protezioni ACOP e UCM (6.12 e 14.4 c)–d)), portata o T* oltre il prospetto 1 (6.10 e 6.12); con la UNI 10411-11:2024 macchina (argano) (14), protezioni ACOP e UCM (6.10 e 14.3 a)), T* aumentato (6.10 e 6.12), contrappeso aumentato (6.1–6.13), velocità cambiata: protezione UCM (15 i)). «Locale del macchinario» (sul percorso del locale sempre; sul progetto del vano con il locale disegnato sopra il vano): con la UNI 10411-1:2024 macchina (argano) (9.1–9.2), locale del macchinario (8); con la UNI 10411-11:2024 macchina (argano) (9.2), locale del macchinario (8). «Guide della cabina»: con la UNI 10411-1:2024 guide (4), paracadute (15.6), portata o T* oltre il prospetto 1 (6.5), contrappeso oltre il prospetto 2 (6.5), velocità aumentata di oltre il 5 % sul riferimento (15.5 e 15.6), corsa allungata (16 g)); con la UNI 10411-11:2024 guide (4.3), T* aumentato (6.5), contrappeso aumentato (6.1–6.13), velocità cambiata (15 j)), corsa allungata (16 f)). «Guide del contrappeso»: con la UNI 10411-1:2024 guide (4), contrappeso (6.13), contrappeso oltre il prospetto 2 (6.13), velocità aumentata di oltre il 5 % sul riferimento (15.7), corsa allungata (16 a)); con la UNI 10411-11:2024 guide (4.3), contrappeso (6.1), contrappeso aumentato (6.1–6.13), velocità cambiata (15 k)), corsa allungata (16 f)). «Ammortizzatori»: con la UNI 10411-1:2024 ammortizzatori (4), portata o T* oltre il prospetto 1 (6.4), contrappeso oltre il prospetto 2 (6.4), T* o contrappeso diminuiti (6.1), rapporto tra i carichi appesi lato cabina e lato contrappeso cambiato (6.1), velocità aumentata di oltre il 5 % sul riferimento (15.2), velocità ridotta di oltre il 5 % (15.2); con la UNI 10411-11:2024 ammortizzatori (4.3), T* aumentato (6.4), contrappeso aumentato (6.1–6.13), T* o contrappeso diminuiti (6.1), velocità cambiata (15 a)). «Limitatore di velocità e paracadute»: con la UNI 10411-1:2024 limitatore di velocità (18), paracadute (6.6 e 6.7), portata o T* oltre il prospetto 1 (6.6), T* o contrappeso diminuiti (6.1), velocità aumentata di oltre il 5 % sul riferimento (15.3 e 15.13), velocità ridotta di oltre il 5 % (15.17), corsa allungata (16 i)); con la UNI 10411-11:2024 limitatore di velocità (18), paracadute (6.6 e 6.7), T* aumentato (6.6), contrappeso aumentato (6.1–6.13), T* o contrappeso diminuiti (6.1), velocità cambiata (15 b) e 15 f)), corsa allungata (16 h)). «Porte di piano e di cabina»: con la UNI 10411-1:2024 porte di piano (19 e 12.2), porte di cabina (12.1 e 12.3), porte di cabina: da battente a scorrevoli (13.1.2), velocità aumentata di oltre il 5 % sul riferimento (15.10), corsa allungata (16 k)); con la UNI 10411-11:2024 porte di piano (19), porte di cabina (12.1–12.3), porte di cabina: da battente a scorrevoli (13.1.2). «Contrappeso»: con la UNI 10411-1:2024 contrappeso (6.1), contrappeso oltre il prospetto 2 (6.13), T* o contrappeso diminuiti (6.1), rapporto tra i carichi appesi lato cabina e lato contrappeso cambiato (6.1), velocità aumentata di oltre il 5 % sul riferimento (15.7), corsa allungata (16 a)); con la UNI 10411-11:2024 contrappeso (6.1), contrappeso aumentato (6.1–6.13), T* o contrappeso diminuiti (6.1). «Vano, fossa e testata» (solo sul progetto del vano): con la UNI 10411-1:2024 velocità aumentata di oltre il 5 % sul riferimento (15.11 e 15.12), corsa allungata (16 j)); con la UNI 10411-11:2024 velocità cambiata (15 e)), corsa allungata (16 i))</t>
        </is>
      </c>
      <c r="E337" s="10" t="inlineStr">
        <is>
          <t>UNI 10411-1:2024 e UNI 10411-11:2024, i punti indicati per ciascuna parte e ciascun caso</t>
        </is>
      </c>
      <c r="F337" s="10" t="inlineStr">
        <is>
          <t>lettura del software dei punti per parte e per caso del registro (UNI 10411-1:2024, testo della norma, letto il 2026-10-06, pp. 6–21; UNI 10411-11:2024, testo della norma, letto il 2026-10-06, pp. 7–14); risposte dell’esperto di norme del 2026-10-21</t>
        </is>
      </c>
      <c r="G337" s="10" t="inlineStr">
        <is>
          <t>derivazione</t>
        </is>
      </c>
      <c r="H337" s="10" t="inlineStr">
        <is>
          <t>—</t>
        </is>
      </c>
      <c r="I337" s="11" t="n"/>
      <c r="J337" s="11" t="n"/>
      <c r="K337" s="11" t="n"/>
      <c r="L337" s="11" t="n"/>
      <c r="M337" s="11" t="n"/>
      <c r="N337" s="11" t="n"/>
    </row>
    <row r="338" ht="1018" customHeight="1">
      <c r="A338" s="10" t="n">
        <v>336</v>
      </c>
      <c r="B338" s="10" t="inlineStr">
        <is>
          <t>Relazione tecnica di modifica: sezioni, documenti e strutture</t>
        </is>
      </c>
      <c r="C338" s="10" t="inlineStr">
        <is>
          <t>Documenti attesi della relazione — quale file è quale documento è una scelta del software (tipo e componente) o del tecnico; per i componenti di aziende con qualità totale vale anche il documento analogo al certificato d’esame del tipo</t>
        </is>
      </c>
      <c r="D338" s="10" t="inlineStr">
        <is>
          <t>Schema elettrico del quadro di manovra: quadro nuovo (UNI 10411-1:2024, App. C (11.1); UNI 10411-11:2024, App. A (11.1)); Dichiarazioni e certificati dei dispositivi elettrici di sicurezza del quadro: quadro nuovo (UNI 10411-1:2024, App. C (11.1); UNI 10411-11:2024, App. A (11.1)); Dati e dichiarazioni del costruttore della macchina: macchina nuova (UNI 10411-1:2024, App. C (14); UNI 10411-11:2024, App. A (14)); Relazione sulla taratura del variatore di frequenza per la velocità dichiarata: con la UNI 10411-1 macchina o quadro nuovi, con la UNI 10411-11 quadro nuovo (UNI 10411-1:2024, App. C (14) e (11.1); UNI 10411-11:2024, App. A (11.1)); Certificati delle funi di trazione: funi nuove (UNI 10411-1:2024, 17.1 e App. C (17); UNI 10411-11:2024, App. A (17)); Dichiarazione UE del limitatore di velocità: limitatore nuovo (UNI 10411-1:2024, App. C (18); UNI 10411-11:2024, App. A (18)); Certificato d’esame UE del tipo del limitatore di velocità: limitatore nuovo; con la UNI 10411-1 anche il limitatore che resta, con la velocità aumentata (UNI 10411-1:2024, 15.13, App. C (15, 18); UNI 10411-11:2024, App. A (18)); Certificato della fune del limitatore: limitatore nuovo o corsa allungata (UNI 10411-1:2024, 16 i) e 18; UNI 10411-11:2024, App. A (16 h) e 18)); Certificato d’esame UE del tipo e dichiarazione del paracadute: paracadute nuovo; con la UNI 10411-1 anche il paracadute che resta, con la portata o T* oltre il prospetto 1 o la velocità aumentata, e quello a presa progressiva con T* o contrappeso diminuiti (UNI 10411-1:2024, 6.1, 6.6, 6.7, 15.3 e App. C (6, 15); UNI 10411-11:2024, 6.6, 6.7 e App. A (6, 15 b))); Certificati d’esame UE del tipo e dichiarazioni dei dispositivi ACOP e UCM: protezioni ACOP e UCM nuove; con la UNI 10411-1 anche con la portata o T* oltre il prospetto 1 o la velocità aumentata (UNI 10411-1:2024, 6.12, 15.4 e App. C (6, 14, 15); UNI 10411-11:2024, 6.10, 15 c) e App. A (6, 14, 15)); Certificato d’esame del tipo e dichiarazione degli ammortizzatori non lineari o idraulici: sezione degli ammortizzatori nella relazione, con ammortizzatori in poliuretano o idraulici (quelli a molla: il calcolo è la sezione stessa) (UNI 10411-1:2024, App. C (6.4, 15.2); UNI 10411-11:2024, App. A (6.4, 15 a))); Certificati d’esame del tipo delle serrature di piano: porte di piano o serrature nuove (UNI 10411-1:2024, 12.2 e App. C (12, 19); UNI 10411-11:2024, App. A (12, 19)); Porte di piano resistenti al fuoco: certificato della classe: porte di piano nuove dove la porta esistente o quella nuova ha una classe di resistenza al fuoco (UNI 10411-1:2024, 19.2 e App. C (19); UNI 10411-11:2024, 19 e App. A (19)); Dichiarazione del proprietario sull’idoneità delle strutture dell’edificio: secondo la regola delle strutture (voce relazione.strutture) (UNI 10411-1:2024, 5 e App. C (5); UNI 10411-11:2024, 5 e App. A (5)); Dichiarazione di idoneità degli ancoraggi delle guide al vano: sezione delle guide di cabina o del contrappeso nella relazione (UNI 10411-1:2024, App. C (6.5, 15.5); UNI 10411-11:2024, App. A (6.5, 16 f))); Attestazione del dispositivo di allarme di emergenza (UNI EN 81-28): allarme nuovo; con la UNI 10411-1 anche con il quadro nuovo (UNI 10411-1:2024, 23 e App. C (11.1, 23); UNI 10411-11:2024, 23 e App. A (23)); Copia del libretto o dell’ultimo verbale di verifica: sempre (consigliato) (UNI 10411-1:2024, App. C (dati generali); UNI 10411-11:2024, App. A (dati generali)). Un documento è allegato quando il tecnico ne sceglie il file, o quando un solo documento atteso aperto ha il tipo e il componente di un file della relazione; altrimenti «da allegare ⚠», senza bloccare l’emissione; gli ammortizzatori a molla non chiedono un file: il loro calcolo è la sezione</t>
        </is>
      </c>
      <c r="E338" s="10" t="inlineStr">
        <is>
          <t>UNI 10411-1:2024, appendice C; UNI 10411-11:2024, appendice A</t>
        </is>
      </c>
      <c r="F338" s="10" t="inlineStr">
        <is>
          <t>UNI 10411-1:2024, testo della norma, letto il 2026-10-06, pp. 27–32; UNI 10411-11:2024, testo della norma, letto il 2026-10-06, pp. 17–21</t>
        </is>
      </c>
      <c r="G338" s="10" t="inlineStr">
        <is>
          <t>derivazione</t>
        </is>
      </c>
      <c r="H338" s="10" t="inlineStr">
        <is>
          <t>—</t>
        </is>
      </c>
      <c r="I338" s="11" t="n"/>
      <c r="J338" s="11" t="n"/>
      <c r="K338" s="11" t="n"/>
      <c r="L338" s="11" t="n"/>
      <c r="M338" s="11" t="n"/>
      <c r="N338" s="11" t="n"/>
    </row>
    <row r="339" ht="238" customHeight="1">
      <c r="A339" s="10" t="n">
        <v>337</v>
      </c>
      <c r="B339" s="10" t="inlineStr">
        <is>
          <t>Relazione tecnica di modifica: sezioni, documenti e strutture</t>
        </is>
      </c>
      <c r="C339" s="10" t="inlineStr">
        <is>
          <t>Strutture dell’edificio — se una macchina nuova aumenti o sposti le forze sulle strutture lo giudica il tecnico: la relazione gli chiede la risposta</t>
        </is>
      </c>
      <c r="D339" s="10" t="inlineStr">
        <is>
          <t>con la UNI 10411-1 la dichiarazione del proprietario sull’idoneità delle strutture è richiesta con la portata o T* oltre il prospetto 1 (6.3); con la macchina nuova, le apparecchiature del locale spostate o aggiunte o la disposizione cambiata il tecnico dice se le forze sulle strutture aumentano o si spostano in modo sfavorevole (5, 9.1, App. C (14)): sì, la dichiarazione è richiesta; no, la relazione stampa la sua dichiarazione; con il contrappeso oltre il prospetto 2 il tecnico dice se la dichiarazione è pertinente (App. C (6)); con la UNI 10411-11 una variazione dei carichi oltre il 10 %, anche sommata alle modifiche precedenti, la richiede e fino a lì il punto 5 non si applica (6.2). Senza una di queste strade la relazione dice che nessun caso richiama il punto 5: mai una dichiarazione di «nessuna variazione significativa»</t>
        </is>
      </c>
      <c r="E339" s="10" t="inlineStr">
        <is>
          <t>UNI 10411-1:2024, 5, 6.3, 9.1, App. C (5), (6) e (14); UNI 10411-11:2024, 5 e 6.2</t>
        </is>
      </c>
      <c r="F339" s="10" t="inlineStr">
        <is>
          <t>UNI 10411-1:2024, testo della norma, letto il 2026-10-06, pp. 6, 7, 9, 27 e 30; UNI 10411-11:2024, testo della norma, letto il 2026-10-06, pp. 7–8; risposte dell’esperto di norme del 2026-10-21</t>
        </is>
      </c>
      <c r="G339" s="10" t="inlineStr">
        <is>
          <t>confermato</t>
        </is>
      </c>
      <c r="H339" s="10" t="inlineStr">
        <is>
          <t>—</t>
        </is>
      </c>
      <c r="I339" s="11" t="n"/>
      <c r="J339" s="11" t="n"/>
      <c r="K339" s="11" t="n"/>
      <c r="L339" s="11" t="n"/>
      <c r="M339" s="11" t="n"/>
      <c r="N339" s="11" t="n"/>
    </row>
    <row r="340" ht="121" customHeight="1">
      <c r="A340" s="10" t="n">
        <v>338</v>
      </c>
      <c r="B340" s="10" t="inlineStr">
        <is>
          <t>Relazione tecnica di modifica: sezioni, documenti e strutture</t>
        </is>
      </c>
      <c r="C340" s="10" t="inlineStr">
        <is>
          <t>Testata e fossa con la velocità o la corsa cambiate — la tabella dell’ambito dell’esame (relazione di calcolo, progetto dell’ascensore) porta queste tre verifiche con meno parti: allinearla sposta le versioni dei motori, decisione del titolare</t>
        </is>
      </c>
      <c r="D340" s="10" t="inlineStr">
        <is>
          <t>con la velocità aumentata o cambiata e con la corsa allungata gli spazi liberi in testata e in fossa seguono la UNI EN 81-20 5.2.5.7 e 5.2.5.8 per intero: nella sezione «Vano, fossa e testata» anche la traversa dell’arcata sotto il soffitto (5.2.5.7.2), il posto in piedi sul tetto (5.2.5.7.1 e 5.2.5.7.3) e la posizione degli ammortizzatori rispetto al rifugio in fossa (5.2.5.8.1) sono verifiche richieste dalla modifica</t>
        </is>
      </c>
      <c r="E340" s="10" t="inlineStr">
        <is>
          <t>UNI 10411-1:2024, 15.11 e 16 j); UNI 10411-11:2024, 15 e) e 16 i); UNI EN 81-20:2020, 5.2.5.7 e 5.2.5.8</t>
        </is>
      </c>
      <c r="F340" s="10" t="inlineStr">
        <is>
          <t>UNI 10411-1:2024, testo della norma, letto il 2026-10-06, pp. 15–16; UNI 10411-11:2024, testo della norma, letto il 2026-10-06, pp. 12–13</t>
        </is>
      </c>
      <c r="G340" s="10" t="inlineStr">
        <is>
          <t>confermato</t>
        </is>
      </c>
      <c r="H340" s="10" t="inlineStr">
        <is>
          <t>—</t>
        </is>
      </c>
      <c r="I340" s="11" t="n"/>
      <c r="J340" s="11" t="n"/>
      <c r="K340" s="11" t="n"/>
      <c r="L340" s="11" t="n"/>
      <c r="M340" s="11" t="n"/>
      <c r="N340" s="11" t="n"/>
    </row>
    <row r="341" ht="225" customHeight="1">
      <c r="A341" s="10" t="n">
        <v>339</v>
      </c>
      <c r="B341" s="10" t="inlineStr">
        <is>
          <t>Relazione tecnica di modifica: dati dell’impianto</t>
        </is>
      </c>
      <c r="C341" s="10" t="inlineStr">
        <is>
          <t>Legge di approvazione dell’impianto — gli anni sono una stima del software: la data di un atto non è quella da cui gli impianti dovevano seguirlo; gli atti e il loro campo sono letti, il DPR 268/1994 era nominato per gli ascensori elettrici nello scopo delle edizioni della UNI 10411-1 fino a quella del 2008</t>
        </is>
      </c>
      <c r="D341" s="10" t="inlineStr">
        <is>
          <t>D.Lgt. 600/1945, UNI 10411-1: derivato con l’impianto installato dal 1945 al 1962; DPR 1497/1963, UNI 10411-1: derivato con l’impianto installato dal 1963 al 1987; DM 587/1987, UNI 10411-1: derivato con l’impianto installato dal 1988 al 1998; DPR 268/1994, UNI 10411-1: mai derivato dall’anno (non più citato nello scopo della UNI 10411-1 dal 2013); DPR 162/1999 (marcatura CE), UNI 10411-11: con la marcatura CE del calcolo; installato prima del 1945 o nel 1999 (la marcatura CE dal 01/07/1999): nessuna derivazione, lo sceglie il tecnico; il DM 1635/1979 non è offerto (ascensori a vite, a cremagliera e idraulici). Il regime derivato è stampato «derivato dall’anno, da confermare ⚠»; l’emissione chiede un regime scelto, o derivato e confermato sul libretto, ammesso dalla parte della UNI 10411 del calcolo</t>
        </is>
      </c>
      <c r="E341" s="10" t="inlineStr">
        <is>
          <t>UNI 10411-1:2024, 1, 15.17 e 18; UNI 10411-11:2024, 1; DPR 162/1999, art. 19</t>
        </is>
      </c>
      <c r="F341" s="10" t="inlineStr">
        <is>
          <t>UNI 10411-1:2024, testo della norma, letto il 2026-10-06, pp. 5, 15 e 17; UNI 10411-11:2024, testo della norma, letto il 2026-10-06, p. 5; risposte dell’esperto di norme del 2026-10-21</t>
        </is>
      </c>
      <c r="G341" s="10" t="inlineStr">
        <is>
          <t>scelta del software</t>
        </is>
      </c>
      <c r="H341" s="10" t="inlineStr">
        <is>
          <t>—</t>
        </is>
      </c>
      <c r="I341" s="11" t="n"/>
      <c r="J341" s="11" t="n"/>
      <c r="K341" s="11" t="n"/>
      <c r="L341" s="11" t="n"/>
      <c r="M341" s="11" t="n"/>
      <c r="N341" s="11" t="n"/>
    </row>
    <row r="342" ht="121" customHeight="1">
      <c r="A342" s="10" t="n">
        <v>340</v>
      </c>
      <c r="B342" s="10" t="inlineStr">
        <is>
          <t>Relazione tecnica di modifica: quadro di manovra</t>
        </is>
      </c>
      <c r="C342" s="10" t="inlineStr">
        <is>
          <t>Tensioni del quadro nuovo e dei contatti delle serrature — le tensioni sono dati del quadro con la loro fonte; senza il dato la verifica stampa «Dati mancanti ⚠» e un punto da verificare in sito; i contatti delle serrature solo con la UNI 10411-1 (con la UNI 10411-11 il punto 11.1.2 elenca le deroghe, non questa regola)</t>
        </is>
      </c>
      <c r="D342" s="10" t="inlineStr">
        <is>
          <t>con il quadro nuovo i circuiti di comando e di sicurezza non oltre 250 V (valore medio in corrente continua, efficace in alternata); tenendo la parte elettrica esistente perché compatibile e con i conduttori contrassegnati, i contatti delle serrature di piano esistenti accessibili al dito di prova non oltre 25 V in corrente alternata o 50 V in continua</t>
        </is>
      </c>
      <c r="E342" s="10" t="inlineStr">
        <is>
          <t>UNI EN 81-20:2020, 5.10.1.3.2; UNI 10411-1:2024, 11.1.2</t>
        </is>
      </c>
      <c r="F342" s="10" t="inlineStr">
        <is>
          <t>UNI EN 81-20:2020, testo della norma, letto il 2026-10-06, p. 115; UNI 10411-1:2024, testo della norma, letto il 2026-10-06, p. 10</t>
        </is>
      </c>
      <c r="G342" s="10" t="inlineStr">
        <is>
          <t>confermato</t>
        </is>
      </c>
      <c r="H342" s="10" t="inlineStr">
        <is>
          <t>quadro nuovo: tensione dei circuiti di comando e di sicurezza; quadro nuovo: tensione dei contatti delle serrature di piano esistenti</t>
        </is>
      </c>
      <c r="I342" s="11" t="n"/>
      <c r="J342" s="11" t="n"/>
      <c r="K342" s="11" t="n"/>
      <c r="L342" s="11" t="n"/>
      <c r="M342" s="11" t="n"/>
      <c r="N342" s="11" t="n"/>
    </row>
    <row r="343" ht="95" customHeight="1">
      <c r="A343" s="10" t="n">
        <v>341</v>
      </c>
      <c r="B343" s="10" t="inlineStr">
        <is>
          <t>Relazione tecnica di modifica: cabina e carichi</t>
        </is>
      </c>
      <c r="C343" s="10" t="inlineStr">
        <is>
          <t>Cabina che resta con la portata cambiata — entro il limite la riga è un’informazione, mai «Soddisfatta»: la norma non la chiede</t>
        </is>
      </c>
      <c r="D343" s="10" t="inlineStr">
        <is>
          <t>la superficie utile documentata della cabina che resta si confronta con la massima del prospetto 6 per la nuova portata (voce vano.cabina.superficie): con la portata aumentata il limite cresce; con la portata ridotta la cabina esistente può superarlo e la relazione lo segnala come attenzione, mai come esito negativo</t>
        </is>
      </c>
      <c r="E343" s="10" t="inlineStr">
        <is>
          <t>UNI EN 81-20:2020, 5.4.2.1 (prospetto 6; lettura del software: la UNI 10411 non la chiede per la cabina che resta)</t>
        </is>
      </c>
      <c r="F343" s="10" t="inlineStr">
        <is>
          <t>risposte dell’esperto di norme del 2026-10-21: la UNI 10411-1 non chiede questa verifica per la cabina che resta</t>
        </is>
      </c>
      <c r="G343" s="10" t="inlineStr">
        <is>
          <t>scelta del software</t>
        </is>
      </c>
      <c r="H343" s="10" t="inlineStr">
        <is>
          <t>cabina che resta: superficie utile per la nuova portata</t>
        </is>
      </c>
      <c r="I343" s="11" t="n"/>
      <c r="J343" s="11" t="n"/>
      <c r="K343" s="11" t="n"/>
      <c r="L343" s="11" t="n"/>
      <c r="M343" s="11" t="n"/>
      <c r="N343" s="11" t="n"/>
    </row>
    <row r="344" ht="160" customHeight="1">
      <c r="A344" s="10" t="n">
        <v>342</v>
      </c>
      <c r="B344" s="10" t="inlineStr">
        <is>
          <t>Relazione tecnica di modifica: guide</t>
        </is>
      </c>
      <c r="C344" s="10" t="inlineStr">
        <is>
          <t>Guide esistenti: acciaio e allungamento — λ sotto 20: ω di λ 20 come per l’acciaio Rm 370; λ oltre 250 non verificabile; l’allungamento non dato è preso oltre 12 % e stampato come ipotesi</t>
        </is>
      </c>
      <c r="D344" s="10" t="inlineStr">
        <is>
          <t>acciaio con Rm tra 370 e 520 N/mm² (fuori la verifica non si fa: il metodo omega non lo copre); Rm 520: ω = 0,0000824·λ^2,06 + 1,021 fino a λ 50, 0,00001895·λ^2,41 + 1,05 fino a 70, 0,00002447·λ^2,36 + 1,03 fino a 89, 0,0002533·λ^2 fino a 250; tra 370 e 520 ω si interpola linearmente tra quello di 370 (voce vano.guide.verifica) e quello di 520; Rm non dato: 370, il più basso (scelta del software); allungamento A5 da 8 a 12 %: St = 3,75 in servizio normale e 3,0 all’intervento del paracadute (oltre 12 %: 2,25 e 1,8); sotto 8 % il materiale non è ammesso</t>
        </is>
      </c>
      <c r="E344" s="10" t="inlineStr">
        <is>
          <t>UNI EN 81-50:2020, 5.10.3; UNI EN 81-20:2020, 5.7.4.5 (prospetto 15)</t>
        </is>
      </c>
      <c r="F344" s="10" t="inlineStr">
        <is>
          <t>UNI EN 81-50:2020, testo della norma, letto il 2026-10-06, p. 37; UNI EN 81-20:2020, testo della norma, letto il 2026-10-06, pp. 96–97</t>
        </is>
      </c>
      <c r="G344" s="10" t="inlineStr">
        <is>
          <t>confermato</t>
        </is>
      </c>
      <c r="H344" s="10" t="inlineStr">
        <is>
          <t>—</t>
        </is>
      </c>
      <c r="I344" s="11" t="n"/>
      <c r="J344" s="11" t="n"/>
      <c r="K344" s="11" t="n"/>
      <c r="L344" s="11" t="n"/>
      <c r="M344" s="11" t="n"/>
      <c r="N344" s="11" t="n"/>
    </row>
    <row r="345" ht="108" customHeight="1">
      <c r="A345" s="10" t="n">
        <v>343</v>
      </c>
      <c r="B345" s="10" t="inlineStr">
        <is>
          <t>Relazione tecnica di modifica: guide</t>
        </is>
      </c>
      <c r="C345" s="10" t="inlineStr">
        <is>
          <t>Punto di sospensione della cabina nelle forze sulle guide</t>
        </is>
      </c>
      <c r="D345" s="10" t="inlineStr">
        <is>
          <t>in marcia e al carico al piano le forze sulle guide si calcolano rispetto al punto di sospensione (xS, yS): non dato, sull’asse delle guide (con il centro della cabina sullo stesso asse, scelta del software stampata come ipotesi); con l’arcata a zaino il centro della cabina e il punto di sospensione vanno inseriti; all’intervento del paracadute il punto di sospensione non entra</t>
        </is>
      </c>
      <c r="E345" s="10" t="inlineStr">
        <is>
          <t>UNI EN 81-20:2020, 5.7.2.3.1; UNI EN 81-50:2020, appendice C</t>
        </is>
      </c>
      <c r="F345" s="10" t="inlineStr">
        <is>
          <t>UNI EN 81-20:2020, testo della norma, letto il 2026-10-06, p. 94; UNI EN 81-50:2020, testo della norma, letto il 2026-10-06, pp. 77–78</t>
        </is>
      </c>
      <c r="G345" s="10" t="inlineStr">
        <is>
          <t>scelta del software</t>
        </is>
      </c>
      <c r="H345" s="10" t="inlineStr">
        <is>
          <t>—</t>
        </is>
      </c>
      <c r="I345" s="11" t="n"/>
      <c r="J345" s="11" t="n"/>
      <c r="K345" s="11" t="n"/>
      <c r="L345" s="11" t="n"/>
      <c r="M345" s="11" t="n"/>
      <c r="N345" s="11" t="n"/>
    </row>
    <row r="346" ht="56" customHeight="1">
      <c r="A346" s="10" t="n">
        <v>344</v>
      </c>
      <c r="B346" s="10" t="inlineStr">
        <is>
          <t>Relazione tecnica di modifica: guide</t>
        </is>
      </c>
      <c r="C346" s="10" t="inlineStr">
        <is>
          <t>Spinta delle staffe sulle guide (Fp)</t>
        </is>
      </c>
      <c r="D346" s="10" t="inlineStr">
        <is>
          <t>la spinta delle staffe per l’assestamento dell’edificio è trascurata con la corsa fino a 40 m; oltre, la verifica è un’attenzione e Fp va dato dal progettista</t>
        </is>
      </c>
      <c r="E346" s="10" t="inlineStr">
        <is>
          <t>UNI EN 81-20:2020, 5.7.2.3.5</t>
        </is>
      </c>
      <c r="F346" s="10" t="inlineStr">
        <is>
          <t>UNI EN 81-20:2020, testo della norma, letto il 2026-10-06, pp. 94–95</t>
        </is>
      </c>
      <c r="G346" s="10" t="inlineStr">
        <is>
          <t>confermato</t>
        </is>
      </c>
      <c r="H346" s="10" t="inlineStr">
        <is>
          <t>—</t>
        </is>
      </c>
      <c r="I346" s="11" t="n"/>
      <c r="J346" s="11" t="n"/>
      <c r="K346" s="11" t="n"/>
      <c r="L346" s="11" t="n"/>
      <c r="M346" s="11" t="n"/>
      <c r="N346" s="11" t="n"/>
    </row>
    <row r="347" ht="82" customHeight="1">
      <c r="A347" s="10" t="n">
        <v>345</v>
      </c>
      <c r="B347" s="10" t="inlineStr">
        <is>
          <t>Relazione tecnica di modifica: guide</t>
        </is>
      </c>
      <c r="C347" s="10" t="inlineStr">
        <is>
          <t>Flessione della suola con pattini a strisciamento</t>
        </is>
      </c>
      <c r="D347" s="10" t="inlineStr">
        <is>
          <t>con pattini a rulli la flessione della suola si verifica (σF = 1,85·Fx/c², voce vano.guide.verifica); con pattini a strisciamento la formula chiede le misure della guarnizione del pattino, che il software non ha: la riga stampa «non calcolata» e un punto da verificare</t>
        </is>
      </c>
      <c r="E347" s="10" t="inlineStr">
        <is>
          <t>UNI EN 81-50:2020, 5.10.5</t>
        </is>
      </c>
      <c r="F347" s="10" t="inlineStr">
        <is>
          <t>UNI EN 81-50:2020, testo della norma, letto il 2026-10-06, p. 38</t>
        </is>
      </c>
      <c r="G347" s="10" t="inlineStr">
        <is>
          <t>scelta del software</t>
        </is>
      </c>
      <c r="H347" s="10" t="inlineStr">
        <is>
          <t>—</t>
        </is>
      </c>
      <c r="I347" s="11" t="n"/>
      <c r="J347" s="11" t="n"/>
      <c r="K347" s="11" t="n"/>
      <c r="L347" s="11" t="n"/>
      <c r="M347" s="11" t="n"/>
      <c r="N347" s="11" t="n"/>
    </row>
    <row r="348" ht="95" customHeight="1">
      <c r="A348" s="10" t="n">
        <v>346</v>
      </c>
      <c r="B348" s="10" t="inlineStr">
        <is>
          <t>Relazione tecnica di modifica: guide</t>
        </is>
      </c>
      <c r="C348" s="10" t="inlineStr">
        <is>
          <t>Guide del contrappeso in marcia</t>
        </is>
      </c>
      <c r="D348" s="10" t="inlineStr">
        <is>
          <t>forze sulle guide con k2 = 1,2 e la massa del contrappeso spostata dal centro del 5 % della larghezza e del 10 % della profondità; σm e σm + Fv/A non oltre Rm/St con St in servizio normale; freccia non oltre 10 mm senza paracadute del contrappeso, 5 mm con il paracadute (all’intervento: voce vano.guide.contrappeso)</t>
        </is>
      </c>
      <c r="E348" s="10" t="inlineStr">
        <is>
          <t>UNI EN 81-20:2020, 5.7.2.3.3, 5.7.4.5 e 5.7.4.6; UNI EN 81-50:2020, 5.10</t>
        </is>
      </c>
      <c r="F348" s="10" t="inlineStr">
        <is>
          <t>UNI EN 81-20:2020, testo della norma, letto il 2026-10-06, pp. 94–97</t>
        </is>
      </c>
      <c r="G348" s="10" t="inlineStr">
        <is>
          <t>confermato</t>
        </is>
      </c>
      <c r="H348" s="10" t="inlineStr">
        <is>
          <t>guide del contrappeso in marcia</t>
        </is>
      </c>
      <c r="I348" s="11" t="n"/>
      <c r="J348" s="11" t="n"/>
      <c r="K348" s="11" t="n"/>
      <c r="L348" s="11" t="n"/>
      <c r="M348" s="11" t="n"/>
      <c r="N348" s="11" t="n"/>
    </row>
    <row r="349" ht="95" customHeight="1">
      <c r="A349" s="10" t="n">
        <v>347</v>
      </c>
      <c r="B349" s="10" t="inlineStr">
        <is>
          <t>Relazione tecnica di modifica: ammortizzatori</t>
        </is>
      </c>
      <c r="C349" s="10" t="inlineStr">
        <is>
          <t>Ammortizzatori a molla: forza a corsa completa — la norma dice «tra» senza dire degli estremi: compresi, scelta del software da confermare; senza la forza la verifica stampa «Dati mancanti ⚠» e un punto da verificare con la scheda del costruttore</t>
        </is>
      </c>
      <c r="D349" s="10" t="inlineStr">
        <is>
          <t>la forza a corsa completa (dato del costruttore) tra 2,5 e 4 volte il peso che grava su ciascun ammortizzatore — (P + Q)/n per la cabina, Mcw/n per il contrappeso —, estremi compresi</t>
        </is>
      </c>
      <c r="E349" s="10" t="inlineStr">
        <is>
          <t>UNI EN 81-20:2020, 5.8.2.1.1.2</t>
        </is>
      </c>
      <c r="F349" s="10" t="inlineStr">
        <is>
          <t>UNI EN 81-20:2020, testo della norma, letto il 2026-10-06, p. 98</t>
        </is>
      </c>
      <c r="G349" s="10" t="inlineStr">
        <is>
          <t>confermato</t>
        </is>
      </c>
      <c r="H349" s="10" t="inlineStr">
        <is>
          <t>ammortizzatori a molla: forza a corsa completa</t>
        </is>
      </c>
      <c r="I349" s="11" t="n"/>
      <c r="J349" s="11" t="n"/>
      <c r="K349" s="11" t="n"/>
      <c r="L349" s="11" t="n"/>
      <c r="M349" s="11" t="n"/>
      <c r="N349" s="11" t="n"/>
    </row>
    <row r="350" ht="69" customHeight="1">
      <c r="A350" s="10" t="n">
        <v>348</v>
      </c>
      <c r="B350" s="10" t="inlineStr">
        <is>
          <t>Relazione tecnica di modifica: ammortizzatori</t>
        </is>
      </c>
      <c r="C350" s="10" t="inlineStr">
        <is>
          <t>Ammortizzatori in poliuretano e idraulici: velocità d’urto</t>
        </is>
      </c>
      <c r="D350" s="10" t="inlineStr">
        <is>
          <t>1,15 volte la velocità nominale dopo la modifica non oltre la velocità d’urto massima del certificato d’esame del tipo</t>
        </is>
      </c>
      <c r="E350" s="10" t="inlineStr">
        <is>
          <t>UNI EN 81-20:2020, 5.8.2.1.2.1 e 5.8.2.2.3; UNI EN 81-50:2020, 5.5.4</t>
        </is>
      </c>
      <c r="F350" s="10" t="inlineStr">
        <is>
          <t>UNI EN 81-20:2020, testo della norma, letto il 2026-10-06, pp. 98–99; UNI EN 81-50:2020, testo della norma, letto il 2026-10-06, p. 24</t>
        </is>
      </c>
      <c r="G350" s="10" t="inlineStr">
        <is>
          <t>confermato</t>
        </is>
      </c>
      <c r="H350" s="10" t="inlineStr">
        <is>
          <t>ammortizzatori in poliuretano e idraulici: velocità d’urto del certificato</t>
        </is>
      </c>
      <c r="I350" s="11" t="n"/>
      <c r="J350" s="11" t="n"/>
      <c r="K350" s="11" t="n"/>
      <c r="L350" s="11" t="n"/>
      <c r="M350" s="11" t="n"/>
      <c r="N350" s="11" t="n"/>
    </row>
    <row r="351" ht="95" customHeight="1">
      <c r="A351" s="10" t="n">
        <v>349</v>
      </c>
      <c r="B351" s="10" t="inlineStr">
        <is>
          <t>Relazione tecnica di modifica: ammortizzatori</t>
        </is>
      </c>
      <c r="C351" s="10" t="inlineStr">
        <is>
          <t>Ammortizzatori in poliuretano e idraulici: masse del certificato — il certificato dà la massa minima e la massima; che vi rientri anche la cabina vuota è una lettura del software (la cabina vuota può urtare l’ammortizzatore), non scritta nella norma</t>
        </is>
      </c>
      <c r="D351" s="10" t="inlineStr">
        <is>
          <t>la massa su ciascun ammortizzatore entro il campo minimo–massimo del certificato d’esame del tipo: cabina a pieno carico (P + Q)/n e cabina vuota P/n, contrappeso Mcw/n</t>
        </is>
      </c>
      <c r="E351" s="10" t="inlineStr">
        <is>
          <t>UNI EN 81-50:2020, 5.5.4; UNI EN 81-20:2020, 5.8.2.1.2.1 e 5.8.2.2.3</t>
        </is>
      </c>
      <c r="F351" s="10" t="inlineStr">
        <is>
          <t>UNI EN 81-50:2020, testo della norma, letto il 2026-10-06, p. 24; UNI EN 81-20:2020, testo della norma, letto il 2026-10-06, pp. 98–99; risposte dell’esperto di norme del 2026-10-21</t>
        </is>
      </c>
      <c r="G351" s="10" t="inlineStr">
        <is>
          <t>scelta del software</t>
        </is>
      </c>
      <c r="H351" s="10" t="inlineStr">
        <is>
          <t>ammortizzatori in poliuretano e idraulici: masse del certificato</t>
        </is>
      </c>
      <c r="I351" s="11" t="n"/>
      <c r="J351" s="11" t="n"/>
      <c r="K351" s="11" t="n"/>
      <c r="L351" s="11" t="n"/>
      <c r="M351" s="11" t="n"/>
      <c r="N351" s="11" t="n"/>
    </row>
    <row r="352" ht="82" customHeight="1">
      <c r="A352" s="10" t="n">
        <v>350</v>
      </c>
      <c r="B352" s="10" t="inlineStr">
        <is>
          <t>Relazione tecnica di modifica: limitatore di velocità e paracadute</t>
        </is>
      </c>
      <c r="C352" s="10" t="inlineStr">
        <is>
          <t>Velocità d’intervento di targa del limitatore — con la velocità ridotta (UNI 10411-1, 15.17) e con il limitatore nuovo (18) vale anche il limite della norma in vigore all’installazione: voce limitatore.origine</t>
        </is>
      </c>
      <c r="D352" s="10" t="inlineStr">
        <is>
          <t>almeno 1,15 volte la velocità nominale e sotto il limite del paracadute: 0,80 m/s con presa istantanea, 1 m/s istantanea a rullo, 1,5 m/s progressiva fino a 1 m/s di velocità nominale, 1,25·v + 0,25/v oltre (voce vano.limitatore.scatto)</t>
        </is>
      </c>
      <c r="E352" s="10" t="inlineStr">
        <is>
          <t>UNI EN 81-20:2020, 5.6.2.2.1.1 a) e 5.6.2.2.1.8 d)</t>
        </is>
      </c>
      <c r="F352" s="10" t="inlineStr">
        <is>
          <t>UNI EN 81-20:2020, testo della norma, letto il 2026-10-06, pp. 82 e 84</t>
        </is>
      </c>
      <c r="G352" s="10" t="inlineStr">
        <is>
          <t>confermato</t>
        </is>
      </c>
      <c r="H352" s="10" t="inlineStr">
        <is>
          <t>limitatore: velocità d’intervento di targa</t>
        </is>
      </c>
      <c r="I352" s="11" t="n"/>
      <c r="J352" s="11" t="n"/>
      <c r="K352" s="11" t="n"/>
      <c r="L352" s="11" t="n"/>
      <c r="M352" s="11" t="n"/>
      <c r="N352" s="11" t="n"/>
    </row>
    <row r="353" ht="108" customHeight="1">
      <c r="A353" s="10" t="n">
        <v>351</v>
      </c>
      <c r="B353" s="10" t="inlineStr">
        <is>
          <t>Relazione tecnica di modifica: limitatore di velocità e paracadute</t>
        </is>
      </c>
      <c r="C353" s="10" t="inlineStr">
        <is>
          <t>Limite d’intervento della norma in vigore all’installazione — il software non conosce i limiti di questi atti e non li prende da altre norme: senza il valore e la sua fonte la verifica stampa «Dati mancanti ⚠»</t>
        </is>
      </c>
      <c r="D353" s="10" t="inlineStr">
        <is>
          <t>con la UNI 10411-1, velocità ridotta oltre il 5 % (15.17) o limitatore nuovo (18): la velocità d’intervento di targa non oltre il limite della norma in vigore alla data di installazione, sempre dato del tecnico con la sua fonte (gli impianti senza marcatura CE seguivano, in successione, il D.Lgt. 600/1945, il DPR 1497/1963 e il DM 587/1987: il valore va letto sul testo dell’atto)</t>
        </is>
      </c>
      <c r="E353" s="10" t="inlineStr">
        <is>
          <t>UNI 10411-1:2024, 15.17 e 18</t>
        </is>
      </c>
      <c r="F353" s="10" t="inlineStr">
        <is>
          <t>UNI 10411-1:2024, testo della norma, letto il 2026-10-06, pp. 15 e 17; risposte dell’esperto di norme del 2026-10-21</t>
        </is>
      </c>
      <c r="G353" s="10" t="inlineStr">
        <is>
          <t>confermato</t>
        </is>
      </c>
      <c r="H353" s="10" t="inlineStr">
        <is>
          <t>limitatore: limite della norma in vigore all’installazione</t>
        </is>
      </c>
      <c r="I353" s="11" t="n"/>
      <c r="J353" s="11" t="n"/>
      <c r="K353" s="11" t="n"/>
      <c r="L353" s="11" t="n"/>
      <c r="M353" s="11" t="n"/>
      <c r="N353" s="11" t="n"/>
    </row>
    <row r="354" ht="56" customHeight="1">
      <c r="A354" s="10" t="n">
        <v>352</v>
      </c>
      <c r="B354" s="10" t="inlineStr">
        <is>
          <t>Relazione tecnica di modifica: limitatore di velocità e paracadute</t>
        </is>
      </c>
      <c r="C354" s="10" t="inlineStr">
        <is>
          <t>Forza del limitatore sulla fune all’intervento</t>
        </is>
      </c>
      <c r="D354" s="10" t="inlineStr">
        <is>
          <t>la forza di trazione nella fune all’intervento (dal certificato del limitatore) almeno la maggiore tra 2 volte la forza che fa prendere il paracadute (dato del paracadute) e 300 N</t>
        </is>
      </c>
      <c r="E354" s="10" t="inlineStr">
        <is>
          <t>UNI EN 81-20:2020, 5.6.2.2.1.1 d)</t>
        </is>
      </c>
      <c r="F354" s="10" t="inlineStr">
        <is>
          <t>UNI EN 81-20:2020, testo della norma, letto il 2026-10-06, p. 82</t>
        </is>
      </c>
      <c r="G354" s="10" t="inlineStr">
        <is>
          <t>confermato</t>
        </is>
      </c>
      <c r="H354" s="10" t="inlineStr">
        <is>
          <t>limitatore: forza sulla fune all’intervento</t>
        </is>
      </c>
      <c r="I354" s="11" t="n"/>
      <c r="J354" s="11" t="n"/>
      <c r="K354" s="11" t="n"/>
      <c r="L354" s="11" t="n"/>
      <c r="M354" s="11" t="n"/>
      <c r="N354" s="11" t="n"/>
    </row>
    <row r="355" ht="121" customHeight="1">
      <c r="A355" s="10" t="n">
        <v>353</v>
      </c>
      <c r="B355" s="10" t="inlineStr">
        <is>
          <t>Relazione tecnica di modifica: limitatore di velocità e paracadute</t>
        </is>
      </c>
      <c r="C355" s="10" t="inlineStr">
        <is>
          <t>Fune del limitatore: carico di rottura — con la corsa allungata (UNI 10411-1, 16 i)) la fune nuova si verifica secondo la UNI EN 81-1:1987 9.9.6 o la UNI EN 81-20 5.6.2.2.1.3: il software applica la seconda; il diametro minimo della fune della UNI EN 81-1 non è nella UNI EN 81-20:2020 e non si verifica</t>
        </is>
      </c>
      <c r="D355" s="10" t="inlineStr">
        <is>
          <t>il carico minimo di rottura della fune del limitatore almeno 8 volte la forza di trazione all’intervento</t>
        </is>
      </c>
      <c r="E355" s="10" t="inlineStr">
        <is>
          <t>UNI EN 81-20:2020, 5.6.2.2.1.3 b)</t>
        </is>
      </c>
      <c r="F355" s="10" t="inlineStr">
        <is>
          <t>UNI EN 81-20:2020, testo della norma, letto il 2026-10-06, pp. 82–83</t>
        </is>
      </c>
      <c r="G355" s="10" t="inlineStr">
        <is>
          <t>confermato</t>
        </is>
      </c>
      <c r="H355" s="10" t="inlineStr">
        <is>
          <t>fune del limitatore: carico di rottura</t>
        </is>
      </c>
      <c r="I355" s="11" t="n"/>
      <c r="J355" s="11" t="n"/>
      <c r="K355" s="11" t="n"/>
      <c r="L355" s="11" t="n"/>
      <c r="M355" s="11" t="n"/>
      <c r="N355" s="11" t="n"/>
    </row>
    <row r="356" ht="95" customHeight="1">
      <c r="A356" s="10" t="n">
        <v>354</v>
      </c>
      <c r="B356" s="10" t="inlineStr">
        <is>
          <t>Relazione tecnica di modifica: porte di piano</t>
        </is>
      </c>
      <c r="C356" s="10" t="inlineStr">
        <is>
          <t>Porte di piano nuove: resistenza al fuoco — l’ordine fra le classi E ed EI è una lettura del software (la UNI EN 81-58 non è tra i testi letti); vale anche la classe chiesta dal certificato di prevenzione incendi dell’edificio</t>
        </is>
      </c>
      <c r="D356" s="10" t="inlineStr">
        <is>
          <t>dove la porta esistente ha una classe di resistenza al fuoco, quella nuova non inferiore: minuti non inferiori e, se l’esistente è EI, anche la nuova EI; con più minuti ma senza la I dell’esistente, o con la I in più ma meno minuti, il confronto non è deciso: attenzione e punto da verificare</t>
        </is>
      </c>
      <c r="E356" s="10" t="inlineStr">
        <is>
          <t>UNI 10411-1:2024, 19.2</t>
        </is>
      </c>
      <c r="F356" s="10" t="inlineStr">
        <is>
          <t>UNI 10411-1:2024, testo della norma, letto il 2026-10-06, p. 17; risposte dell’esperto di norme del 2026-10-21</t>
        </is>
      </c>
      <c r="G356" s="10" t="inlineStr">
        <is>
          <t>scelta del software</t>
        </is>
      </c>
      <c r="H356" s="10" t="inlineStr">
        <is>
          <t>porte di piano nuove: resistenza al fuoco</t>
        </is>
      </c>
      <c r="I356" s="11" t="n"/>
      <c r="J356" s="11" t="n"/>
      <c r="K356" s="11" t="n"/>
      <c r="L356" s="11" t="n"/>
      <c r="M356" s="11" t="n"/>
      <c r="N356" s="11" t="n"/>
    </row>
    <row r="357" ht="147" customHeight="1">
      <c r="A357" s="10" t="n">
        <v>355</v>
      </c>
      <c r="B357" s="10" t="inlineStr">
        <is>
          <t>Relazione tecnica di modifica: porte di piano</t>
        </is>
      </c>
      <c r="C357" s="10" t="inlineStr">
        <is>
          <t>Porte di piano nuove: altezza — con la UNI 10411-11 (19.1) la UNI EN 81-21 5.12 vale dove i luoghi non consentono la 5.3.2.1: il software applica la stessa regola</t>
        </is>
      </c>
      <c r="D357" s="10" t="inlineStr">
        <is>
          <t>alte almeno 2000 mm (soddisfatta); più basse solo se le aperture dell’edificio non lo consentono, condizione che dichiara il tecnico (attenzione e punto da verificare), mai meno della porta esistente; sotto 1900 mm vale anche la UNI EN 81-21 5.12: alte quanto l’edificio consente e non meno di 1800 mm, con le segnalazioni in cabina e al piano e gli spigoli dell’architrave inclinati di non più di 30° fino a 2000 mm o rivestiti; sotto la porta esistente o sotto 1800 mm non soddisfatta</t>
        </is>
      </c>
      <c r="E357" s="10" t="inlineStr">
        <is>
          <t>UNI 10411-1:2024, 19.1; UNI EN 81-20:2020, 5.3.2.1; UNI EN 81-21:2022, 5.12</t>
        </is>
      </c>
      <c r="F357" s="10" t="inlineStr">
        <is>
          <t>UNI 10411-1:2024, testo della norma, letto il 2026-10-06, p. 17; UNI EN 81-21:2022, testo della norma, letto il 2026-10-06, p. 24</t>
        </is>
      </c>
      <c r="G357" s="10" t="inlineStr">
        <is>
          <t>confermato</t>
        </is>
      </c>
      <c r="H357" s="10" t="inlineStr">
        <is>
          <t>porte di piano nuove: altezza</t>
        </is>
      </c>
      <c r="I357" s="11" t="n"/>
      <c r="J357" s="11" t="n"/>
      <c r="K357" s="11" t="n"/>
      <c r="L357" s="11" t="n"/>
      <c r="M357" s="11" t="n"/>
      <c r="N357" s="11" t="n"/>
    </row>
    <row r="358" ht="264" customHeight="1">
      <c r="A358" s="10" t="n">
        <v>356</v>
      </c>
      <c r="B358" s="10" t="inlineStr">
        <is>
          <t>Relazione tecnica di modifica: parti sostituite senza un punto proprio della UNI 10411</t>
        </is>
      </c>
      <c r="C358" s="10" t="inlineStr">
        <is>
          <t>Guide nuove o sostituite — la UNI 10411 non ha un punto per questa parte sostituita da sola: la relazione la valuta con il punto 4 (-11: 4.3) e con i punti dei casi</t>
        </is>
      </c>
      <c r="D358" s="10" t="inlineStr">
        <is>
          <t>con la UNI 10411-1:2024: guide nuove o sostituite: la parte cambiata si valuta secondo il punto 4, con la UNI EN 81-20 5.7 e la verifica della UNI EN 81-50 5.10 (lettura del software); con i carichi oltre i prospetti 1 o 2 la resistenza di guide e ancoraggi con il metodo semplificato della UNI EN 81-1:1987 (punto 10, nota) o con la UNI EN 81-20 5.7 (6.5); con la velocità aumentata la UNI EN 81-20 5.7 e le caratteristiche del certificato del paracadute (15.5–15.6); i tratti aggiunti con la corsa allungata (16 g)) (UNI 10411-1:2024, 4, 6.5, 15.5–15.6 e 16 g)); con la UNI 10411-11:2024: guide nuove o sostituite: verificate per l’impianto con la valutazione 4.3; con i carichi aumentati la resistenza di guide e ancoraggi per i nuovi carichi (6.5); con la velocità cambiata coerenti con il certificato del paracadute e degli ACOP (15 j), k)); i tratti aggiunti con i loro ancoraggi per la nuova corsa (16 f)) (UNI 10411-11:2024, 4.3, 6.5, 15 j)–k) e 16 f))</t>
        </is>
      </c>
      <c r="E358" s="10" t="inlineStr">
        <is>
          <t>UNI 10411-1:2024, 4, 6.5, 15.5–15.6 e 16 g); UNI 10411-11:2024, 4.3, 6.5, 15 j)–k) e 16 f)</t>
        </is>
      </c>
      <c r="F358" s="10" t="inlineStr">
        <is>
          <t>lettura del software dei punti citati (risposte dell’esperto di norme del 2026-10-21)</t>
        </is>
      </c>
      <c r="G358" s="10" t="inlineStr">
        <is>
          <t>da verificare</t>
        </is>
      </c>
      <c r="H358" s="10" t="inlineStr">
        <is>
          <t>—</t>
        </is>
      </c>
      <c r="I358" s="11" t="n"/>
      <c r="J358" s="11" t="n"/>
      <c r="K358" s="11" t="n"/>
      <c r="L358" s="11" t="n"/>
      <c r="M358" s="11" t="n"/>
      <c r="N358" s="11" t="n"/>
    </row>
    <row r="359" ht="186" customHeight="1">
      <c r="A359" s="10" t="n">
        <v>357</v>
      </c>
      <c r="B359" s="10" t="inlineStr">
        <is>
          <t>Relazione tecnica di modifica: parti sostituite senza un punto proprio della UNI 10411</t>
        </is>
      </c>
      <c r="C359" s="10" t="inlineStr">
        <is>
          <t>Ammortizzatori nuovi o sostituiti — la UNI 10411 non ha un punto per questa parte sostituita da sola: la relazione la valuta con il punto 4 (-11: 4.3) e con i punti dei casi</t>
        </is>
      </c>
      <c r="D359" s="10" t="inlineStr">
        <is>
          <t>con la UNI 10411-1:2024: ammortizzatori nuovi o sostituiti: la parte cambiata si valuta secondo il punto 4, con la UNI EN 81-20 5.8 (lettura del software); con i carichi oltre i prospetti (6.4), diminuiti o con il rapporto cambiato (6.1) e con la velocità variata (15.2) secondo la UNI EN 81-20 5.8; non lineari e idraulici con certificato d’esame del tipo e dichiarazione, a molla con il calcolo e i diagrammi (appendice C) (UNI 10411-1:2024, 4, 6.1, 6.4 e 15.2); con la UNI 10411-11:2024: ammortizzatori nuovi o sostituiti: verificati per l’impianto con la valutazione 4.3, per i nuovi carichi (6.4) e per la nuova velocità (15 a)) (UNI 10411-11:2024, 4.3, 6.4 e 15 a))</t>
        </is>
      </c>
      <c r="E359" s="10" t="inlineStr">
        <is>
          <t>UNI 10411-1:2024, 4, 6.1, 6.4 e 15.2; UNI 10411-11:2024, 4.3, 6.4 e 15 a)</t>
        </is>
      </c>
      <c r="F359" s="10" t="inlineStr">
        <is>
          <t>lettura del software dei punti citati (risposte dell’esperto di norme del 2026-10-21)</t>
        </is>
      </c>
      <c r="G359" s="10" t="inlineStr">
        <is>
          <t>da verificare</t>
        </is>
      </c>
      <c r="H359" s="10" t="inlineStr">
        <is>
          <t>—</t>
        </is>
      </c>
      <c r="I359" s="11" t="n"/>
      <c r="J359" s="11" t="n"/>
      <c r="K359" s="11" t="n"/>
      <c r="L359" s="11" t="n"/>
      <c r="M359" s="11" t="n"/>
      <c r="N359" s="11" t="n"/>
    </row>
    <row r="360" ht="212" customHeight="1">
      <c r="A360" s="10" t="n">
        <v>358</v>
      </c>
      <c r="B360" s="10" t="inlineStr">
        <is>
          <t>Relazione tecnica di modifica: parti sostituite senza un punto proprio della UNI 10411</t>
        </is>
      </c>
      <c r="C360" s="10" t="inlineStr">
        <is>
          <t>Contrappeso nuovo o modificato — la UNI 10411 non ha un punto per questa parte sostituita da sola: la relazione la valuta con il punto 4 (-11: 4.3) e con i punti dei casi</t>
        </is>
      </c>
      <c r="D360" s="10" t="inlineStr">
        <is>
          <t>con la UNI 10411-1:2024: contrappeso nuovo o modificato (zavorre aggiunte o tolte): la sua massa si confronta con quella documentata, in aumento con il prospetto 2 e in diminuzione con le verifiche della 6.1; aumentata, guide secondo la UNI EN 81-20 5.7.1 e difesa del suo percorso secondo la 5.2.5.5.1 (6.13), così anche con la velocità aumentata (15.7) e con la corsa allungata (16 a)); la parte cambiata si valuta secondo il punto 4 (UNI 10411-1:2024, 4, 6.1, 6.13, 15.7 e 16 a)); con la UNI 10411-11:2024: contrappeso nuovo o modificato: la sua massa si confronta con quella documentata; ogni aumento porta i punti da 6.2 a 6.13, ogni diminuzione la verifica degli ammortizzatori e del paracadute progressivo (6.1); valutazione 4.3 (UNI 10411-11:2024, 4.3 e 6.1)</t>
        </is>
      </c>
      <c r="E360" s="10" t="inlineStr">
        <is>
          <t>UNI 10411-1:2024, 4, 6.1, 6.13, 15.7 e 16 a); UNI 10411-11:2024, 4.3 e 6.1</t>
        </is>
      </c>
      <c r="F360" s="10" t="inlineStr">
        <is>
          <t>lettura del software dei punti citati (risposte dell’esperto di norme del 2026-10-21)</t>
        </is>
      </c>
      <c r="G360" s="10" t="inlineStr">
        <is>
          <t>da verificare</t>
        </is>
      </c>
      <c r="H360" s="10" t="inlineStr">
        <is>
          <t>—</t>
        </is>
      </c>
      <c r="I360" s="11" t="n"/>
      <c r="J360" s="11" t="n"/>
      <c r="K360" s="11" t="n"/>
      <c r="L360" s="11" t="n"/>
      <c r="M360" s="11" t="n"/>
      <c r="N360" s="11" t="n"/>
    </row>
    <row r="361" ht="82" customHeight="1">
      <c r="A361" s="10" t="n">
        <v>359</v>
      </c>
      <c r="B361" s="10" t="inlineStr">
        <is>
          <t>Relazione tecnica di modifica: parti sostituite senza un punto proprio della UNI 10411</t>
        </is>
      </c>
      <c r="C361" s="10" t="inlineStr">
        <is>
          <t>Arcata nuova (UNI 10411-11) — la UNI 10411 non ha un punto per questa parte sostituita da sola: la relazione la valuta con il punto 4 (-11: 4.3) e con i punti dei casi</t>
        </is>
      </c>
      <c r="D361" s="10" t="inlineStr">
        <is>
          <t>con la UNI 10411-11:2024: arcata nuova: verificata per l’impianto con la valutazione 4.3 e, con i carichi aumentati, per i nuovi carichi (6.9) (UNI 10411-11:2024, 4.3 e 6.9)</t>
        </is>
      </c>
      <c r="E361" s="10" t="inlineStr">
        <is>
          <t>UNI 10411-11:2024, 4.3 e 6.9</t>
        </is>
      </c>
      <c r="F361" s="10" t="inlineStr">
        <is>
          <t>lettura del software dei punti citati (risposte dell’esperto di norme del 2026-10-21)</t>
        </is>
      </c>
      <c r="G361" s="10" t="inlineStr">
        <is>
          <t>da verificare</t>
        </is>
      </c>
      <c r="H361" s="10" t="inlineStr">
        <is>
          <t>—</t>
        </is>
      </c>
      <c r="I361" s="11" t="n"/>
      <c r="J361" s="11" t="n"/>
      <c r="K361" s="11" t="n"/>
      <c r="L361" s="11" t="n"/>
      <c r="M361" s="11" t="n"/>
      <c r="N361" s="11" t="n"/>
    </row>
  </sheetData>
  <autoFilter ref="A1:N361"/>
  <dataValidations count="1">
    <dataValidation sqref="I3:I361" showDropDown="0" showInputMessage="0" showErrorMessage="1" allowBlank="1" errorTitle="Esito" error="Scegliere: conforme, diverso, non applicabile." type="list">
      <formula1>"conforme,diverso,non applicabile"</formula1>
    </dataValidation>
  </dataValidations>
  <pageMargins left="0.4" right="0.4"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B18"/>
  <sheetViews>
    <sheetView workbookViewId="0">
      <selection activeCell="A1" sqref="A1"/>
    </sheetView>
  </sheetViews>
  <sheetFormatPr baseColWidth="8" defaultRowHeight="15"/>
  <cols>
    <col width="34" customWidth="1" min="1" max="1"/>
    <col width="12" customWidth="1" min="2" max="2"/>
  </cols>
  <sheetData>
    <row r="1">
      <c r="A1" s="12" t="inlineStr">
        <is>
          <t>Riepilogo della verifica</t>
        </is>
      </c>
    </row>
    <row r="3">
      <c r="A3" s="3" t="inlineStr">
        <is>
          <t>Voci per stato</t>
        </is>
      </c>
    </row>
    <row r="4">
      <c r="A4" s="6" t="inlineStr">
        <is>
          <t>da verificare</t>
        </is>
      </c>
      <c r="B4" s="6">
        <f>COUNTIF(Voci!$G$3:$G$361,"da verificare")</f>
        <v/>
      </c>
    </row>
    <row r="5">
      <c r="A5" s="6" t="inlineStr">
        <is>
          <t>confermato</t>
        </is>
      </c>
      <c r="B5" s="6">
        <f>COUNTIF(Voci!$G$3:$G$361,"confermato")</f>
        <v/>
      </c>
    </row>
    <row r="6">
      <c r="A6" s="6" t="inlineStr">
        <is>
          <t>scelta del software</t>
        </is>
      </c>
      <c r="B6" s="6">
        <f>COUNTIF(Voci!$G$3:$G$361,"scelta del software")</f>
        <v/>
      </c>
    </row>
    <row r="7">
      <c r="A7" s="6" t="inlineStr">
        <is>
          <t>stima</t>
        </is>
      </c>
      <c r="B7" s="6">
        <f>COUNTIF(Voci!$G$3:$G$361,"stima")</f>
        <v/>
      </c>
    </row>
    <row r="8">
      <c r="A8" s="6" t="inlineStr">
        <is>
          <t>derivazione</t>
        </is>
      </c>
      <c r="B8" s="6">
        <f>COUNTIF(Voci!$G$3:$G$361,"derivazione")</f>
        <v/>
      </c>
    </row>
    <row r="9">
      <c r="A9" s="6" t="inlineStr">
        <is>
          <t>prassi di cantiere</t>
        </is>
      </c>
      <c r="B9" s="6">
        <f>COUNTIF(Voci!$G$3:$G$361,"prassi di cantiere")</f>
        <v/>
      </c>
    </row>
    <row r="10">
      <c r="A10" s="3" t="inlineStr">
        <is>
          <t>Totale voci</t>
        </is>
      </c>
      <c r="B10" s="3">
        <f>COUNTA(Voci!$A$3:$A$361)</f>
        <v/>
      </c>
    </row>
    <row r="12">
      <c r="A12" s="3" t="inlineStr">
        <is>
          <t>Esito</t>
        </is>
      </c>
    </row>
    <row r="13">
      <c r="A13" s="6" t="inlineStr">
        <is>
          <t>conforme</t>
        </is>
      </c>
      <c r="B13" s="6">
        <f>COUNTIF(Voci!$I$3:$I$361,"conforme")</f>
        <v/>
      </c>
    </row>
    <row r="14">
      <c r="A14" s="6" t="inlineStr">
        <is>
          <t>diverso</t>
        </is>
      </c>
      <c r="B14" s="6">
        <f>COUNTIF(Voci!$I$3:$I$361,"diverso")</f>
        <v/>
      </c>
    </row>
    <row r="15">
      <c r="A15" s="6" t="inlineStr">
        <is>
          <t>non applicabile</t>
        </is>
      </c>
      <c r="B15" s="6">
        <f>COUNTIF(Voci!$I$3:$I$361,"non applicabile")</f>
        <v/>
      </c>
    </row>
    <row r="16">
      <c r="A16" s="6" t="inlineStr">
        <is>
          <t>da compilare</t>
        </is>
      </c>
      <c r="B16" s="6">
        <f>COUNTBLANK(Voci!$I$3:$I$361)</f>
        <v/>
      </c>
    </row>
    <row r="18">
      <c r="A18" s="13" t="inlineStr">
        <is>
          <t>Conteggi sulle righe 3–361 del foglio «Voci» (la riga 2 è l'esempio).</t>
        </is>
      </c>
    </row>
  </sheetData>
  <pageMargins left="0.4" right="0.4"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2026-10-27T08:46:29Z</dcterms:created>
  <dcterms:modified xsi:type="dcterms:W3CDTF">2026-10-27T08:46:29Z</dcterms:modified>
</cp:coreProperties>
</file>