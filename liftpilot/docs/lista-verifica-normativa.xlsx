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'Voci'!$A$1:$N$232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108"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82"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108" customHeight="1">
      <c r="A51" s="10" t="n">
        <v>49</v>
      </c>
      <c r="B51" s="10" t="inlineStr">
        <is>
          <t>Sostituzione (Italia)</t>
        </is>
      </c>
      <c r="C51" s="10" t="inlineStr">
        <is>
          <t>La sostituzione del macchinario è una modifica costruttiva</t>
        </is>
      </c>
      <c r="D51"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38" customHeight="1">
      <c r="A84" s="10" t="n">
        <v>82</v>
      </c>
      <c r="B84" s="10" t="inlineStr">
        <is>
          <t>Vano: ingombri tipici</t>
        </is>
      </c>
      <c r="C84" s="10" t="inlineStr">
        <is>
          <t>Posizione del limitatore di velocità e della sua fune — con l’arcata a zaino, o senza una parete laterale libera, il software non mette il limitatore: la verifica della fune resta «Attenzione» senza valore e il limitatore va posizionato a mano</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108" customHeight="1">
      <c r="A85" s="10" t="n">
        <v>83</v>
      </c>
      <c r="B85" s="10" t="inlineStr">
        <is>
          <t>Vano: ingombri tipici</t>
        </is>
      </c>
      <c r="C85"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5" s="10" t="inlineStr">
        <is>
          <t>diametro primitivo delle pulegge del limitatore almeno 30 volte il diametro nominale della sua fune (dai dati del modello: diametro della puleggia e fune)</t>
        </is>
      </c>
      <c r="E85" s="10" t="inlineStr">
        <is>
          <t>UNI EN 81-20:2020, 5.6.2.2.1.3 c)</t>
        </is>
      </c>
      <c r="F85" s="10" t="inlineStr">
        <is>
          <t>UNI EN 81-20:2020, testo della norma, letto il 2026-10-06, p. 83</t>
        </is>
      </c>
      <c r="G85" s="10" t="inlineStr">
        <is>
          <t>confermato</t>
        </is>
      </c>
      <c r="H85" s="10" t="inlineStr">
        <is>
          <t>pulegge del limitatore: diametro sul diametro della fune</t>
        </is>
      </c>
      <c r="I85" s="11" t="n"/>
      <c r="J85" s="11" t="n"/>
      <c r="K85" s="11" t="n"/>
      <c r="L85" s="11" t="n"/>
      <c r="M85" s="11" t="n"/>
      <c r="N85" s="11" t="n"/>
    </row>
    <row r="86" ht="82" customHeight="1">
      <c r="A86" s="10" t="n">
        <v>84</v>
      </c>
      <c r="B86" s="10" t="inlineStr">
        <is>
          <t>Vano: sezione, spazi di rifugio e ammortizzatori</t>
        </is>
      </c>
      <c r="C86" s="10" t="inlineStr">
        <is>
          <t>Spazi di rifugio sul tetto di cabina e in fossa</t>
        </is>
      </c>
      <c r="D86"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6" s="10" t="inlineStr">
        <is>
          <t>UNI EN 81-20:2020, 5.2.5.7.1 (Prospetto 3) e 5.2.5.8.1 (Prospetto 4)</t>
        </is>
      </c>
      <c r="F86" s="10" t="inlineStr">
        <is>
          <t>UNI EN 81-20:2020, testo della norma, letto il 2026-10-06, pp. 37–40</t>
        </is>
      </c>
      <c r="G86" s="10" t="inlineStr">
        <is>
          <t>confermato</t>
        </is>
      </c>
      <c r="H86" s="10" t="inlineStr">
        <is>
          <t>spazio di rifugio in testata; spazio di rifugio in fossa</t>
        </is>
      </c>
      <c r="I86" s="11" t="n"/>
      <c r="J86" s="11" t="n"/>
      <c r="K86" s="11" t="n"/>
      <c r="L86" s="11" t="n"/>
      <c r="M86" s="11" t="n"/>
      <c r="N86" s="11" t="n"/>
    </row>
    <row r="87" ht="95" customHeight="1">
      <c r="A87" s="10" t="n">
        <v>85</v>
      </c>
      <c r="B87" s="10" t="inlineStr">
        <is>
          <t>Vano: sezione, spazi di rifugio e ammortizzatori</t>
        </is>
      </c>
      <c r="C87" s="10" t="inlineStr">
        <is>
          <t>Posizione più alta della cabina — vale per gli ascensori a frizione; le riduzioni di 5.2.5.6.1.2 (rallentamento controllato) e 5.2.5.6.1.3 (puleggia tenditrice con antirimbalzo) non sono usate: la verifica è più severa</t>
        </is>
      </c>
      <c r="D87" s="10" t="inlineStr">
        <is>
          <t>contrappeso sugli ammortizzatori completamente compressi, più il salto 0,035·v² m (v velocità nominale)</t>
        </is>
      </c>
      <c r="E87" s="10" t="inlineStr">
        <is>
          <t>UNI EN 81-20:2020, 5.2.5.6.1.1 (Prospetto 2)</t>
        </is>
      </c>
      <c r="F87" s="10" t="inlineStr">
        <is>
          <t>UNI EN 81-20:2020, testo della norma, letto il 2026-10-06, p. 36</t>
        </is>
      </c>
      <c r="G87" s="10" t="inlineStr">
        <is>
          <t>confermato</t>
        </is>
      </c>
      <c r="H87" s="10" t="inlineStr">
        <is>
          <t>spazio di rifugio in testata; distanze libere dal soffitto</t>
        </is>
      </c>
      <c r="I87" s="11" t="n"/>
      <c r="J87" s="11" t="n"/>
      <c r="K87" s="11" t="n"/>
      <c r="L87" s="11" t="n"/>
      <c r="M87" s="11" t="n"/>
      <c r="N87" s="11" t="n"/>
    </row>
    <row r="88" ht="147" customHeight="1">
      <c r="A88" s="10" t="n">
        <v>86</v>
      </c>
      <c r="B88" s="10" t="inlineStr">
        <is>
          <t>Vano: sezione, spazi di rifugio e ammortizzatori</t>
        </is>
      </c>
      <c r="C88"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8" s="10" t="inlineStr">
        <is>
          <t>≥ 500 mm sopra le apparecchiature sul tetto di cabina (operatore); ≥ 100 mm sopra pattini, attacchi delle funi e traversa dell’arcata; ≥ 300 mm sopra il corrimano della balaustra</t>
        </is>
      </c>
      <c r="E88" s="10" t="inlineStr">
        <is>
          <t>UNI EN 81-20:2020, 5.2.5.7.2 a)–c)</t>
        </is>
      </c>
      <c r="F88" s="10" t="inlineStr">
        <is>
          <t>UNI EN 81-20:2020, testo della norma, letto il 2026-10-06, p. 38</t>
        </is>
      </c>
      <c r="G88" s="10" t="inlineStr">
        <is>
          <t>da verificare</t>
        </is>
      </c>
      <c r="H88" s="10" t="inlineStr">
        <is>
          <t>distanze libere dal soffitto</t>
        </is>
      </c>
      <c r="I88" s="11" t="n"/>
      <c r="J88" s="11" t="n"/>
      <c r="K88" s="11" t="n"/>
      <c r="L88" s="11" t="n"/>
      <c r="M88" s="11" t="n"/>
      <c r="N88" s="11" t="n"/>
    </row>
    <row r="89" ht="82" customHeight="1">
      <c r="A89" s="10" t="n">
        <v>87</v>
      </c>
      <c r="B89" s="10" t="inlineStr">
        <is>
          <t>Vano: sezione, spazi di rifugio e ammortizzatori</t>
        </is>
      </c>
      <c r="C89" s="10" t="inlineStr">
        <is>
          <t>Traversa dell’arcata sotto il soffitto — La b) nomina la traversa delle porte e le parti delle porte a scorrimento verticale; quella dell’arcata non è nominata. Da concordare con l’organismo.</t>
        </is>
      </c>
      <c r="D89" s="10" t="inlineStr">
        <is>
          <t>≥ 100 mm come parte di b); sotto 500 mm «Attenzione»: se l’organismo la considera un’apparecchiatura vale a) (500 mm)</t>
        </is>
      </c>
      <c r="E89" s="10" t="inlineStr">
        <is>
          <t>UNI EN 81-20:2020, 5.2.5.7.2 a)–b); UNI EN 81-1:2008, 5.7.1.1 c)</t>
        </is>
      </c>
      <c r="F89" s="10" t="inlineStr">
        <is>
          <t>UNI EN 81-20:2020, testo della norma, letto il 2026-10-06, p. 38; UNI EN 81-1:2008, testo della norma, letto il 2026-10-06, p. 26</t>
        </is>
      </c>
      <c r="G89" s="10" t="inlineStr">
        <is>
          <t>da verificare</t>
        </is>
      </c>
      <c r="H89" s="10" t="inlineStr">
        <is>
          <t>traversa dell’arcata sotto il soffitto</t>
        </is>
      </c>
      <c r="I89" s="11" t="n"/>
      <c r="J89" s="11" t="n"/>
      <c r="K89" s="11" t="n"/>
      <c r="L89" s="11" t="n"/>
      <c r="M89" s="11" t="n"/>
      <c r="N89" s="11" t="n"/>
    </row>
    <row r="90" ht="108" customHeight="1">
      <c r="A90" s="10" t="n">
        <v>88</v>
      </c>
      <c r="B90" s="10" t="inlineStr">
        <is>
          <t>Vano: sezione, spazi di rifugio e ammortizzatori</t>
        </is>
      </c>
      <c r="C90" s="10" t="inlineStr">
        <is>
          <t>Parte più alta della cabina sotto ciò che pende sopra — fino alla versione 1.17.0 del motore del progetto la puleggia di cabina era verificata a 100 mm; i 100 mm della traversa sono la stessa lettura di spazi.testata.parti</t>
        </is>
      </c>
      <c r="D90"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0" s="10" t="inlineStr">
        <is>
          <t>UNI EN 81-20:2020, 5.2.5.7.2 a) e b)</t>
        </is>
      </c>
      <c r="F90" s="10" t="inlineStr">
        <is>
          <t>UNI EN 81-20:2020, testo della norma, letto il 2026-10-06, p. 38</t>
        </is>
      </c>
      <c r="G90" s="10" t="inlineStr">
        <is>
          <t>confermato</t>
        </is>
      </c>
      <c r="H90" s="10" t="inlineStr">
        <is>
          <t>parte più alta della cabina sotto ciò che pende sopra</t>
        </is>
      </c>
      <c r="I90" s="11" t="n"/>
      <c r="J90" s="11" t="n"/>
      <c r="K90" s="11" t="n"/>
      <c r="L90" s="11" t="n"/>
      <c r="M90" s="11" t="n"/>
      <c r="N90" s="11" t="n"/>
    </row>
    <row r="91" ht="134" customHeight="1">
      <c r="A91" s="10" t="n">
        <v>89</v>
      </c>
      <c r="B91" s="10" t="inlineStr">
        <is>
          <t>Vano: sezione, spazi di rifugio e ammortizzatori</t>
        </is>
      </c>
      <c r="C91" s="10" t="inlineStr">
        <is>
          <t>Ammortizzatori e spazio di rifugio in fossa, in pianta</t>
        </is>
      </c>
      <c r="D91"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1" s="10" t="inlineStr">
        <is>
          <t>UNI EN 81-20:2020, 5.2.5.8.1</t>
        </is>
      </c>
      <c r="F91" s="10" t="inlineStr">
        <is>
          <t>scelta del software sul modello della fossa (posizioni tipiche, da confermare con i dati del fornitore degli ammortizzatori)</t>
        </is>
      </c>
      <c r="G91" s="10" t="inlineStr">
        <is>
          <t>scelta del software</t>
        </is>
      </c>
      <c r="H91" s="10" t="inlineStr">
        <is>
          <t>ammortizzatori fissati a mano: sotto cabina e contrappeso, fuori dal rifugio</t>
        </is>
      </c>
      <c r="I91" s="11" t="n"/>
      <c r="J91" s="11" t="n"/>
      <c r="K91" s="11" t="n"/>
      <c r="L91" s="11" t="n"/>
      <c r="M91" s="11" t="n"/>
      <c r="N91" s="11" t="n"/>
    </row>
    <row r="92" ht="82" customHeight="1">
      <c r="A92" s="10" t="n">
        <v>90</v>
      </c>
      <c r="B92" s="10" t="inlineStr">
        <is>
          <t>Vano: sezione, spazi di rifugio e ammortizzatori</t>
        </is>
      </c>
      <c r="C92" s="10" t="inlineStr">
        <is>
          <t>Distanze in fossa con la cabina sugli ammortizzatori compressi</t>
        </is>
      </c>
      <c r="D92"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2" s="10" t="inlineStr">
        <is>
          <t>UNI EN 81-20:2020, 5.2.5.8.2 a) e 5.4.5.1–5.4.5.2</t>
        </is>
      </c>
      <c r="F92" s="10" t="inlineStr">
        <is>
          <t>UNI EN 81-20:2020, testo della norma, letto il 2026-10-06, pp. 40–41, 69</t>
        </is>
      </c>
      <c r="G92" s="10" t="inlineStr">
        <is>
          <t>confermato</t>
        </is>
      </c>
      <c r="H92" s="10" t="inlineStr">
        <is>
          <t>spazio di rifugio in fossa; grembiule sugli ammortizzatori compressi</t>
        </is>
      </c>
      <c r="I92" s="11" t="n"/>
      <c r="J92" s="11" t="n"/>
      <c r="K92" s="11" t="n"/>
      <c r="L92" s="11" t="n"/>
      <c r="M92" s="11" t="n"/>
      <c r="N92" s="11" t="n"/>
    </row>
    <row r="93" ht="108" customHeight="1">
      <c r="A93" s="10" t="n">
        <v>91</v>
      </c>
      <c r="B93" s="10" t="inlineStr">
        <is>
          <t>Vano: sezione, spazi di rifugio e ammortizzatori</t>
        </is>
      </c>
      <c r="C93" s="10" t="inlineStr">
        <is>
          <t>Balaustra sul tetto di cabina — fino alla versione 2.12.0 del motore del vano il software misurava i 500 mm dal bordo del tetto; la norma vuole la balaustra entro 150 mm dal bordo: se è più interna, la distanza cresce e può servire l’altezza maggiore</t>
        </is>
      </c>
      <c r="D93"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3" s="10" t="inlineStr">
        <is>
          <t>UNI EN 81-20:2020, 5.4.7.2 b) e 5.4.7.4 b)–c)</t>
        </is>
      </c>
      <c r="F93" s="10" t="inlineStr">
        <is>
          <t>UNI EN 81-20:2020, testo della norma, letto il 2026-10-06, pp. 70–72</t>
        </is>
      </c>
      <c r="G93" s="10" t="inlineStr">
        <is>
          <t>confermato</t>
        </is>
      </c>
      <c r="H93" s="10" t="inlineStr">
        <is>
          <t>balaustra sul tetto di cabina</t>
        </is>
      </c>
      <c r="I93" s="11" t="n"/>
      <c r="J93" s="11" t="n"/>
      <c r="K93" s="11" t="n"/>
      <c r="L93" s="11" t="n"/>
      <c r="M93" s="11" t="n"/>
      <c r="N93" s="11" t="n"/>
    </row>
    <row r="94" ht="121" customHeight="1">
      <c r="A94" s="10" t="n">
        <v>92</v>
      </c>
      <c r="B94" s="10" t="inlineStr">
        <is>
          <t>Vano: sezione, spazi di rifugio e ammortizzatori</t>
        </is>
      </c>
      <c r="C94"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4"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4" s="10" t="inlineStr">
        <is>
          <t>UNI EN 81-20:2020, 5.2.5.7.1 (prospetto 3) e 5.2.5.7.3; UNI EN 81-1:2008, 8.13.2</t>
        </is>
      </c>
      <c r="F94" s="10" t="inlineStr">
        <is>
          <t>UNI EN 81-20:2020, testo della norma, letto il 2026-10-06, pp. 38–39; UNI EN 81-1:2008, testo della norma, letto il 2026-10-06, p. 52</t>
        </is>
      </c>
      <c r="G94" s="10" t="inlineStr">
        <is>
          <t>confermato</t>
        </is>
      </c>
      <c r="H94" s="10" t="inlineStr">
        <is>
          <t>spazio di rifugio sul tetto di cabina; spazio di rifugio in testata</t>
        </is>
      </c>
      <c r="I94" s="11" t="n"/>
      <c r="J94" s="11" t="n"/>
      <c r="K94" s="11" t="n"/>
      <c r="L94" s="11" t="n"/>
      <c r="M94" s="11" t="n"/>
      <c r="N94" s="11" t="n"/>
    </row>
    <row r="95" ht="134" customHeight="1">
      <c r="A95" s="10" t="n">
        <v>93</v>
      </c>
      <c r="B95" s="10" t="inlineStr">
        <is>
          <t>Vano: sezione, spazi di rifugio e ammortizzatori</t>
        </is>
      </c>
      <c r="C95"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95"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95" s="10" t="inlineStr">
        <is>
          <t>UNI EN 81-20:2020, 5.2.5.7.1 (prospetto 3)</t>
        </is>
      </c>
      <c r="F95" s="10" t="inlineStr">
        <is>
          <t>misure dell’arcata e dell’operatore del disegno del software (tipiche, da confermare con il fornitore dell’arcata e delle porte)</t>
        </is>
      </c>
      <c r="G95" s="10" t="inlineStr">
        <is>
          <t>stima</t>
        </is>
      </c>
      <c r="H95" s="10" t="inlineStr">
        <is>
          <t>spazio di rifugio sul tetto di cabina</t>
        </is>
      </c>
      <c r="I95" s="11" t="n"/>
      <c r="J95" s="11" t="n"/>
      <c r="K95" s="11" t="n"/>
      <c r="L95" s="11" t="n"/>
      <c r="M95" s="11" t="n"/>
      <c r="N95" s="11" t="n"/>
    </row>
    <row r="96" ht="212" customHeight="1">
      <c r="A96" s="10" t="n">
        <v>94</v>
      </c>
      <c r="B96" s="10" t="inlineStr">
        <is>
          <t>Vano: sezione, spazi di rifugio e ammortizzatori</t>
        </is>
      </c>
      <c r="C96"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6" s="10" t="inlineStr">
        <is>
          <t>luce netta in altezza delle porte di piano e di cabina ≥ 2000 mm; altezza libera interna della cabina ≥ 2000 mm</t>
        </is>
      </c>
      <c r="E96" s="10" t="inlineStr">
        <is>
          <t>UNI EN 81-20:2020, 5.3.2.1 e 5.4.1</t>
        </is>
      </c>
      <c r="F96" s="10" t="inlineStr">
        <is>
          <t>UNI EN 81-20:2020, testo della norma, letto il 2026-10-06, pp. 49, 63; 2 m anche in DM 587/1987 (UNI EN 81-1), 7.3.1, 8.1.1 e 8.1.2</t>
        </is>
      </c>
      <c r="G96" s="10" t="inlineStr">
        <is>
          <t>confermato</t>
        </is>
      </c>
      <c r="H96" s="10" t="inlineStr">
        <is>
          <t>altezza libera degli accessi; altezza libera interna della cabina</t>
        </is>
      </c>
      <c r="I96" s="11" t="n"/>
      <c r="J96" s="11" t="n"/>
      <c r="K96" s="11" t="n"/>
      <c r="L96" s="11" t="n"/>
      <c r="M96" s="11" t="n"/>
      <c r="N96" s="11" t="n"/>
    </row>
    <row r="97" ht="160" customHeight="1">
      <c r="A97" s="10" t="n">
        <v>95</v>
      </c>
      <c r="B97" s="10" t="inlineStr">
        <is>
          <t>Vano: sezione, spazi di rifugio e ammortizzatori</t>
        </is>
      </c>
      <c r="C97" s="10" t="inlineStr">
        <is>
          <t>Corsa guidata in testata (contrappeso e cabina)</t>
        </is>
      </c>
      <c r="D97"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7" s="10" t="inlineStr">
        <is>
          <t>UNI EN 81-20:2020, 5.2.5.6.2 e 5.2.5.6.1.1 (Prospetto 2: cabina sugli ammortizzatori compressi più 0,035·v²); stesso valore in UNI EN 81-1 (1999, 2008), 5.7.1.2</t>
        </is>
      </c>
      <c r="F97" s="10" t="inlineStr">
        <is>
          <t>UNI EN 81-20:2020, testo della norma, letto il 2026-10-06, p. 36; UNI EN 81-1:2008, testo della norma, letto il 2026-10-06, p. 27</t>
        </is>
      </c>
      <c r="G97" s="10" t="inlineStr">
        <is>
          <t>confermato</t>
        </is>
      </c>
      <c r="H97" s="10" t="inlineStr">
        <is>
          <t>corsa guidata del contrappeso in testata; corsa guidata della cabina in testata</t>
        </is>
      </c>
      <c r="I97" s="11" t="n"/>
      <c r="J97" s="11" t="n"/>
      <c r="K97" s="11" t="n"/>
      <c r="L97" s="11" t="n"/>
      <c r="M97" s="11" t="n"/>
      <c r="N97" s="11" t="n"/>
    </row>
    <row r="98" ht="95" customHeight="1">
      <c r="A98" s="10" t="n">
        <v>96</v>
      </c>
      <c r="B98" s="10" t="inlineStr">
        <is>
          <t>Vano: sezione, spazi di rifugio e ammortizzatori</t>
        </is>
      </c>
      <c r="C98" s="10" t="inlineStr">
        <is>
          <t>Schermo del contrappeso in fossa — non verificati: il bordo inferiore dello schermo a non più di 300 mm dal fondo della fossa (5.2.5.5.1 c)) e la protezione dello spazio oltre 300 mm tra guide del contrappeso e parete (e))</t>
        </is>
      </c>
      <c r="D98" s="10" t="inlineStr">
        <is>
          <t>dal punto più basso del contrappeso sugli ammortizzatori compressi fino ad almeno 2000 mm sopra il pavimento della fossa (altezza dello schermo modificabile sul progetto, mai sotto questo valore)</t>
        </is>
      </c>
      <c r="E98" s="10" t="inlineStr">
        <is>
          <t>UNI EN 81-20:2020, 5.2.5.5.1 b)</t>
        </is>
      </c>
      <c r="F98" s="10" t="inlineStr">
        <is>
          <t>UNI EN 81-20:2020, testo della norma, letto il 2026-10-06, p. 35</t>
        </is>
      </c>
      <c r="G98" s="10" t="inlineStr">
        <is>
          <t>confermato</t>
        </is>
      </c>
      <c r="H98" s="10" t="inlineStr">
        <is>
          <t>protezione del contrappeso in fossa</t>
        </is>
      </c>
      <c r="I98" s="11" t="n"/>
      <c r="J98" s="11" t="n"/>
      <c r="K98" s="11" t="n"/>
      <c r="L98" s="11" t="n"/>
      <c r="M98" s="11" t="n"/>
      <c r="N98" s="11" t="n"/>
    </row>
    <row r="99" ht="95" customHeight="1">
      <c r="A99" s="10" t="n">
        <v>97</v>
      </c>
      <c r="B99" s="10" t="inlineStr">
        <is>
          <t>Vano: sezione, spazi di rifugio e ammortizzatori</t>
        </is>
      </c>
      <c r="C99" s="10" t="inlineStr">
        <is>
          <t>Ammortizzatori ad accumulo di energia lineari (molle)</t>
        </is>
      </c>
      <c r="D99" s="10" t="inlineStr">
        <is>
          <t>ammessi fino a 1 m/s; corsa ≥ 0,135·v² m e comunque ≥ 65 mm; extracorsa della cabina e del contrappeso ≥ 0 (nessun minimo nella norma)</t>
        </is>
      </c>
      <c r="E99" s="10" t="inlineStr">
        <is>
          <t>UNI EN 81-20:2020, 5.8.1.5 (fino a 1 m/s) e 5.8.2.1.1.1 (corsa); nessuna extracorsa minima in metri: l’interruttore di extracorsa interviene prima che la cabina o il contrappeso tocchino gli ammortizzatori (5.12.2.1)</t>
        </is>
      </c>
      <c r="F99" s="10" t="inlineStr">
        <is>
          <t>UNI EN 81-20:2020, testo della norma, letto il 2026-10-06, pp. 98, 131</t>
        </is>
      </c>
      <c r="G99" s="10" t="inlineStr">
        <is>
          <t>confermato</t>
        </is>
      </c>
      <c r="H99" s="10" t="inlineStr">
        <is>
          <t>tipo di ammortizzatori per la velocità; corsa degli ammortizzatori di cabina; corsa dell’ammortizzatore del contrappeso; extracorsa di cabina e contrappeso</t>
        </is>
      </c>
      <c r="I99" s="11" t="n"/>
      <c r="J99" s="11" t="n"/>
      <c r="K99" s="11" t="n"/>
      <c r="L99" s="11" t="n"/>
      <c r="M99" s="11" t="n"/>
      <c r="N99" s="11" t="n"/>
    </row>
    <row r="100" ht="121" customHeight="1">
      <c r="A100" s="10" t="n">
        <v>98</v>
      </c>
      <c r="B100" s="10" t="inlineStr">
        <is>
          <t>Vano: sezione, spazi di rifugio e ammortizzatori</t>
        </is>
      </c>
      <c r="C100" s="10" t="inlineStr">
        <is>
          <t>Ammortizzatori ad accumulo di energia non lineari (tamponi in poliuretano) — il tampone tipico alto 80 mm è un dato di catalogo, non della norma: va sostituito con quello montato</t>
        </is>
      </c>
      <c r="D10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0" s="10" t="inlineStr">
        <is>
          <t>UNI EN 81-20:2020, 5.8.1.5, 5.8.1.7, 5.8.2.1.2.1 e 5.8.2.1.2.2 (compresso al 90 %); UNI EN 81-50:2020, 5.5.4 (esame di tipo)</t>
        </is>
      </c>
      <c r="F100" s="10" t="inlineStr">
        <is>
          <t>UNI EN 81-20:2020, testo della norma, letto il 2026-10-06, pp. 98–99; UNI EN 81-50:2020, testo della norma, letto il 2026-10-06, p. 24; il tampone tipico dai cataloghi P+S Diepocell (wwlift.de) e ACLA AUTAN XL (acla.de), estratti di ricerca del 1° ottobre 2026</t>
        </is>
      </c>
      <c r="G100" s="10" t="inlineStr">
        <is>
          <t>confermato</t>
        </is>
      </c>
      <c r="H100" s="10" t="inlineStr">
        <is>
          <t>tipo di ammortizzatori per la velocità; corsa degli ammortizzatori di cabina; corsa dell’ammortizzatore del contrappeso</t>
        </is>
      </c>
      <c r="I100" s="11" t="n"/>
      <c r="J100" s="11" t="n"/>
      <c r="K100" s="11" t="n"/>
      <c r="L100" s="11" t="n"/>
      <c r="M100" s="11" t="n"/>
      <c r="N100" s="11" t="n"/>
    </row>
    <row r="101" ht="95" customHeight="1">
      <c r="A101" s="10" t="n">
        <v>99</v>
      </c>
      <c r="B101" s="10" t="inlineStr">
        <is>
          <t>Vano: sezione, spazi di rifugio e ammortizzatori</t>
        </is>
      </c>
      <c r="C101" s="10" t="inlineStr">
        <is>
          <t>Ammortizzatori a dissipazione di energia (idraulici) — gli ammortizzatori Oleo sono dati di catalogo, non della norma: vanno sostituiti con quelli montati</t>
        </is>
      </c>
      <c r="D10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1" s="10" t="inlineStr">
        <is>
          <t>UNI EN 81-20:2020, 5.8.1.6 e 5.8.2.2.1 (corsa); la corsa ridotta di 5.8.2.2.2 non è usata</t>
        </is>
      </c>
      <c r="F101" s="10" t="inlineStr">
        <is>
          <t>UNI EN 81-20:2020, testo della norma, letto il 2026-10-06, p. 99; gli ammortizzatori tipici dal catalogo Oleo LSB e SEB (oleo.co.uk), estratti di ricerca del 1° ottobre 2026</t>
        </is>
      </c>
      <c r="G101" s="10" t="inlineStr">
        <is>
          <t>confermato</t>
        </is>
      </c>
      <c r="H101" s="10" t="inlineStr">
        <is>
          <t>tipo di ammortizzatori per la velocità; corsa degli ammortizzatori di cabina; corsa dell’ammortizzatore del contrappeso</t>
        </is>
      </c>
      <c r="I101" s="11" t="n"/>
      <c r="J101" s="11" t="n"/>
      <c r="K101" s="11" t="n"/>
      <c r="L101" s="11" t="n"/>
      <c r="M101" s="11" t="n"/>
      <c r="N101" s="11" t="n"/>
    </row>
    <row r="102" ht="433" customHeight="1">
      <c r="A102" s="10" t="n">
        <v>100</v>
      </c>
      <c r="B102" s="10" t="inlineStr">
        <is>
          <t>Locale del macchinario</t>
        </is>
      </c>
      <c r="C102"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02"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02" s="10" t="inlineStr">
        <is>
          <t>UNI EN 81-20:2020, 5.2.6.3.2.1 (2,10 m e superfici libere), 5.2.6.3.2.2 (percorsi: 0,50 m di larghezza, 1,80 m di altezza), 5.2.3.2 a) (porta), 5.2.3.3 a) (verso di apertura) e 5.2.6.3.3 (aperture)</t>
        </is>
      </c>
      <c r="F102" s="10" t="inlineStr">
        <is>
          <t>UNI EN 81-20:2020, testo della norma, letto il 2026-10-06, pp. 29–30, 43; le superfici libere anche in UNI EN 81-1:1999, 6.3.2.1 (edizione 2008: 6.3.3.1)</t>
        </is>
      </c>
      <c r="G102" s="10" t="inlineStr">
        <is>
          <t>confermato</t>
        </is>
      </c>
      <c r="H102" s="10" t="inlineStr">
        <is>
          <t>altezza del locale macchina; superficie libera davanti al quadro; superficie libera accanto all’argano; percorsi dalla porta alle superfici libere; porta del locale macchina</t>
        </is>
      </c>
      <c r="I102" s="11" t="n"/>
      <c r="J102" s="11" t="n"/>
      <c r="K102" s="11" t="n"/>
      <c r="L102" s="11" t="n"/>
      <c r="M102" s="11" t="n"/>
      <c r="N102" s="11" t="n"/>
    </row>
    <row r="103" ht="121" customHeight="1">
      <c r="A103" s="10" t="n">
        <v>101</v>
      </c>
      <c r="B103" s="10" t="inlineStr">
        <is>
          <t>Locale del macchinario</t>
        </is>
      </c>
      <c r="C103" s="10" t="inlineStr">
        <is>
          <t>Locale del macchinario esistente nella modifica — nella nota del foglio della sostituzione; nell’esito l’altezza e la porta restano «esistente», la superficie davanti al quadro entra quando cambia la macchina</t>
        </is>
      </c>
      <c r="D103"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03" s="10" t="inlineStr">
        <is>
          <t>UNI 10411-1:2024, 9.1–9.2; UNI 10411-11:2024, 9.2; UNI EN 81-21:2022, 5.9</t>
        </is>
      </c>
      <c r="F103" s="10" t="inlineStr">
        <is>
          <t>UNI 10411-1:2024, testo della norma, letto il 2026-10-06, p. 9; UNI 10411-11:2024, testo della norma, letto il 2026-10-06, p. 9; UNI EN 81-21:2022, testo della norma, letto il 2026-10-06, p. 23</t>
        </is>
      </c>
      <c r="G103" s="10" t="inlineStr">
        <is>
          <t>confermato</t>
        </is>
      </c>
      <c r="H103" s="10" t="inlineStr">
        <is>
          <t>—</t>
        </is>
      </c>
      <c r="I103" s="11" t="n"/>
      <c r="J103" s="11" t="n"/>
      <c r="K103" s="11" t="n"/>
      <c r="L103" s="11" t="n"/>
      <c r="M103" s="11" t="n"/>
      <c r="N103" s="11" t="n"/>
    </row>
    <row r="104" ht="212" customHeight="1">
      <c r="A104" s="10" t="n">
        <v>102</v>
      </c>
      <c r="B104" s="10" t="inlineStr">
        <is>
          <t>Locale del macchinario</t>
        </is>
      </c>
      <c r="C104"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04"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04" s="10" t="inlineStr">
        <is>
          <t>UNI EN 81-20:2020, 5.2.6.7.1 (altezza e superfici), 5.2.6.7.2 (aperture), 5.2.3.2 b) (porta), 5.2.1.5.2 c) (arresto) e 5.10.5.1.2 (interruttore generale)</t>
        </is>
      </c>
      <c r="F104" s="10" t="inlineStr">
        <is>
          <t>UNI EN 81-20:2020, testo della norma, letto il 2026-10-06, pp. 26, 29, 49</t>
        </is>
      </c>
      <c r="G104" s="10" t="inlineStr">
        <is>
          <t>confermato</t>
        </is>
      </c>
      <c r="H104" s="10" t="inlineStr">
        <is>
          <t>altezza libera del locale delle pulegge; porta del locale delle pulegge; spazio libero sopra le pulegge non protette</t>
        </is>
      </c>
      <c r="I104" s="11" t="n"/>
      <c r="J104" s="11" t="n"/>
      <c r="K104" s="11" t="n"/>
      <c r="L104" s="11" t="n"/>
      <c r="M104" s="11" t="n"/>
      <c r="N104" s="11" t="n"/>
    </row>
    <row r="105" ht="95" customHeight="1">
      <c r="A105" s="10" t="n">
        <v>103</v>
      </c>
      <c r="B105" s="10" t="inlineStr">
        <is>
          <t>Locale del macchinario</t>
        </is>
      </c>
      <c r="C105" s="10" t="inlineStr">
        <is>
          <t>Il quadro di manovra fuori dall’ingombro dell’argano</t>
        </is>
      </c>
      <c r="D105"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5" s="10" t="inlineStr">
        <is>
          <t>—</t>
        </is>
      </c>
      <c r="F105" s="10" t="inlineStr">
        <is>
          <t>geometria del progetto: la pianta del locale, il quadro inserito o posto dal software, gli ingombri dell’argano, del basamento, del rinvio e del limitatore come li disegna la pianta del locale</t>
        </is>
      </c>
      <c r="G105" s="10" t="inlineStr">
        <is>
          <t>derivazione</t>
        </is>
      </c>
      <c r="H105" s="10" t="inlineStr">
        <is>
          <t>quadro di manovra fuori dall’ingombro di argano, limitatore e interruttore generale</t>
        </is>
      </c>
      <c r="I105" s="11" t="n"/>
      <c r="J105" s="11" t="n"/>
      <c r="K105" s="11" t="n"/>
      <c r="L105" s="11" t="n"/>
      <c r="M105" s="11" t="n"/>
      <c r="N105" s="11" t="n"/>
    </row>
    <row r="106" ht="238" customHeight="1">
      <c r="A106" s="10" t="n">
        <v>104</v>
      </c>
      <c r="B106" s="10" t="inlineStr">
        <is>
          <t>Locale del macchinario</t>
        </is>
      </c>
      <c r="C106" s="10" t="inlineStr">
        <is>
          <t>Dove il software mette il quadro di manovra</t>
        </is>
      </c>
      <c r="D106"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6"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6" s="10" t="inlineStr">
        <is>
          <t>UNI EN 81-20:2020, testo della norma, letto il 2026-10-06, pp. 43, 117, 129; la vicinanza alla porta, la distanza laterale e il passo sono scelte del software</t>
        </is>
      </c>
      <c r="G106" s="10" t="inlineStr">
        <is>
          <t>scelta del software</t>
        </is>
      </c>
      <c r="H106" s="10" t="inlineStr">
        <is>
          <t>—</t>
        </is>
      </c>
      <c r="I106" s="11" t="n"/>
      <c r="J106" s="11" t="n"/>
      <c r="K106" s="11" t="n"/>
      <c r="L106" s="11" t="n"/>
      <c r="M106" s="11" t="n"/>
      <c r="N106" s="11" t="n"/>
    </row>
    <row r="107" ht="69" customHeight="1">
      <c r="A107" s="10" t="n">
        <v>105</v>
      </c>
      <c r="B107" s="10" t="inlineStr">
        <is>
          <t>Locale del macchinario</t>
        </is>
      </c>
      <c r="C107" s="10" t="inlineStr">
        <is>
          <t>Illuminazione del vano e del locale del macchinario</t>
        </is>
      </c>
      <c r="D107" s="10" t="inlineStr">
        <is>
          <t>vano: luce fissa, almeno 50 lux a un metro dal tetto di cabina e dal fondo della fossa, 20 lux nel resto; locale del macchinario: almeno 200 lux al pavimento dove si lavora e 50 lux sui percorsi; 50 lux anche sull’accesso al macchinario</t>
        </is>
      </c>
      <c r="E107" s="10" t="inlineStr">
        <is>
          <t>UNI EN 81-20:2020, 5.2.1.4.1 a)–c), 5.2.1.4.2 e 5.2.2.2</t>
        </is>
      </c>
      <c r="F107" s="10" t="inlineStr">
        <is>
          <t>UNI EN 81-20:2020, testo della norma, letto il 2026-10-06, p. 25</t>
        </is>
      </c>
      <c r="G107" s="10" t="inlineStr">
        <is>
          <t>confermato</t>
        </is>
      </c>
      <c r="H107" s="10" t="inlineStr">
        <is>
          <t>—</t>
        </is>
      </c>
      <c r="I107" s="11" t="n"/>
      <c r="J107" s="11" t="n"/>
      <c r="K107" s="11" t="n"/>
      <c r="L107" s="11" t="n"/>
      <c r="M107" s="11" t="n"/>
      <c r="N107" s="11" t="n"/>
    </row>
    <row r="108" ht="43" customHeight="1">
      <c r="A108" s="10" t="n">
        <v>106</v>
      </c>
      <c r="B108" s="10" t="inlineStr">
        <is>
          <t>Locale del macchinario</t>
        </is>
      </c>
      <c r="C108" s="10" t="inlineStr">
        <is>
          <t>Temperatura dei locali del macchinario e degli armadi</t>
        </is>
      </c>
      <c r="D108" s="10" t="inlineStr">
        <is>
          <t>temperatura ambiente mantenuta tra +5 °C e +40 °C: ipotesi della norma, da garantire nell’edificio</t>
        </is>
      </c>
      <c r="E108" s="10" t="inlineStr">
        <is>
          <t>UNI EN 81-20:2020, 0.4.16 (ipotesi della norma, vale anche per il vano)</t>
        </is>
      </c>
      <c r="F108" s="10" t="inlineStr">
        <is>
          <t>UNI EN 81-20:2020, testo della norma, letto il 2026-10-06, p. 14</t>
        </is>
      </c>
      <c r="G108" s="10" t="inlineStr">
        <is>
          <t>confermato</t>
        </is>
      </c>
      <c r="H108" s="10" t="inlineStr">
        <is>
          <t>—</t>
        </is>
      </c>
      <c r="I108" s="11" t="n"/>
      <c r="J108" s="11" t="n"/>
      <c r="K108" s="11" t="n"/>
      <c r="L108" s="11" t="n"/>
      <c r="M108" s="11" t="n"/>
      <c r="N108" s="11" t="n"/>
    </row>
    <row r="109" ht="225" customHeight="1">
      <c r="A109" s="10" t="n">
        <v>107</v>
      </c>
      <c r="B109" s="10" t="inlineStr">
        <is>
          <t>Locale del macchinario</t>
        </is>
      </c>
      <c r="C109" s="10" t="inlineStr">
        <is>
          <t>Basamento dell’argano</t>
        </is>
      </c>
      <c r="D109"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9" s="10" t="inlineStr">
        <is>
          <t>UNI EN 81-20:2020, 5.2.1.8 (carichi sull’edificio); scelta del costruttore</t>
        </is>
      </c>
      <c r="F109" s="10" t="inlineStr">
        <is>
          <t>telaio basso universale per argano alto 200 mm (lift-store.it); tamponi antivibranti 25–30 mm (catalogo Donati); piastre di 20 mm e plinto di 250–300 mm nella pratica di installazione (fonti estere, da confermare); estratti di ricerca del 1° ottobre 2026</t>
        </is>
      </c>
      <c r="G109" s="10" t="inlineStr">
        <is>
          <t>scelta del software</t>
        </is>
      </c>
      <c r="H109" s="10" t="inlineStr">
        <is>
          <t>—</t>
        </is>
      </c>
      <c r="I109" s="11" t="n"/>
      <c r="J109" s="11" t="n"/>
      <c r="K109" s="11" t="n"/>
      <c r="L109" s="11" t="n"/>
      <c r="M109" s="11" t="n"/>
      <c r="N109" s="11" t="n"/>
    </row>
    <row r="110" ht="147" customHeight="1">
      <c r="A110" s="10" t="n">
        <v>108</v>
      </c>
      <c r="B110" s="10" t="inlineStr">
        <is>
          <t>Locale del macchinario</t>
        </is>
      </c>
      <c r="C110" s="10" t="inlineStr">
        <is>
          <t>Telaio sotto l’argano di un costruttore</t>
        </is>
      </c>
      <c r="D110"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10" s="10" t="inlineStr">
        <is>
          <t>—</t>
        </is>
      </c>
      <c r="F110" s="10" t="inlineStr">
        <is>
          <t>quote dei piedi, dei fori e dell’asse della puleggia dalle schede tecniche del costruttore; altezza del telaio scelta dal software, da adattare al telaio fornito</t>
        </is>
      </c>
      <c r="G110" s="10" t="inlineStr">
        <is>
          <t>scelta del software</t>
        </is>
      </c>
      <c r="H110" s="10" t="inlineStr">
        <is>
          <t>—</t>
        </is>
      </c>
      <c r="I110" s="11" t="n"/>
      <c r="J110" s="11" t="n"/>
      <c r="K110" s="11" t="n"/>
      <c r="L110" s="11" t="n"/>
      <c r="M110" s="11" t="n"/>
      <c r="N110" s="11" t="n"/>
    </row>
    <row r="111" ht="303" customHeight="1">
      <c r="A111" s="10" t="n">
        <v>109</v>
      </c>
      <c r="B111" s="10" t="inlineStr">
        <is>
          <t>Locale del macchinario</t>
        </is>
      </c>
      <c r="C111" s="10" t="inlineStr">
        <is>
          <t>Puleggia di rinvio nel locale del macchinario</t>
        </is>
      </c>
      <c r="D11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11" s="10" t="inlineStr">
        <is>
          <t>regola del committente (Panev): il rinvio sta nel telaio del locale macchina, mai nel vano; UNI EN 81-20:2020, 5.2.1.8 (carichi sull’edificio)</t>
        </is>
      </c>
      <c r="F11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11" s="10" t="inlineStr">
        <is>
          <t>scelta del software</t>
        </is>
      </c>
      <c r="H111" s="10" t="inlineStr">
        <is>
          <t>calata del contrappeso nel telaio con rinvio del costruttore</t>
        </is>
      </c>
      <c r="I111" s="11" t="n"/>
      <c r="J111" s="11" t="n"/>
      <c r="K111" s="11" t="n"/>
      <c r="L111" s="11" t="n"/>
      <c r="M111" s="11" t="n"/>
      <c r="N111" s="11" t="n"/>
    </row>
    <row r="112" ht="186" customHeight="1">
      <c r="A112" s="10" t="n">
        <v>110</v>
      </c>
      <c r="B112" s="10" t="inlineStr">
        <is>
          <t>Locale del macchinario</t>
        </is>
      </c>
      <c r="C112" s="10" t="inlineStr">
        <is>
          <t>L’argano dentro il locale del macchinario</t>
        </is>
      </c>
      <c r="D112"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12" s="10" t="inlineStr">
        <is>
          <t>—</t>
        </is>
      </c>
      <c r="F112" s="10" t="inlineStr">
        <is>
          <t>geometria del progetto: la pianta e l’altezza del locale inserite, gli ingombri dell’argano e del basamento</t>
        </is>
      </c>
      <c r="G112" s="10" t="inlineStr">
        <is>
          <t>derivazione</t>
        </is>
      </c>
      <c r="H112" s="10" t="inlineStr">
        <is>
          <t>argano dentro il locale (muri e soffitto); puleggia di rinvio sul suo supporto sotto l’argano</t>
        </is>
      </c>
      <c r="I112" s="11" t="n"/>
      <c r="J112" s="11" t="n"/>
      <c r="K112" s="11" t="n"/>
      <c r="L112" s="11" t="n"/>
      <c r="M112" s="11" t="n"/>
      <c r="N112" s="11" t="n"/>
    </row>
    <row r="113" ht="303" customHeight="1">
      <c r="A113" s="10" t="n">
        <v>111</v>
      </c>
      <c r="B113" s="10" t="inlineStr">
        <is>
          <t>Locale del macchinario</t>
        </is>
      </c>
      <c r="C113" s="10" t="inlineStr">
        <is>
          <t>Verifica delle putrelle sotto l’argano — verifica semplice a carico concentrato in mezzeria su trave appoggiata; gli appoggi nei muri, il loro ancoraggio contro il sollevamento e la muratura vanno verificati dal progettista; fino a LIFT 1.23.0 e ROOM 1.7.0 ognuna delle due putrelle portava metà del carico</t>
        </is>
      </c>
      <c r="D113" s="10" t="inlineStr">
        <is>
          <t>una putrella sotto ogni fila di appoggi del telaio dell’argano, lungo la linea delle calate da muro a muro; il carico dell’argano (il suo peso al centro del suo ingombro più il carico statico sull’asse per il coefficiente dinamico, sulle calate delle funi nel piano della puleggia) si ripartisce tra le putrelle con la regola della leva (telaio rigido su putrelle di pari rigidezza; con più di due file, ripartizione lineare);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proprietà dei profili EN 10365; quando la risultante cade fuori dalle putrelle (la puleggia a sbalzo oltre il telaio) la putrella lontana è tirata verso l’alto: avvertimento con la forza, l’argano va ancorato a essa e la putrella trattenuta nei muri, oppure le putrelle spostate sotto la puleggia</t>
        </is>
      </c>
      <c r="E11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1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13" s="10" t="inlineStr">
        <is>
          <t>da verificare</t>
        </is>
      </c>
      <c r="H113" s="10" t="inlineStr">
        <is>
          <t>tensione nelle putrelle sotto l’argano; freccia delle putrelle sotto l’argano; trazione sulla putrella lontana (risultante fuori dalle putrelle)</t>
        </is>
      </c>
      <c r="I113" s="11" t="n"/>
      <c r="J113" s="11" t="n"/>
      <c r="K113" s="11" t="n"/>
      <c r="L113" s="11" t="n"/>
      <c r="M113" s="11" t="n"/>
      <c r="N113" s="11" t="n"/>
    </row>
    <row r="114" ht="147" customHeight="1">
      <c r="A114" s="10" t="n">
        <v>112</v>
      </c>
      <c r="B114" s="10" t="inlineStr">
        <is>
          <t>Locale del macchinario</t>
        </is>
      </c>
      <c r="C114" s="10" t="inlineStr">
        <is>
          <t>Sostituzione dell’argano: calate esistenti e calate della nuova macchina</t>
        </is>
      </c>
      <c r="D11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4" s="10" t="inlineStr">
        <is>
          <t>—</t>
        </is>
      </c>
      <c r="F114" s="10" t="inlineStr">
        <is>
          <t>tolleranza scelta dal software per il rilievo in sito (le funi a qualche metro dal basamento): da confermare con l’installatore</t>
        </is>
      </c>
      <c r="G114" s="10" t="inlineStr">
        <is>
          <t>scelta del software</t>
        </is>
      </c>
      <c r="H114" s="10" t="inlineStr">
        <is>
          <t>sostituzione: calate della nuova macchina sulle calate esistenti</t>
        </is>
      </c>
      <c r="I114" s="11" t="n"/>
      <c r="J114" s="11" t="n"/>
      <c r="K114" s="11" t="n"/>
      <c r="L114" s="11" t="n"/>
      <c r="M114" s="11" t="n"/>
      <c r="N114" s="11" t="n"/>
    </row>
    <row r="115" ht="472" customHeight="1">
      <c r="A115" s="10" t="n">
        <v>113</v>
      </c>
      <c r="B115" s="10" t="inlineStr">
        <is>
          <t>Locale del macchinario</t>
        </is>
      </c>
      <c r="C115"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t>
        </is>
      </c>
      <c r="D11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e sotto il nostro telaio basso, che le attraversa, il più lontane possibile tra loro sotto il telaio entro i muri del vano: il telaio può sporgere oltre di esse.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5" s="10" t="inlineStr">
        <is>
          <t>UNI EN 81-20:2020, 5.2.1.8.1 e appendice E.1 (carichi sull’edificio); NTC 2018, §4.2.4.1.1 (γM0), Tab. 11.3.IX (S275), §11.3.4.1 (E); DPR 1497/1963, art. 5.1–5.2 (freccia ≤ 1/1500 della luce libera); proprietà dei profili EN 10365</t>
        </is>
      </c>
      <c r="F115"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5" s="10" t="inlineStr">
        <is>
          <t>scelta del software</t>
        </is>
      </c>
      <c r="H115" s="10" t="inlineStr">
        <is>
          <t>tensione nelle putrelle HEB sui muri del vano; freccia delle putrelle HEB sui muri del vano; basamento dell’argano sulle putrelle HEB; funi lontane dalle putrelle HEB; appoggio delle putrelle HEB nei muri del vano</t>
        </is>
      </c>
      <c r="I115" s="11" t="n"/>
      <c r="J115" s="11" t="n"/>
      <c r="K115" s="11" t="n"/>
      <c r="L115" s="11" t="n"/>
      <c r="M115" s="11" t="n"/>
      <c r="N115" s="11" t="n"/>
    </row>
    <row r="116" ht="147" customHeight="1">
      <c r="A116" s="10" t="n">
        <v>114</v>
      </c>
      <c r="B116" s="10" t="inlineStr">
        <is>
          <t>Carichi sull’edificio e spinte sulle guide</t>
        </is>
      </c>
      <c r="C11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6" s="10" t="inlineStr">
        <is>
          <t>UNI EN 81-20:2020, 5.2.1.8.4–5.2.1.8.6, 5.7.2.3.5 e Prospetto 14 (k1)</t>
        </is>
      </c>
      <c r="F116" s="10" t="inlineStr">
        <is>
          <t>UNI EN 81-20:2020, testo della norma, letto il 2026-10-06, pp. 27, 94–96</t>
        </is>
      </c>
      <c r="G116" s="10" t="inlineStr">
        <is>
          <t>confermato</t>
        </is>
      </c>
      <c r="H116" s="10" t="inlineStr">
        <is>
          <t>—</t>
        </is>
      </c>
      <c r="I116" s="11" t="n"/>
      <c r="J116" s="11" t="n"/>
      <c r="K116" s="11" t="n"/>
      <c r="L116" s="11" t="n"/>
      <c r="M116" s="11" t="n"/>
      <c r="N116" s="11" t="n"/>
    </row>
    <row r="117" ht="108" customHeight="1">
      <c r="A117" s="10" t="n">
        <v>115</v>
      </c>
      <c r="B117" s="10" t="inlineStr">
        <is>
          <t>Carichi sull’edificio e spinte sulle guide</t>
        </is>
      </c>
      <c r="C117" s="10" t="inlineStr">
        <is>
          <t>Spinte sulle guide di cabina — h, la distanza tra i pattini, è una stima del software (l’ingombro verticale dell’arcata)</t>
        </is>
      </c>
      <c r="D11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7" s="10" t="inlineStr">
        <is>
          <t>UNI EN 81-50:2020, appendice C (informativa), C.2.1.1 e C.2.2.1; UNI EN 81-20:2020, 5.7.2.3.4 (portata su 3/4 della superficie: 1/8) e Prospetto 14 (k1; k2 = 1,2)</t>
        </is>
      </c>
      <c r="F117" s="10" t="inlineStr">
        <is>
          <t>UNI EN 81-50:2020, testo della norma, letto il 2026-10-06, pp. 77–79; UNI EN 81-20:2020, testo della norma, letto il 2026-10-06, pp. 94–96</t>
        </is>
      </c>
      <c r="G117" s="10" t="inlineStr">
        <is>
          <t>confermato</t>
        </is>
      </c>
      <c r="H117" s="10" t="inlineStr">
        <is>
          <t>—</t>
        </is>
      </c>
      <c r="I117" s="11" t="n"/>
      <c r="J117" s="11" t="n"/>
      <c r="K117" s="11" t="n"/>
      <c r="L117" s="11" t="n"/>
      <c r="M117" s="11" t="n"/>
      <c r="N117" s="11" t="n"/>
    </row>
    <row r="118" ht="108" customHeight="1">
      <c r="A118" s="10" t="n">
        <v>116</v>
      </c>
      <c r="B118" s="10" t="inlineStr">
        <is>
          <t>Carichi sull’edificio e spinte sulle guide</t>
        </is>
      </c>
      <c r="C118" s="10" t="inlineStr">
        <is>
          <t>Carico della macchina sulla soletta</t>
        </is>
      </c>
      <c r="D118" s="10" t="inlineStr">
        <is>
          <t>carico statico sull’asse (cabina, portata, contrappeso, funi, cavi; in taglia 2:1 la metà di cabina, portata e contrappeso) × 2 come coefficiente dinamico; sulla soletta anche la massa di macchina e telaio</t>
        </is>
      </c>
      <c r="E118" s="10" t="inlineStr">
        <is>
          <t>UNI EN 81-20:2020, 5.2.1.8.1 e appendice E.1 (informativa: l’effetto dinamico delle masse in moto con un fattore 2); il DPR 1497/1963, art. 5.1, per gli impianti costruiti secondo esso chiedeva 1,5 volte il carico statico delle funi</t>
        </is>
      </c>
      <c r="F118" s="10" t="inlineStr">
        <is>
          <t>UNI EN 81-20:2020, testo della norma, letto il 2026-10-06, pp. 26, 148</t>
        </is>
      </c>
      <c r="G118" s="10" t="inlineStr">
        <is>
          <t>confermato</t>
        </is>
      </c>
      <c r="H118" s="10" t="inlineStr">
        <is>
          <t>—</t>
        </is>
      </c>
      <c r="I118" s="11" t="n"/>
      <c r="J118" s="11" t="n"/>
      <c r="K118" s="11" t="n"/>
      <c r="L118" s="11" t="n"/>
      <c r="M118" s="11" t="n"/>
      <c r="N118" s="11" t="n"/>
    </row>
    <row r="119" ht="43" customHeight="1">
      <c r="A119" s="10" t="n">
        <v>117</v>
      </c>
      <c r="B119" s="10" t="inlineStr">
        <is>
          <t>Carichi sull’edificio e spinte sulle guide</t>
        </is>
      </c>
      <c r="C119" s="10" t="inlineStr">
        <is>
          <t>Massa dei cavi flessibili</t>
        </is>
      </c>
      <c r="D119" s="10" t="inlineStr">
        <is>
          <t>0,5 kg/m per metà della corsa più 3 m (cavo piatto 24G0,75), sul basamento dell’argano, nella relazione e nel foglio 1</t>
        </is>
      </c>
      <c r="E119" s="10" t="inlineStr">
        <is>
          <t>—</t>
        </is>
      </c>
      <c r="F119" s="10" t="inlineStr">
        <is>
          <t>schede dei costruttori di cavi piatti (0,48–0,57 kg/m)</t>
        </is>
      </c>
      <c r="G119" s="10" t="inlineStr">
        <is>
          <t>stima</t>
        </is>
      </c>
      <c r="H119" s="10" t="inlineStr">
        <is>
          <t>—</t>
        </is>
      </c>
      <c r="I119" s="11" t="n"/>
      <c r="J119" s="11" t="n"/>
      <c r="K119" s="11" t="n"/>
      <c r="L119" s="11" t="n"/>
      <c r="M119" s="11" t="n"/>
      <c r="N119" s="11" t="n"/>
    </row>
    <row r="120" ht="121" customHeight="1">
      <c r="A120" s="10" t="n">
        <v>118</v>
      </c>
      <c r="B120" s="10" t="inlineStr">
        <is>
          <t>Carichi sull’edificio e spinte sulle guide</t>
        </is>
      </c>
      <c r="C120" s="10" t="inlineStr">
        <is>
          <t>Numero e posizione delle staffe delle guide — il passo delle staffe va confermato con la verifica delle guide (UNI EN 81-50:2020, 5.10), che usa la distanza tra le staffe</t>
        </is>
      </c>
      <c r="D12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20" s="10" t="inlineStr">
        <is>
          <t>regola di montaggio indicata dal committente</t>
        </is>
      </c>
      <c r="F120" s="10" t="inlineStr">
        <is>
          <t>scelta del committente</t>
        </is>
      </c>
      <c r="G120" s="10" t="inlineStr">
        <is>
          <t>scelta del software</t>
        </is>
      </c>
      <c r="H120" s="10" t="inlineStr">
        <is>
          <t>—</t>
        </is>
      </c>
      <c r="I120" s="11" t="n"/>
      <c r="J120" s="11" t="n"/>
      <c r="K120" s="11" t="n"/>
      <c r="L120" s="11" t="n"/>
      <c r="M120" s="11" t="n"/>
      <c r="N120" s="11" t="n"/>
    </row>
    <row r="121" ht="82" customHeight="1">
      <c r="A121" s="10" t="n">
        <v>119</v>
      </c>
      <c r="B121" s="10" t="inlineStr">
        <is>
          <t>Carichi sull’edificio e spinte sulle guide</t>
        </is>
      </c>
      <c r="C121" s="10" t="inlineStr">
        <is>
          <t>Lunghezze stimate nel foglio dei dati</t>
        </is>
      </c>
      <c r="D121"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21" s="10" t="inlineStr">
        <is>
          <t>—</t>
        </is>
      </c>
      <c r="F121" s="10" t="inlineStr">
        <is>
          <t>stima del software, da sostituire con le misure di cantiere</t>
        </is>
      </c>
      <c r="G121" s="10" t="inlineStr">
        <is>
          <t>stima</t>
        </is>
      </c>
      <c r="H121" s="10" t="inlineStr">
        <is>
          <t>—</t>
        </is>
      </c>
      <c r="I121" s="11" t="n"/>
      <c r="J121" s="11" t="n"/>
      <c r="K121" s="11" t="n"/>
      <c r="L121" s="11" t="n"/>
      <c r="M121" s="11" t="n"/>
      <c r="N121" s="11" t="n"/>
    </row>
    <row r="122" ht="329" customHeight="1">
      <c r="A122" s="10" t="n">
        <v>120</v>
      </c>
      <c r="B122" s="10" t="inlineStr">
        <is>
          <t>Carichi sull’edificio e spinte sulle guide</t>
        </is>
      </c>
      <c r="C12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2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22" s="10" t="inlineStr">
        <is>
          <t>UNI EN 81-50:2020, 5.10.2–5.10.6; UNI EN 81-20:2020, 5.7.2.3.5, 5.7.2.3.6, 5.7.4.5 (Prospetto 15), 5.7.4.6 e Prospetto 14; UNI EN 81-1:2008, G.2.5 (l’uso non indicato)</t>
        </is>
      </c>
      <c r="F122" s="10" t="inlineStr">
        <is>
          <t>UNI EN 81-50:2020, testo della norma, letto il 2026-10-06, pp. 35–39; UNI EN 81-20:2020, testo della norma, letto il 2026-10-06, pp. 94–97; Rm 370 è scelta del software (il valore più basso)</t>
        </is>
      </c>
      <c r="G122" s="10" t="inlineStr">
        <is>
          <t>confermato</t>
        </is>
      </c>
      <c r="H122" s="10" t="inlineStr">
        <is>
          <t>tensioni nelle guide di cabina; flessione della suola delle guide di cabina; frecce delle guide di cabina</t>
        </is>
      </c>
      <c r="I122" s="11" t="n"/>
      <c r="J122" s="11" t="n"/>
      <c r="K122" s="11" t="n"/>
      <c r="L122" s="11" t="n"/>
      <c r="M122" s="11" t="n"/>
      <c r="N122" s="11" t="n"/>
    </row>
    <row r="123" ht="147" customHeight="1">
      <c r="A123" s="10" t="n">
        <v>121</v>
      </c>
      <c r="B123" s="10" t="inlineStr">
        <is>
          <t>Carichi sull’edificio e spinte sulle guide</t>
        </is>
      </c>
      <c r="C123" s="10" t="inlineStr">
        <is>
          <t>Sezioni delle guide di cabina</t>
        </is>
      </c>
      <c r="D123" s="10" t="inlineStr">
        <is>
          <t>area, momenti d’inerzia e moduli di resistenza minimi attorno all’asse parallelo alla suola (x) e all’asse di simmetria (y), spessore c del collo tra lama e suola, per ogni profilo del software; raggi d’inerzia calcolati come √(I/A)</t>
        </is>
      </c>
      <c r="E123" s="10" t="inlineStr">
        <is>
          <t>ISO 7465:2007 (ora ISO 8100-33:2022); EN 10055:1995 per il T 70×70×8 laminato</t>
        </is>
      </c>
      <c r="F12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23" s="10" t="inlineStr">
        <is>
          <t>da verificare</t>
        </is>
      </c>
      <c r="H123" s="10" t="inlineStr">
        <is>
          <t>—</t>
        </is>
      </c>
      <c r="I123" s="11" t="n"/>
      <c r="J123" s="11" t="n"/>
      <c r="K123" s="11" t="n"/>
      <c r="L123" s="11" t="n"/>
      <c r="M123" s="11" t="n"/>
      <c r="N123" s="11" t="n"/>
    </row>
    <row r="124" ht="69" customHeight="1">
      <c r="A124" s="10" t="n">
        <v>122</v>
      </c>
      <c r="B124" s="10" t="inlineStr">
        <is>
          <t>Carichi sull’edificio e spinte sulle guide</t>
        </is>
      </c>
      <c r="C124" s="10" t="inlineStr">
        <is>
          <t>Tipo di paracadute per la velocità nominale</t>
        </is>
      </c>
      <c r="D124" s="10" t="inlineStr">
        <is>
          <t>istantaneo (anche a rulli imprigionati) fino a 0,63 m/s; oltre, progressivo (la UNI EN 81-20 non ha più l’istantaneo con effetto ammortizzato fino a 1 m/s); il tipo viene dai dati dell’impianto (se manca: progressivo, con la nota sul foglio)</t>
        </is>
      </c>
      <c r="E124" s="10" t="inlineStr">
        <is>
          <t>UNI EN 81-20:2020, 5.6.2.1.2.1; la regola precedente in UNI EN 81-1 (1999, 2008), 9.8.2.1</t>
        </is>
      </c>
      <c r="F124" s="10" t="inlineStr">
        <is>
          <t>UNI EN 81-20:2020, testo della norma, letto il 2026-10-06, p. 81; UNI EN 81-1:2008, testo della norma, letto il 2026-10-06, p. 58</t>
        </is>
      </c>
      <c r="G124" s="10" t="inlineStr">
        <is>
          <t>confermato</t>
        </is>
      </c>
      <c r="H124" s="10" t="inlineStr">
        <is>
          <t>tipo di paracadute per la velocità</t>
        </is>
      </c>
      <c r="I124" s="11" t="n"/>
      <c r="J124" s="11" t="n"/>
      <c r="K124" s="11" t="n"/>
      <c r="L124" s="11" t="n"/>
      <c r="M124" s="11" t="n"/>
      <c r="N124" s="11" t="n"/>
    </row>
    <row r="125" ht="43" customHeight="1">
      <c r="A125" s="10" t="n">
        <v>123</v>
      </c>
      <c r="B125" s="10" t="inlineStr">
        <is>
          <t>Vano: limiti del progetto</t>
        </is>
      </c>
      <c r="C125" s="10" t="inlineStr">
        <is>
          <t>Dimensioni proposte della cabina</t>
        </is>
      </c>
      <c r="D125" s="10" t="inlineStr">
        <is>
          <t>la cabina più grande che entra nel vano, a passi di 10 mm, con superficie entro il limite della portata; a parità di superficie, la più profonda</t>
        </is>
      </c>
      <c r="E125" s="10" t="inlineStr">
        <is>
          <t>—</t>
        </is>
      </c>
      <c r="F125" s="10" t="inlineStr">
        <is>
          <t>scelta del software</t>
        </is>
      </c>
      <c r="G125" s="10" t="inlineStr">
        <is>
          <t>scelta del software</t>
        </is>
      </c>
      <c r="H125" s="10" t="inlineStr">
        <is>
          <t>—</t>
        </is>
      </c>
      <c r="I125" s="11" t="n"/>
      <c r="J125" s="11" t="n"/>
      <c r="K125" s="11" t="n"/>
      <c r="L125" s="11" t="n"/>
      <c r="M125" s="11" t="n"/>
      <c r="N125" s="11" t="n"/>
    </row>
    <row r="126" ht="225" customHeight="1">
      <c r="A126" s="10" t="n">
        <v>124</v>
      </c>
      <c r="B126" s="10" t="inlineStr">
        <is>
          <t>Vano: limiti del progetto</t>
        </is>
      </c>
      <c r="C126" s="10" t="inlineStr">
        <is>
          <t>Quote della pianta fissate a mano</t>
        </is>
      </c>
      <c r="D12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6" s="10" t="inlineStr">
        <is>
          <t>—</t>
        </is>
      </c>
      <c r="F126" s="10" t="inlineStr">
        <is>
          <t>scelta del software</t>
        </is>
      </c>
      <c r="G126" s="10" t="inlineStr">
        <is>
          <t>scelta del software</t>
        </is>
      </c>
      <c r="H126" s="10" t="inlineStr">
        <is>
          <t>quote fissate a mano: ingombri al loro posto; quote fissate a mano: porte dentro la cabina; ammortizzatori fissati a mano: sotto cabina e contrappeso, fuori dal rifugio</t>
        </is>
      </c>
      <c r="I126" s="11" t="n"/>
      <c r="J126" s="11" t="n"/>
      <c r="K126" s="11" t="n"/>
      <c r="L126" s="11" t="n"/>
      <c r="M126" s="11" t="n"/>
      <c r="N126" s="11" t="n"/>
    </row>
    <row r="127" ht="82" customHeight="1">
      <c r="A127" s="10" t="n">
        <v>125</v>
      </c>
      <c r="B127" s="10" t="inlineStr">
        <is>
          <t>Vano: limiti del progetto</t>
        </is>
      </c>
      <c r="C127" s="10" t="inlineStr">
        <is>
          <t>Limiti del modello del vano</t>
        </is>
      </c>
      <c r="D127" s="10" t="inlineStr">
        <is>
          <t>pianta, sezione A-A e locale macchina da un modello semplificato: arcata, operatori delle porte, ammortizzatori e macchina hanno posizioni e ingombri tipici, da sostituire con i dati dei fornitori; il rilievo dal disegno CAD va controllato in cantiere</t>
        </is>
      </c>
      <c r="E127" s="10" t="inlineStr">
        <is>
          <t>—</t>
        </is>
      </c>
      <c r="F127" s="10" t="inlineStr">
        <is>
          <t>limite del modello attuale</t>
        </is>
      </c>
      <c r="G127" s="10" t="inlineStr">
        <is>
          <t>scelta del software</t>
        </is>
      </c>
      <c r="H127" s="10" t="inlineStr">
        <is>
          <t>—</t>
        </is>
      </c>
      <c r="I127" s="11" t="n"/>
      <c r="J127" s="11" t="n"/>
      <c r="K127" s="11" t="n"/>
      <c r="L127" s="11" t="n"/>
      <c r="M127" s="11" t="n"/>
      <c r="N127" s="11" t="n"/>
    </row>
    <row r="128" ht="238" customHeight="1">
      <c r="A128" s="10" t="n">
        <v>126</v>
      </c>
      <c r="B128" s="10" t="inlineStr">
        <is>
          <t>Vano: limiti del progetto</t>
        </is>
      </c>
      <c r="C128" s="10" t="inlineStr">
        <is>
          <t>Verifiche che il software non calcola</t>
        </is>
      </c>
      <c r="D128"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8"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8" s="10" t="inlineStr">
        <is>
          <t>UNI EN 81-20:2020, testo della norma, letto il 2026-10-06, pp. 31–43, 89–97; analisi delle lacune del 2026-10-03</t>
        </is>
      </c>
      <c r="G128" s="10" t="inlineStr">
        <is>
          <t>scelta del software</t>
        </is>
      </c>
      <c r="H128" s="10" t="inlineStr">
        <is>
          <t>—</t>
        </is>
      </c>
      <c r="I128" s="11" t="n"/>
      <c r="J128" s="11" t="n"/>
      <c r="K128" s="11" t="n"/>
      <c r="L128" s="11" t="n"/>
      <c r="M128" s="11" t="n"/>
      <c r="N128" s="11" t="n"/>
    </row>
    <row r="129" ht="56" customHeight="1">
      <c r="A129" s="10" t="n">
        <v>127</v>
      </c>
      <c r="B129" s="10" t="inlineStr">
        <is>
          <t>Impianto: valori calcolati dai dati inseriti una volta</t>
        </is>
      </c>
      <c r="C129" s="10" t="inlineStr">
        <is>
          <t>Corsa</t>
        </is>
      </c>
      <c r="D129" s="10" t="inlineStr">
        <is>
          <t>somma delle altezze tra i piani, dal più basso al più alto</t>
        </is>
      </c>
      <c r="E129" s="10" t="inlineStr">
        <is>
          <t>—</t>
        </is>
      </c>
      <c r="F129" s="10" t="inlineStr">
        <is>
          <t>dati dei piani inseriti</t>
        </is>
      </c>
      <c r="G129" s="10" t="inlineStr">
        <is>
          <t>derivazione</t>
        </is>
      </c>
      <c r="H129" s="10" t="inlineStr">
        <is>
          <t>—</t>
        </is>
      </c>
      <c r="I129" s="11" t="n"/>
      <c r="J129" s="11" t="n"/>
      <c r="K129" s="11" t="n"/>
      <c r="L129" s="11" t="n"/>
      <c r="M129" s="11" t="n"/>
      <c r="N129" s="11" t="n"/>
    </row>
    <row r="130" ht="56" customHeight="1">
      <c r="A130" s="10" t="n">
        <v>128</v>
      </c>
      <c r="B130" s="10" t="inlineStr">
        <is>
          <t>Impianto: valori calcolati dai dati inseriti una volta</t>
        </is>
      </c>
      <c r="C130" s="10" t="inlineStr">
        <is>
          <t>Portata e velocità — In una modifica il confronto con i carichi documentati è nella voce impianto.variazione.carico.</t>
        </is>
      </c>
      <c r="D130" s="10" t="inlineStr">
        <is>
          <t>la portata inserita, oppure quella della cabina più grande che entra nel vano (Tabella 6); la velocità è una sola per il vano e per la macchina</t>
        </is>
      </c>
      <c r="E130" s="10" t="inlineStr">
        <is>
          <t>UNI EN 81-20:2020, 5.4.2.1</t>
        </is>
      </c>
      <c r="F130" s="10" t="inlineStr">
        <is>
          <t>progetto del vano</t>
        </is>
      </c>
      <c r="G130" s="10" t="inlineStr">
        <is>
          <t>derivazione</t>
        </is>
      </c>
      <c r="H130" s="10" t="inlineStr">
        <is>
          <t>—</t>
        </is>
      </c>
      <c r="I130" s="11" t="n"/>
      <c r="J130" s="11" t="n"/>
      <c r="K130" s="11" t="n"/>
      <c r="L130" s="11" t="n"/>
      <c r="M130" s="11" t="n"/>
      <c r="N130" s="11" t="n"/>
    </row>
    <row r="131" ht="212" customHeight="1">
      <c r="A131" s="10" t="n">
        <v>129</v>
      </c>
      <c r="B131" s="10" t="inlineStr">
        <is>
          <t>Impianto: valori calcolati dai dati inseriti una volta</t>
        </is>
      </c>
      <c r="C131"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31"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31" s="10" t="inlineStr">
        <is>
          <t>UNI 10411-1:2024, 6.1 (prospetti 1 e 2); UNI 10411-11:2024, 6.1 e 6.2</t>
        </is>
      </c>
      <c r="F131" s="10" t="inlineStr">
        <is>
          <t>UNI 10411-1:2024, testo della norma, letto il 2026-10-06, p. 7; UNI 10411-11:2024, testo della norma, letto il 2026-10-06, pp. 7–8</t>
        </is>
      </c>
      <c r="G131" s="10" t="inlineStr">
        <is>
          <t>confermato</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Modifica: UNI 10411-1 o UNI 10411-11 — la data dal DPR 162/1999 è una lettura dell’articolo 19 (messa in servizio secondo le regole precedenti fino al 30 giugno 1999)</t>
        </is>
      </c>
      <c r="D13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32" s="10" t="inlineStr">
        <is>
          <t>UNI 10411-11:2024, 1 e 3.3–3.4; UNI 10411-1:2024, 1; DPR 162/1999, art. 7 c.2, art. 16 c.1 e c.3, art. 19 c.1</t>
        </is>
      </c>
      <c r="F132" s="10" t="inlineStr">
        <is>
          <t>UNI 10411-1:2024, testo della norma, letto il 2026-10-06, p. 5; UNI 10411-11:2024, testo della norma, letto il 2026-10-06, pp. 5–6; DPR 162/1999 (testo su Normattiva)</t>
        </is>
      </c>
      <c r="G132" s="10" t="inlineStr">
        <is>
          <t>confermato</t>
        </is>
      </c>
      <c r="H132" s="10" t="inlineStr">
        <is>
          <t>—</t>
        </is>
      </c>
      <c r="I132" s="11" t="n"/>
      <c r="J132" s="11" t="n"/>
      <c r="K132" s="11" t="n"/>
      <c r="L132" s="11" t="n"/>
      <c r="M132" s="11" t="n"/>
      <c r="N132" s="11" t="n"/>
    </row>
    <row r="133" ht="316" customHeight="1">
      <c r="A133" s="10" t="n">
        <v>131</v>
      </c>
      <c r="B133" s="10" t="inlineStr">
        <is>
          <t>Impianto: valori calcolati dai dati inseriti una volta</t>
        </is>
      </c>
      <c r="C13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3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33" s="10" t="inlineStr">
        <is>
          <t>DPR 162/1999 e s.m.i.; UNI 10411-1:2024; UNI 10411-11:2024; UNI EN 81-20:2020; UNI EN 81-50:2020</t>
        </is>
      </c>
      <c r="F133" s="10" t="inlineStr">
        <is>
          <t>UNI 10411-1:2024, testo della norma, letto il 2026-10-06, pp. 5, 13–14; UNI 10411-11:2024, testo della norma, letto il 2026-10-06, pp. 5, 12; schema ICIM delle verifiche (la verifica straordinaria si limita di norma alle modifiche); ricerca, capitoli 2.4 e 6.6</t>
        </is>
      </c>
      <c r="G133" s="10" t="inlineStr">
        <is>
          <t>scelta del software</t>
        </is>
      </c>
      <c r="H133" s="10" t="inlineStr">
        <is>
          <t>—</t>
        </is>
      </c>
      <c r="I133" s="11" t="n"/>
      <c r="J133" s="11" t="n"/>
      <c r="K133" s="11" t="n"/>
      <c r="L133" s="11" t="n"/>
      <c r="M133" s="11" t="n"/>
      <c r="N133" s="11" t="n"/>
    </row>
    <row r="134" ht="264" customHeight="1">
      <c r="A134" s="10" t="n">
        <v>132</v>
      </c>
      <c r="B134" s="10" t="inlineStr">
        <is>
          <t>Impianto: valori calcolati dai dati inseriti una volta</t>
        </is>
      </c>
      <c r="C13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4" s="10" t="inlineStr">
        <is>
          <t>DPR 162/1999 e s.m.i., art. 2 c.1 lett. cc), art. 12 c.4, art. 14 c.3; UNI 10411-1:2024; UNI 10411-11:2024; UNI EN 81-21:2022 (scopo)</t>
        </is>
      </c>
      <c r="F134" s="10" t="inlineStr">
        <is>
          <t>indicazione del cliente (5 ottobre 2026): prassi di lasciare l’arcata; ricerca, capitolo 16 §3.2 e §5.3</t>
        </is>
      </c>
      <c r="G134" s="10" t="inlineStr">
        <is>
          <t>prassi di cantiere</t>
        </is>
      </c>
      <c r="H134" s="10" t="inlineStr">
        <is>
          <t>—</t>
        </is>
      </c>
      <c r="I134" s="11" t="n"/>
      <c r="J134" s="11" t="n"/>
      <c r="K134" s="11" t="n"/>
      <c r="L134" s="11" t="n"/>
      <c r="M134" s="11" t="n"/>
      <c r="N134" s="11" t="n"/>
    </row>
    <row r="135" ht="69" customHeight="1">
      <c r="A135" s="10" t="n">
        <v>133</v>
      </c>
      <c r="B135" s="10" t="inlineStr">
        <is>
          <t>Impianto: valori calcolati dai dati inseriti una volta</t>
        </is>
      </c>
      <c r="C135" s="10" t="inlineStr">
        <is>
          <t>Massa della cabina non inserita — va sostituita con la massa del libretto o con quella ricavata dalla prova di bilanciamento; la sensibilità ±10% ne mostra l’effetto</t>
        </is>
      </c>
      <c r="D135" s="10" t="inlineStr">
        <is>
          <t>P = 1,1·Q arrotondata per eccesso a 10 kg: valore di partenza per far girare il calcolo</t>
        </is>
      </c>
      <c r="E135" s="10" t="inlineStr">
        <is>
          <t>ricerca, capitoli 3 e 6 (origine della massa della cabina)</t>
        </is>
      </c>
      <c r="F135" s="10" t="inlineStr">
        <is>
          <t>scelta del software, senza fonte</t>
        </is>
      </c>
      <c r="G135" s="10" t="inlineStr">
        <is>
          <t>stima</t>
        </is>
      </c>
      <c r="H135" s="10" t="inlineStr">
        <is>
          <t>—</t>
        </is>
      </c>
      <c r="I135" s="11" t="n"/>
      <c r="J135" s="11" t="n"/>
      <c r="K135" s="11" t="n"/>
      <c r="L135" s="11" t="n"/>
      <c r="M135" s="11" t="n"/>
      <c r="N135" s="11" t="n"/>
    </row>
    <row r="136" ht="108" customHeight="1">
      <c r="A136" s="10" t="n">
        <v>134</v>
      </c>
      <c r="B136" s="10" t="inlineStr">
        <is>
          <t>Impianto: valori calcolati dai dati inseriti una volta</t>
        </is>
      </c>
      <c r="C136" s="10" t="inlineStr">
        <is>
          <t>Fune oltre la corsa (L0)</t>
        </is>
      </c>
      <c r="D136"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6" s="10" t="inlineStr">
        <is>
          <t>—</t>
        </is>
      </c>
      <c r="F136" s="10" t="inlineStr">
        <is>
          <t>dati verticali del vano; altezza dell’asse scelta dal software</t>
        </is>
      </c>
      <c r="G136" s="10" t="inlineStr">
        <is>
          <t>scelta del software</t>
        </is>
      </c>
      <c r="H136" s="10" t="inlineStr">
        <is>
          <t>—</t>
        </is>
      </c>
      <c r="I136" s="11" t="n"/>
      <c r="J136" s="11" t="n"/>
      <c r="K136" s="11" t="n"/>
      <c r="L136" s="11" t="n"/>
      <c r="M136" s="11" t="n"/>
      <c r="N136" s="11" t="n"/>
    </row>
    <row r="137" ht="147" customHeight="1">
      <c r="A137" s="10" t="n">
        <v>135</v>
      </c>
      <c r="B137" s="10" t="inlineStr">
        <is>
          <t>Impianto: valori calcolati dai dati inseriti una volta</t>
        </is>
      </c>
      <c r="C137" s="10" t="inlineStr">
        <is>
          <t>Distanza orizzontale della puleggia di rinvio (dx)</t>
        </is>
      </c>
      <c r="D13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7" s="10" t="inlineStr">
        <is>
          <t>ricerca, capitolo 5.3</t>
        </is>
      </c>
      <c r="F137" s="10" t="inlineStr">
        <is>
          <t>pianta del vano</t>
        </is>
      </c>
      <c r="G137" s="10" t="inlineStr">
        <is>
          <t>derivazione</t>
        </is>
      </c>
      <c r="H137" s="10" t="inlineStr">
        <is>
          <t>—</t>
        </is>
      </c>
      <c r="I137" s="11" t="n"/>
      <c r="J137" s="11" t="n"/>
      <c r="K137" s="11" t="n"/>
      <c r="L137" s="11" t="n"/>
      <c r="M137" s="11" t="n"/>
      <c r="N137" s="11" t="n"/>
    </row>
    <row r="138" ht="160" customHeight="1">
      <c r="A138" s="10" t="n">
        <v>136</v>
      </c>
      <c r="B138" s="10" t="inlineStr">
        <is>
          <t>Impianto: valori calcolati dai dati inseriti una volta</t>
        </is>
      </c>
      <c r="C13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8"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8" s="10" t="inlineStr">
        <is>
          <t>ricerca, capitolo 5.3 (angolo di avvolgimento del tiro diretto)</t>
        </is>
      </c>
      <c r="F138" s="10" t="inlineStr">
        <is>
          <t>geometria delle funi</t>
        </is>
      </c>
      <c r="G138" s="10" t="inlineStr">
        <is>
          <t>derivazione</t>
        </is>
      </c>
      <c r="H138" s="10" t="inlineStr">
        <is>
          <t>—</t>
        </is>
      </c>
      <c r="I138" s="11" t="n"/>
      <c r="J138" s="11" t="n"/>
      <c r="K138" s="11" t="n"/>
      <c r="L138" s="11" t="n"/>
      <c r="M138" s="11" t="n"/>
      <c r="N138" s="11" t="n"/>
    </row>
    <row r="139" ht="56" customHeight="1">
      <c r="A139" s="10" t="n">
        <v>137</v>
      </c>
      <c r="B139" s="10" t="inlineStr">
        <is>
          <t>Impianto: valori calcolati dai dati inseriti una volta</t>
        </is>
      </c>
      <c r="C139" s="10" t="inlineStr">
        <is>
          <t>Macchina in basso: altezza fino alle pulegge in alto (Hv)</t>
        </is>
      </c>
      <c r="D139" s="10" t="inlineStr">
        <is>
          <t>dall’asse dei rinvii in testata all’asse della puleggia di frizione, secondo lo schema delle funi (impianto.basso.schema); la puleggia ha l’asse a 0,9·D sul pavimento del suo locale</t>
        </is>
      </c>
      <c r="E139" s="10" t="inlineStr">
        <is>
          <t>ricerca, capitolo 5; funi con la macchina in basso, capitolo 2.6</t>
        </is>
      </c>
      <c r="F139" s="10" t="inlineStr">
        <is>
          <t>dati verticali del vano</t>
        </is>
      </c>
      <c r="G139" s="10" t="inlineStr">
        <is>
          <t>derivazione</t>
        </is>
      </c>
      <c r="H139" s="10" t="inlineStr">
        <is>
          <t>—</t>
        </is>
      </c>
      <c r="I139" s="11" t="n"/>
      <c r="J139" s="11" t="n"/>
      <c r="K139" s="11" t="n"/>
      <c r="L139" s="11" t="n"/>
      <c r="M139" s="11" t="n"/>
      <c r="N139" s="11" t="n"/>
    </row>
    <row r="140" ht="381" customHeight="1">
      <c r="A140" s="10" t="n">
        <v>138</v>
      </c>
      <c r="B140" s="10" t="inlineStr">
        <is>
          <t>Impianto: valori calcolati dai dati inseriti una volta</t>
        </is>
      </c>
      <c r="C14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4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40" s="10" t="inlineStr">
        <is>
          <t>ricerca, funi con la macchina in basso, capitoli 2–5; DPR 1497/1963 artt. 5–9, 33</t>
        </is>
      </c>
      <c r="F140" s="10" t="inlineStr">
        <is>
          <t>geometria ricostruita dal software</t>
        </is>
      </c>
      <c r="G140" s="10" t="inlineStr">
        <is>
          <t>scelta del software</t>
        </is>
      </c>
      <c r="H140" s="10" t="inlineStr">
        <is>
          <t>—</t>
        </is>
      </c>
      <c r="I140" s="11" t="n"/>
      <c r="J140" s="11" t="n"/>
      <c r="K140" s="11" t="n"/>
      <c r="L140" s="11" t="n"/>
      <c r="M140" s="11" t="n"/>
      <c r="N140" s="11" t="n"/>
    </row>
    <row r="141" ht="251" customHeight="1">
      <c r="A141" s="10" t="n">
        <v>139</v>
      </c>
      <c r="B141" s="10" t="inlineStr">
        <is>
          <t>Impianto: valori calcolati dai dati inseriti una volta</t>
        </is>
      </c>
      <c r="C14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4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41" s="10" t="inlineStr">
        <is>
          <t>ricerca, capitolo 12 (catalogo degli argani)</t>
        </is>
      </c>
      <c r="F141" s="10" t="inlineStr">
        <is>
          <t>SICOR: schede tecniche 2025 e modelli CAD scaricati da sicoritaly.com il 2 ottobre 2026 (solo le quote); Sassi, Montanari, GEM, FAER: estratti delle pagine dei costruttori e dei rivenditori, 1° ottobre 2026</t>
        </is>
      </c>
      <c r="G141" s="10" t="inlineStr">
        <is>
          <t>scelta del software</t>
        </is>
      </c>
      <c r="H141" s="10" t="inlineStr">
        <is>
          <t>—</t>
        </is>
      </c>
      <c r="I141" s="11" t="n"/>
      <c r="J141" s="11" t="n"/>
      <c r="K141" s="11" t="n"/>
      <c r="L141" s="11" t="n"/>
      <c r="M141" s="11" t="n"/>
      <c r="N141" s="11" t="n"/>
    </row>
    <row r="142" ht="134" customHeight="1">
      <c r="A142" s="10" t="n">
        <v>140</v>
      </c>
      <c r="B142" s="10" t="inlineStr">
        <is>
          <t>Impianto: valori calcolati dai dati inseriti una volta</t>
        </is>
      </c>
      <c r="C14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42" s="10" t="inlineStr">
        <is>
          <t>la prima opzione del dimensionamento (capitolo 8): puleggia, funi, rapporto, gola, motore e freno che passano ogni verifica; con le ipotesi del gruppo (poli, giri, rendimenti, inerzie) inserite</t>
        </is>
      </c>
      <c r="E142" s="10" t="inlineStr">
        <is>
          <t>ricerca, capitolo 8</t>
        </is>
      </c>
      <c r="F142" s="10" t="inlineStr">
        <is>
          <t>motore di calcolo</t>
        </is>
      </c>
      <c r="G142" s="10" t="inlineStr">
        <is>
          <t>scelta del software</t>
        </is>
      </c>
      <c r="H142" s="10" t="inlineStr">
        <is>
          <t>—</t>
        </is>
      </c>
      <c r="I142" s="11" t="n"/>
      <c r="J142" s="11" t="n"/>
      <c r="K142" s="11" t="n"/>
      <c r="L142" s="11" t="n"/>
      <c r="M142" s="11" t="n"/>
      <c r="N142" s="11" t="n"/>
    </row>
    <row r="143" ht="69" customHeight="1">
      <c r="A143" s="10" t="n">
        <v>141</v>
      </c>
      <c r="B143" s="10" t="inlineStr">
        <is>
          <t>Simulazione nel tempo (3D e grafici)</t>
        </is>
      </c>
      <c r="C143" s="10" t="inlineStr">
        <is>
          <t>Forze nella simulazione — agli estremi della corsa e alle accelerazioni della verifica i valori coincidono con quelli della verifica (test automatico)</t>
        </is>
      </c>
      <c r="D143" s="10" t="inlineStr">
        <is>
          <t>tiri delle funi, T1/T2, e^(f·α), coppie e decelerazione del freno con le stesse funzioni della verifica (modello delle funi del motore di calcolo), valutate istante per istante con la posizione e l’accelerazione della cabina</t>
        </is>
      </c>
      <c r="E143" s="10" t="inlineStr">
        <is>
          <t>UNI EN 81-50:2020, 5.11 (aderenza); ricerca, capitolo 4</t>
        </is>
      </c>
      <c r="F143" s="10" t="inlineStr">
        <is>
          <t>motore di calcolo (src/calc/model.ts)</t>
        </is>
      </c>
      <c r="G143" s="10" t="inlineStr">
        <is>
          <t>derivazione</t>
        </is>
      </c>
      <c r="H143" s="10" t="inlineStr">
        <is>
          <t>—</t>
        </is>
      </c>
      <c r="I143" s="11" t="n"/>
      <c r="J143" s="11" t="n"/>
      <c r="K143" s="11" t="n"/>
      <c r="L143" s="11" t="n"/>
      <c r="M143" s="11" t="n"/>
      <c r="N143" s="11" t="n"/>
    </row>
    <row r="144" ht="56" customHeight="1">
      <c r="A144" s="10" t="n">
        <v>142</v>
      </c>
      <c r="B144" s="10" t="inlineStr">
        <is>
          <t>Simulazione nel tempo (3D e grafici)</t>
        </is>
      </c>
      <c r="C144" s="10" t="inlineStr">
        <is>
          <t>Profilo del moto tra i piani — accelerazione e strappo sono dati di progetto dell’azionamento, non limiti normativi</t>
        </is>
      </c>
      <c r="D144" s="10" t="inlineStr">
        <is>
          <t>profilo a strappo limitato: velocità nominale, accelerazione di progetto e strappo 1 m/s³; se il tragitto è corto, la velocità più alta che ci sta</t>
        </is>
      </c>
      <c r="E144" s="10" t="inlineStr">
        <is>
          <t>ISO 18738-1:2012 (misura della qualità di marcia, nessun limite)</t>
        </is>
      </c>
      <c r="F144" s="10" t="inlineStr">
        <is>
          <t>scelta del software</t>
        </is>
      </c>
      <c r="G144" s="10" t="inlineStr">
        <is>
          <t>scelta del software</t>
        </is>
      </c>
      <c r="H144" s="10" t="inlineStr">
        <is>
          <t>—</t>
        </is>
      </c>
      <c r="I144" s="11" t="n"/>
      <c r="J144" s="11" t="n"/>
      <c r="K144" s="11" t="n"/>
      <c r="L144" s="11" t="n"/>
      <c r="M144" s="11" t="n"/>
      <c r="N144" s="11" t="n"/>
    </row>
    <row r="145" ht="69" customHeight="1">
      <c r="A145" s="10" t="n">
        <v>143</v>
      </c>
      <c r="B145" s="10" t="inlineStr">
        <is>
          <t>Simulazione nel tempo (3D e grafici)</t>
        </is>
      </c>
      <c r="C145" s="10" t="inlineStr">
        <is>
          <t>Limite di aderenza mostrato durante la marcia</t>
        </is>
      </c>
      <c r="D145" s="10" t="inlineStr">
        <is>
          <t>e^(f·α) con il coefficiente d’attrito della frenatura (μ ridotto con la velocità delle funi): il confronto è indicativo (oltre il limite: avviso, non verifica fallita), la verifica resta quella dei casi della norma</t>
        </is>
      </c>
      <c r="E145" s="10" t="inlineStr">
        <is>
          <t>UNI EN 81-50:2020, 5.11.1 e 5.11.2.3.2 (μ della frenatura)</t>
        </is>
      </c>
      <c r="F145" s="10" t="inlineStr">
        <is>
          <t>scelta del software</t>
        </is>
      </c>
      <c r="G145" s="10" t="inlineStr">
        <is>
          <t>scelta del software</t>
        </is>
      </c>
      <c r="H145" s="10" t="inlineStr">
        <is>
          <t>—</t>
        </is>
      </c>
      <c r="I145" s="11" t="n"/>
      <c r="J145" s="11" t="n"/>
      <c r="K145" s="11" t="n"/>
      <c r="L145" s="11" t="n"/>
      <c r="M145" s="11" t="n"/>
      <c r="N145" s="11" t="n"/>
    </row>
    <row r="146" ht="108" customHeight="1">
      <c r="A146" s="10" t="n">
        <v>144</v>
      </c>
      <c r="B146" s="10" t="inlineStr">
        <is>
          <t>Simulazione nel tempo (3D e grafici)</t>
        </is>
      </c>
      <c r="C146" s="10" t="inlineStr">
        <is>
          <t>Tempi delle porte — La norma non dà tempi: per le porte automatiche orizzontali dà l’energia cinetica (≤ 10 J, ≤ 4 J con il dispositivo di protezione escluso) e la forza contro la chiusura (≤ 150 N) (UNI EN 81-20:2020, 5.3.6.2.2.1), dati del fornitore delle porte.</t>
        </is>
      </c>
      <c r="D146" s="10" t="inlineStr">
        <is>
          <t>apertura 2,5 s, chiusura 3 s, sosta a porte aperte 3 s, partenza 0,5 s dopo la chiusura</t>
        </is>
      </c>
      <c r="E146" s="10" t="inlineStr">
        <is>
          <t>—</t>
        </is>
      </c>
      <c r="F146" s="10" t="inlineStr">
        <is>
          <t>scelta del software (solo animazione)</t>
        </is>
      </c>
      <c r="G146" s="10" t="inlineStr">
        <is>
          <t>scelta del software</t>
        </is>
      </c>
      <c r="H146" s="10" t="inlineStr">
        <is>
          <t>—</t>
        </is>
      </c>
      <c r="I146" s="11" t="n"/>
      <c r="J146" s="11" t="n"/>
      <c r="K146" s="11" t="n"/>
      <c r="L146" s="11" t="n"/>
      <c r="M146" s="11" t="n"/>
      <c r="N146" s="11" t="n"/>
    </row>
    <row r="147" ht="212" customHeight="1">
      <c r="A147" s="10" t="n">
        <v>145</v>
      </c>
      <c r="B147" s="10" t="inlineStr">
        <is>
          <t>Simulazione nel tempo (3D e grafici)</t>
        </is>
      </c>
      <c r="C14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7" s="10" t="inlineStr">
        <is>
          <t>UNI EN 81-20:2020, 5.8.2.1.1.1–5.8.2.1.1.2 (urto al 115 %; corsa piena con un carico statico tra 2,5 e 4 volte: il software prende 4), 5.8.2.1.2.2 (90 %), 5.8.2.2.1 e 5.8.2.2.3 a)</t>
        </is>
      </c>
      <c r="F147" s="10" t="inlineStr">
        <is>
          <t>UNI EN 81-20:2020, testo della norma, letto il 2026-10-06, pp. 98–99</t>
        </is>
      </c>
      <c r="G147" s="10" t="inlineStr">
        <is>
          <t>scelta del software</t>
        </is>
      </c>
      <c r="H147" s="10" t="inlineStr">
        <is>
          <t>—</t>
        </is>
      </c>
      <c r="I147" s="11" t="n"/>
      <c r="J147" s="11" t="n"/>
      <c r="K147" s="11" t="n"/>
      <c r="L147" s="11" t="n"/>
      <c r="M147" s="11" t="n"/>
      <c r="N147" s="11" t="n"/>
    </row>
    <row r="148" ht="82" customHeight="1">
      <c r="A148" s="10" t="n">
        <v>146</v>
      </c>
      <c r="B148" s="10" t="inlineStr">
        <is>
          <t>Simulazione nel tempo (3D e grafici)</t>
        </is>
      </c>
      <c r="C148" s="10" t="inlineStr">
        <is>
          <t>Cabina bloccata: rotazione in salita — La simulazione mostra il contrappeso sugli ammortizzatori con la cabina in alto; la norma chiede anche la cabina vuota in basso, che il calcolo verifica (tr_stall).</t>
        </is>
      </c>
      <c r="D148" s="10" t="inlineStr">
        <is>
          <t>la macchina gira in salita a 0,3 m/s finché il contrappeso poggia sui suoi ammortizzatori; poi le funi devono slittare (T1/T2 ≥ e^(f·α), μ della cabina bloccata)</t>
        </is>
      </c>
      <c r="E148" s="10" t="inlineStr">
        <is>
          <t>UNI EN 81-50:2020, 5.11.2.2.3</t>
        </is>
      </c>
      <c r="F148" s="10" t="inlineStr">
        <is>
          <t>motore di calcolo; velocità scelta dal software</t>
        </is>
      </c>
      <c r="G148" s="10" t="inlineStr">
        <is>
          <t>scelta del software</t>
        </is>
      </c>
      <c r="H148" s="10" t="inlineStr">
        <is>
          <t>—</t>
        </is>
      </c>
      <c r="I148" s="11" t="n"/>
      <c r="J148" s="11" t="n"/>
      <c r="K148" s="11" t="n"/>
      <c r="L148" s="11" t="n"/>
      <c r="M148" s="11" t="n"/>
      <c r="N148" s="11" t="n"/>
    </row>
    <row r="149" ht="43" customHeight="1">
      <c r="A149" s="10" t="n">
        <v>147</v>
      </c>
      <c r="B149" s="10" t="inlineStr">
        <is>
          <t>Simulazione nel tempo (3D e grafici)</t>
        </is>
      </c>
      <c r="C149" s="10" t="inlineStr">
        <is>
          <t>Passo di campionamento</t>
        </is>
      </c>
      <c r="D149" s="10" t="inlineStr">
        <is>
          <t>0,02 s; tra due campioni i valori sono interpolati linearmente</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56" customHeight="1">
      <c r="A150" s="10" t="n">
        <v>148</v>
      </c>
      <c r="B150" s="10" t="inlineStr">
        <is>
          <t>Collaudo: adempimenti del DPR 162/1999 (impianto nuovo)</t>
        </is>
      </c>
      <c r="C150" s="10" t="inlineStr">
        <is>
          <t>DPR 162/1999, art. 4-bis</t>
        </is>
      </c>
      <c r="D150" s="10" t="inlineStr">
        <is>
          <t>progetto, fabbricazione, installazione e prove conformi all’All. I; documentazione tecnica e dichiarazione di conformità conservate per 10 anni</t>
        </is>
      </c>
      <c r="E150" s="10" t="inlineStr">
        <is>
          <t>DPR 162/1999, art. 4-bis</t>
        </is>
      </c>
      <c r="F150" s="10" t="inlineStr">
        <is>
          <t>ricerca, cap. 16 (testi ufficiali e schede UNI, 2026-10-02)</t>
        </is>
      </c>
      <c r="G150" s="10" t="inlineStr">
        <is>
          <t>confermato</t>
        </is>
      </c>
      <c r="H150" s="10" t="inlineStr">
        <is>
          <t>—</t>
        </is>
      </c>
      <c r="I150" s="11" t="n"/>
      <c r="J150" s="11" t="n"/>
      <c r="K150" s="11" t="n"/>
      <c r="L150" s="11" t="n"/>
      <c r="M150" s="11" t="n"/>
      <c r="N150" s="11" t="n"/>
    </row>
    <row r="151" ht="56" customHeight="1">
      <c r="A151" s="10" t="n">
        <v>149</v>
      </c>
      <c r="B151" s="10" t="inlineStr">
        <is>
          <t>Collaudo: adempimenti del DPR 162/1999 (impianto nuovo)</t>
        </is>
      </c>
      <c r="C151" s="10" t="inlineStr">
        <is>
          <t>DPR 162/1999 e s.m.i., artt. 6-bis e 7 c.3</t>
        </is>
      </c>
      <c r="D151" s="10" t="inlineStr">
        <is>
          <t>procedura con un organismo notificato (ascensore modello con esame UE del tipo, All. IV B, più All. V, X o XII; oppure All. VIII o XI); marcatura CE in cabina con il numero dell’organismo</t>
        </is>
      </c>
      <c r="E151" s="10" t="inlineStr">
        <is>
          <t>DPR 162/1999 e s.m.i., artt. 6-bis e 7 c.3</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adempimenti del DPR 162/1999 (impianto nuovo)</t>
        </is>
      </c>
      <c r="C152" s="10" t="inlineStr">
        <is>
          <t>DPR 162/1999 e s.m.i., art. 12 c.1–3</t>
        </is>
      </c>
      <c r="D152" s="10" t="inlineStr">
        <is>
          <t>comunicazione al Comune entro 60 giorni dalla dichiarazione di conformità (oltre: con il verbale di una verifica straordinaria di attivazione); matricola entro 30 giorni</t>
        </is>
      </c>
      <c r="E152" s="10" t="inlineStr">
        <is>
          <t>DPR 162/1999 e s.m.i., art. 12 c.1–3</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adempimenti del DPR 162/1999 (impianto nuovo)</t>
        </is>
      </c>
      <c r="C153" s="10" t="inlineStr">
        <is>
          <t>DPR 162/1999, artt. 13, 15 c.4 e 16 c.3</t>
        </is>
      </c>
      <c r="D153" s="10" t="inlineStr">
        <is>
          <t>verifiche periodiche ogni 2 anni; controllo dei dispositivi di sicurezza, delle funi e dell’isolamento almeno ogni 6 mesi; targa in cabina</t>
        </is>
      </c>
      <c r="E153" s="10" t="inlineStr">
        <is>
          <t>DPR 162/1999, artt. 13, 15 c.4 e 16 c.3</t>
        </is>
      </c>
      <c r="F153" s="10" t="inlineStr">
        <is>
          <t>ricerca, cap. 16 (testi ufficiali e schede UNI, 2026-10-02)</t>
        </is>
      </c>
      <c r="G153" s="10" t="inlineStr">
        <is>
          <t>confermato</t>
        </is>
      </c>
      <c r="H153" s="10" t="inlineStr">
        <is>
          <t>—</t>
        </is>
      </c>
      <c r="I153" s="11" t="n"/>
      <c r="J153" s="11" t="n"/>
      <c r="K153" s="11" t="n"/>
      <c r="L153" s="11" t="n"/>
      <c r="M153" s="11" t="n"/>
      <c r="N153" s="11" t="n"/>
    </row>
    <row r="154" ht="43" customHeight="1">
      <c r="A154" s="10" t="n">
        <v>152</v>
      </c>
      <c r="B154" s="10" t="inlineStr">
        <is>
          <t>Collaudo: adempimenti del DPR 162/1999 (modifica)</t>
        </is>
      </c>
      <c r="C154" s="10" t="inlineStr">
        <is>
          <t>DPR 162/1999, art. 2 c.1 lett. cc)</t>
        </is>
      </c>
      <c r="D154" s="10" t="inlineStr">
        <is>
          <t>la modifica è costruttiva: la sostituzione del macchinario ne è il caso n. 5)</t>
        </is>
      </c>
      <c r="E154" s="10" t="inlineStr">
        <is>
          <t>DPR 162/1999, art. 2 c.1 lett. cc)</t>
        </is>
      </c>
      <c r="F154" s="10" t="inlineStr">
        <is>
          <t>ricerca, cap. 16 (testi ufficiali e schede UNI, 2026-10-02)</t>
        </is>
      </c>
      <c r="G154" s="10" t="inlineStr">
        <is>
          <t>confermato</t>
        </is>
      </c>
      <c r="H154" s="10" t="inlineStr">
        <is>
          <t>—</t>
        </is>
      </c>
      <c r="I154" s="11" t="n"/>
      <c r="J154" s="11" t="n"/>
      <c r="K154" s="11" t="n"/>
      <c r="L154" s="11" t="n"/>
      <c r="M154" s="11" t="n"/>
      <c r="N154" s="11" t="n"/>
    </row>
    <row r="155" ht="43" customHeight="1">
      <c r="A155" s="10" t="n">
        <v>153</v>
      </c>
      <c r="B155" s="10" t="inlineStr">
        <is>
          <t>Collaudo: adempimenti del DPR 162/1999 (modifica)</t>
        </is>
      </c>
      <c r="C155" s="10" t="inlineStr">
        <is>
          <t>DPR 162/1999, art. 12 c.4</t>
        </is>
      </c>
      <c r="D155" s="10" t="inlineStr">
        <is>
          <t>prima della comunicazione, adeguamento della parte modificata o sostituita e delle altre parti interessate</t>
        </is>
      </c>
      <c r="E155" s="10" t="inlineStr">
        <is>
          <t>DPR 162/1999, art. 12 c.4</t>
        </is>
      </c>
      <c r="F155" s="10" t="inlineStr">
        <is>
          <t>ricerca, cap. 16 (testi ufficiali e schede UNI, 2026-10-02)</t>
        </is>
      </c>
      <c r="G155" s="10" t="inlineStr">
        <is>
          <t>confermato</t>
        </is>
      </c>
      <c r="H155" s="10" t="inlineStr">
        <is>
          <t>—</t>
        </is>
      </c>
      <c r="I155" s="11" t="n"/>
      <c r="J155" s="11" t="n"/>
      <c r="K155" s="11" t="n"/>
      <c r="L155" s="11" t="n"/>
      <c r="M155" s="11" t="n"/>
      <c r="N155" s="11" t="n"/>
    </row>
    <row r="156" ht="43" customHeight="1">
      <c r="A156" s="10" t="n">
        <v>154</v>
      </c>
      <c r="B156" s="10" t="inlineStr">
        <is>
          <t>Collaudo: adempimenti del DPR 162/1999 (modifica)</t>
        </is>
      </c>
      <c r="C156" s="10" t="inlineStr">
        <is>
          <t>DPR 162/1999, art. 12 c.4–5</t>
        </is>
      </c>
      <c r="D156" s="10" t="inlineStr">
        <is>
          <t>comunicazione al Comune e al soggetto delle verifiche periodiche; l’impianto non resta in esercizio senza le comunicazioni aggiornate</t>
        </is>
      </c>
      <c r="E156" s="10" t="inlineStr">
        <is>
          <t>DPR 162/1999, art. 12 c.4–5</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adempimenti del DPR 162/1999 (modifica)</t>
        </is>
      </c>
      <c r="C157" s="10" t="inlineStr">
        <is>
          <t>DPR 162/1999 e s.m.i., art. 14 c.3; schema ICIM SCI 162 rev. 02</t>
        </is>
      </c>
      <c r="D157" s="10" t="inlineStr">
        <is>
          <t>verifica straordinaria da uno dei soggetti dell’art. 13 c.1 (la legge); secondo lo schema ICIM è di norma limitata ai controlli sulle modifiche, con la documentazione delle modifiche e dei componenti sostituiti</t>
        </is>
      </c>
      <c r="E157" s="10" t="inlineStr">
        <is>
          <t>DPR 162/1999 e s.m.i., art. 14 c.3; schema ICIM SCI 162 rev. 02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adempimenti del DPR 162/1999 (modifica)</t>
        </is>
      </c>
      <c r="C158" s="10" t="inlineStr">
        <is>
          <t>UNI 10411-1:2024 e UNI 10411-11:2024, 25</t>
        </is>
      </c>
      <c r="D15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8" s="10" t="inlineStr">
        <is>
          <t>UNI 10411-1:2024 e UNI 10411-11:2024, 25</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DPR 162/1999, All. V 3.3 (All. VIII 4)</t>
        </is>
      </c>
      <c r="D159" s="10" t="inlineStr">
        <is>
          <t>prove dell’organismo notificato: funzionamento a vuoto e a pieno carico, in mancanza di energia, prova statica a 1,25 volte la portata e controllo che non restino deformazioni</t>
        </is>
      </c>
      <c r="E159" s="10" t="inlineStr">
        <is>
          <t>DPR 162/1999, All. V 3.3 (All. VIII 4)</t>
        </is>
      </c>
      <c r="F159" s="10" t="inlineStr">
        <is>
          <t>ricerca, cap. 16 (testi ufficiali e schede UNI, 2026-10-02)</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DPR 162/1999, All. VIII 3 e), g), h)</t>
        </is>
      </c>
      <c r="D160" s="10" t="inlineStr">
        <is>
          <t>documentazione tecnica con i risultati dei calcoli di progetto, le relazioni sulle prove e l’elenco delle norme armonizzate applicate, anche in parte</t>
        </is>
      </c>
      <c r="E160" s="10" t="inlineStr">
        <is>
          <t>DPR 162/1999, All. VIII 3 e), g), h)</t>
        </is>
      </c>
      <c r="F160" s="10" t="inlineStr">
        <is>
          <t>ricerca, cap. 16 (testi ufficiali e schede UNI, 2026-10-02)</t>
        </is>
      </c>
      <c r="G160" s="10" t="inlineStr">
        <is>
          <t>confermato</t>
        </is>
      </c>
      <c r="H160" s="10" t="inlineStr">
        <is>
          <t>—</t>
        </is>
      </c>
      <c r="I160" s="11" t="n"/>
      <c r="J160" s="11" t="n"/>
      <c r="K160" s="11" t="n"/>
      <c r="L160" s="11" t="n"/>
      <c r="M160" s="11" t="n"/>
      <c r="N160" s="11" t="n"/>
    </row>
    <row r="161" ht="56" customHeight="1">
      <c r="A161" s="10" t="n">
        <v>159</v>
      </c>
      <c r="B161" s="10" t="inlineStr">
        <is>
          <t>Collaudo: UNI EN 81-20:2020 e UNI EN 81-50:2020</t>
        </is>
      </c>
      <c r="C161" s="10" t="inlineStr">
        <is>
          <t>Regolamento (UE) 2023/1230, art. 51 par. 2</t>
        </is>
      </c>
      <c r="D161" s="10" t="inlineStr">
        <is>
          <t>per gli ascensori dichiarati conformi dal 20/01/2027: requisiti dell’All. III del Regolamento macchine (tra cui 1.1.9 e 1.2.1), con una valutazione aggiuntiva per i requisiti nuovi o cambiati</t>
        </is>
      </c>
      <c r="E161" s="10" t="inlineStr">
        <is>
          <t>Regolamento (UE) 2023/1230, art. 51 par. 2</t>
        </is>
      </c>
      <c r="F161" s="10" t="inlineStr">
        <is>
          <t>ricerca, cap. 16 (testi ufficiali e schede UNI, 2026-10-02)</t>
        </is>
      </c>
      <c r="G161" s="10" t="inlineStr">
        <is>
          <t>confermato</t>
        </is>
      </c>
      <c r="H161" s="10" t="inlineStr">
        <is>
          <t>—</t>
        </is>
      </c>
      <c r="I161" s="11" t="n"/>
      <c r="J161" s="11" t="n"/>
      <c r="K161" s="11" t="n"/>
      <c r="L161" s="11" t="n"/>
      <c r="M161" s="11" t="n"/>
      <c r="N161" s="11" t="n"/>
    </row>
    <row r="162" ht="82" customHeight="1">
      <c r="A162" s="10" t="n">
        <v>160</v>
      </c>
      <c r="B162" s="10" t="inlineStr">
        <is>
          <t>Collaudo: UNI EN 81-20:2020 e UNI EN 81-50:2020</t>
        </is>
      </c>
      <c r="C162" s="10" t="inlineStr">
        <is>
          <t>UNI EN 81-50:2020, 5.12.1 e 5.12.2.1</t>
        </is>
      </c>
      <c r="D16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62" s="10" t="inlineStr">
        <is>
          <t>UNI EN 81-50:2020, 5.12.1 e 5.12.2.1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5.6.2.2.1.2</t>
        </is>
      </c>
      <c r="D163" s="10" t="inlineStr">
        <is>
          <t>tempo di risposta del limitatore di velocità: i suoi punti d’intervento distano al massimo 250 mm di corsa della fune del limitatore</t>
        </is>
      </c>
      <c r="E163" s="10" t="inlineStr">
        <is>
          <t>UNI EN 81-20:2020, 5.6.2.2.1.2</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5.8.2.1.2.1 e 5.8.2.2.3</t>
        </is>
      </c>
      <c r="D164" s="10" t="inlineStr">
        <is>
          <t>ammortizzatori (dato del fornitore): decelerazione non oltre 1 gn, sopra 2,5 gn al massimo per 0,04 s; per quelli ad accumulo non lineari anche picco non oltre 6 gn e rimbalzo non oltre 1 m/s</t>
        </is>
      </c>
      <c r="E164" s="10" t="inlineStr">
        <is>
          <t>UNI EN 81-20:2020, 5.8.2.1.2.1 e 5.8.2.2.3</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5.2.5.7.1</t>
        </is>
      </c>
      <c r="D165" s="10" t="inlineStr">
        <is>
          <t>cartello sopra o accanto allo schermo del contrappeso (5.2.5.5.1) con il gioco massimo ammesso tra contrappeso e ammortizzatore con la cabina al piano più alto, per conservare gli spazi in testata</t>
        </is>
      </c>
      <c r="E165" s="10" t="inlineStr">
        <is>
          <t>UNI EN 81-20:2020, 5.2.5.7.1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5.2.2.4</t>
        </is>
      </c>
      <c r="D166" s="10" t="inlineStr">
        <is>
          <t>fossa più profonda di 2,50 m: porta di accesso; fino a 2,50 m porta di accesso oppure scala dentro il vano (appendice F)</t>
        </is>
      </c>
      <c r="E166" s="10" t="inlineStr">
        <is>
          <t>UNI EN 81-20:2020, 5.2.2.4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5.2.1.5.1 b)</t>
        </is>
      </c>
      <c r="D167" s="10" t="inlineStr">
        <is>
          <t>in fossa un commutatore di ispezione fisso, manovrabile da non oltre 0,30 m da uno spazio di rifugio</t>
        </is>
      </c>
      <c r="E167" s="10" t="inlineStr">
        <is>
          <t>UNI EN 81-20:2020, 5.2.1.5.1 b)</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69" customHeight="1">
      <c r="A168" s="10" t="n">
        <v>166</v>
      </c>
      <c r="B168" s="10" t="inlineStr">
        <is>
          <t>Collaudo: UNI EN 81-20:2020 e UNI EN 81-50:2020</t>
        </is>
      </c>
      <c r="C168" s="10" t="inlineStr">
        <is>
          <t>UNI EN 81-20:2020, 5.12.1.5.2.1 f)</t>
        </is>
      </c>
      <c r="D168" s="10" t="inlineStr">
        <is>
          <t>velocità in manovra d’ispezione non oltre 0,30 m/s quando sopra un posto in piedi sul tetto della cabina o in fossa l’altezza libera è di 2,0 m o meno (spazi di rifugio di tipo 2 o 3): da impostare nel quadro</t>
        </is>
      </c>
      <c r="E168" s="10" t="inlineStr">
        <is>
          <t>UNI EN 81-20:2020, 5.12.1.5.2.1 f)</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5.2.5.7.1 e 5.2.5.8.1</t>
        </is>
      </c>
      <c r="D169" s="10" t="inlineStr">
        <is>
          <t>uno spazio di rifugio per ogni persona, tutti dello stesso tipo e senza sovrapposizioni; cartello con il numero di persone ammesse e la postura</t>
        </is>
      </c>
      <c r="E169" s="10" t="inlineStr">
        <is>
          <t>UNI EN 81-20:2020, 5.2.5.7.1 e 5.2.5.8.1</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69" customHeight="1">
      <c r="A170" s="10" t="n">
        <v>168</v>
      </c>
      <c r="B170" s="10" t="inlineStr">
        <is>
          <t>Collaudo: UNI EN 81-20:2020 e UNI EN 81-50:2020</t>
        </is>
      </c>
      <c r="C170" s="10" t="inlineStr">
        <is>
          <t>UNI EN 81-20:2020, 5.2.1.4.1</t>
        </is>
      </c>
      <c r="D170" s="10" t="inlineStr">
        <is>
          <t>illuminazione del vano: almeno 50 lux a 1 m sopra il tetto della cabina nella sua proiezione e a 1 m sopra il fondo della fossa dove si sta, si lavora o si passa tra le zone di lavoro; almeno 20 lux altrove</t>
        </is>
      </c>
      <c r="E170" s="10" t="inlineStr">
        <is>
          <t>UNI EN 81-20:2020, 5.2.1.4.1</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EN 81-20:2020 e UNI EN 81-50:2020</t>
        </is>
      </c>
      <c r="C171" s="10" t="inlineStr">
        <is>
          <t>UNI EN 81-20:2020, 5.4.10.1 e 5.4.10.4</t>
        </is>
      </c>
      <c r="D171" s="10" t="inlineStr">
        <is>
          <t>luce in cabina almeno 100 lux sui comandi e a 1 m dal pavimento; luce di emergenza di almeno 5 lux per un’ora presso gli allarmi in cabina e sul tetto e al centro di cabina e tetto, a 1 m</t>
        </is>
      </c>
      <c r="E171" s="10" t="inlineStr">
        <is>
          <t>UNI EN 81-20:2020, 5.4.10.1 e 5.4.10.4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5.4.4</t>
        </is>
      </c>
      <c r="D172" s="10" t="inlineStr">
        <is>
          <t>materiali della cabina secondo EN 13501-1: pavimento Cfl-s2, pareti C-s2,d1, soffitto C-s2,d0</t>
        </is>
      </c>
      <c r="E172" s="10" t="inlineStr">
        <is>
          <t>UNI EN 81-20:2020, 5.4.4</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95" customHeight="1">
      <c r="A173" s="10" t="n">
        <v>171</v>
      </c>
      <c r="B173" s="10" t="inlineStr">
        <is>
          <t>Collaudo: UNI EN 81-20:2020 e UNI EN 81-50:2020</t>
        </is>
      </c>
      <c r="C173" s="10" t="inlineStr">
        <is>
          <t>UNI EN 81-20:2020, 6.3.1</t>
        </is>
      </c>
      <c r="D173"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73" s="10" t="inlineStr">
        <is>
          <t>UNI EN 81-20:2020, 6.3.1</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69" customHeight="1">
      <c r="A174" s="10" t="n">
        <v>172</v>
      </c>
      <c r="B174" s="10" t="inlineStr">
        <is>
          <t>Collaudo: UNI EN 81-20:2020 e UNI EN 81-50:2020</t>
        </is>
      </c>
      <c r="C174" s="10" t="inlineStr">
        <is>
          <t>UNI EN 81-20:2020, 6.3.2</t>
        </is>
      </c>
      <c r="D174" s="10" t="inlineStr">
        <is>
          <t>impianto elettrico: esame a vista, continuità dei conduttori di protezione, isolamento circuito per circuito con l’elettronica scollegata, efficacia dell’interruzione automatica in caso di guasto</t>
        </is>
      </c>
      <c r="E174" s="10" t="inlineStr">
        <is>
          <t>UNI EN 81-20:2020, 6.3.2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82" customHeight="1">
      <c r="A175" s="10" t="n">
        <v>173</v>
      </c>
      <c r="B175" s="10" t="inlineStr">
        <is>
          <t>Collaudo: UNI EN 81-20:2020 e UNI EN 81-50:2020</t>
        </is>
      </c>
      <c r="C175" s="10" t="inlineStr">
        <is>
          <t>UNI EN 81-20:2020, 6.3.3</t>
        </is>
      </c>
      <c r="D175"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5" s="10" t="inlineStr">
        <is>
          <t>UNI EN 81-20:2020, 6.3.3</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6.3.4, 6.3.5 e 6.3.7</t>
        </is>
      </c>
      <c r="D176"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6" s="10" t="inlineStr">
        <is>
          <t>UNI EN 81-20:2020, 6.3.4, 6.3.5 e 6.3.7</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108" customHeight="1">
      <c r="A177" s="10" t="n">
        <v>175</v>
      </c>
      <c r="B177" s="10" t="inlineStr">
        <is>
          <t>Collaudo: UNI EN 81-20:2020 e UNI EN 81-50:2020</t>
        </is>
      </c>
      <c r="C177" s="10" t="inlineStr">
        <is>
          <t>UNI EN 81-20:2020, 6.3.11, 6.3.12 e 6.3.13</t>
        </is>
      </c>
      <c r="D177"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7" s="10" t="inlineStr">
        <is>
          <t>UNI EN 81-20:2020, 6.3.11, 6.3.12 e 6.3.13</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43" customHeight="1">
      <c r="A178" s="10" t="n">
        <v>176</v>
      </c>
      <c r="B178" s="10" t="inlineStr">
        <is>
          <t>Collaudo: UNI EN 81-20:2020 e UNI EN 81-50:2020</t>
        </is>
      </c>
      <c r="C178" s="10" t="inlineStr">
        <is>
          <t>UNI EN 81-20:2020, 6.3.14</t>
        </is>
      </c>
      <c r="D178" s="10" t="inlineStr">
        <is>
          <t>cabina fuori dalla zona di sbloccaggio e porta di piano tenuta aperta di 100 mm: lasciata, la porta si richiude e si blocca</t>
        </is>
      </c>
      <c r="E178" s="10" t="inlineStr">
        <is>
          <t>UNI EN 81-20:2020, 6.3.14</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43" customHeight="1">
      <c r="A179" s="10" t="n">
        <v>177</v>
      </c>
      <c r="B179" s="10" t="inlineStr">
        <is>
          <t>Collaudo: UNI EN 81-20:2020 e UNI EN 81-50:2020</t>
        </is>
      </c>
      <c r="C179" s="10" t="inlineStr">
        <is>
          <t>UNI EN 81-20:2020, C.2 e 7.3.2</t>
        </is>
      </c>
      <c r="D179" s="10" t="inlineStr">
        <is>
          <t>la sostituzione della macchina o della puleggia di frizione è una trasformazione importante: si annota nel registro dell’impianto, da aggiornare</t>
        </is>
      </c>
      <c r="E179" s="10" t="inlineStr">
        <is>
          <t>UNI EN 81-20:2020, C.2 e 7.3.2</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EN 81-20:2020 e UNI EN 81-50:2020</t>
        </is>
      </c>
      <c r="C180" s="10" t="inlineStr">
        <is>
          <t>UNI EN 81-20:2020, 5.3.5.3.2, 5.3.5.3.4, 5.3.6.2.2.1 b) e 5.3.15.2 b)</t>
        </is>
      </c>
      <c r="D180"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80" s="10" t="inlineStr">
        <is>
          <t>UNI EN 81-20:2020, 5.3.5.3.2, 5.3.5.3.4, 5.3.6.2.2.1 b) e 5.3.15.2 b)</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121" customHeight="1">
      <c r="A181" s="10" t="n">
        <v>179</v>
      </c>
      <c r="B181" s="10" t="inlineStr">
        <is>
          <t>Collaudo: UNI EN 81-20:2020 e UNI EN 81-50:2020</t>
        </is>
      </c>
      <c r="C181" s="10" t="inlineStr">
        <is>
          <t>UNI EN 81-20:2020, 5.3.6.2.2.1 a)–d)</t>
        </is>
      </c>
      <c r="D181"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81" s="10" t="inlineStr">
        <is>
          <t>UNI EN 81-20:2020, 5.3.6.2.2.1 a)–d)</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10411-1:2024</t>
        </is>
      </c>
      <c r="C182" s="10" t="inlineStr">
        <is>
          <t>UNI 10411-1:2024, scopo</t>
        </is>
      </c>
      <c r="D182" s="10" t="inlineStr">
        <is>
          <t>impianti elettrici a frizione fuori dalla 95/16/CE e dalla 2014/33/UE; esclude le modifiche che cambiano le misure antincendio (per queste, a nostro giudizio, il DM 15/09/2005 o il Codice V.3)</t>
        </is>
      </c>
      <c r="E182" s="10" t="inlineStr">
        <is>
          <t>UNI 10411-1:2024, scopo</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134" customHeight="1">
      <c r="A183" s="10" t="n">
        <v>181</v>
      </c>
      <c r="B183" s="10" t="inlineStr">
        <is>
          <t>Collaudo: UNI 10411-1:2024</t>
        </is>
      </c>
      <c r="C183" s="10" t="inlineStr">
        <is>
          <t>UNI 10411-1:2024, 9.1–9.2</t>
        </is>
      </c>
      <c r="D183"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183" s="10" t="inlineStr">
        <is>
          <t>UNI 10411-1:2024, 9.1–9.2</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121" customHeight="1">
      <c r="A184" s="10" t="n">
        <v>182</v>
      </c>
      <c r="B184" s="10" t="inlineStr">
        <is>
          <t>Collaudo: UNI 10411-1:2024</t>
        </is>
      </c>
      <c r="C184" s="10" t="inlineStr">
        <is>
          <t>UNI 10411-1:2024, 5 e App. C (5, 9 e 14)</t>
        </is>
      </c>
      <c r="D184"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184" s="10" t="inlineStr">
        <is>
          <t>UNI 10411-1:2024, 5 e App. C (5, 9 e 14)</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121" customHeight="1">
      <c r="A185" s="10" t="n">
        <v>183</v>
      </c>
      <c r="B185" s="10" t="inlineStr">
        <is>
          <t>Collaudo: UNI 10411-1:2024</t>
        </is>
      </c>
      <c r="C185" s="10" t="inlineStr">
        <is>
          <t>UNI 10411-1:2024, 14.4 a)–g)</t>
        </is>
      </c>
      <c r="D185"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85" s="10" t="inlineStr">
        <is>
          <t>UNI 10411-1:2024, 14.4 a)–g)</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10411-11:2024</t>
        </is>
      </c>
      <c r="C186" s="10" t="inlineStr">
        <is>
          <t>UNI 10411-11:2024, scopo</t>
        </is>
      </c>
      <c r="D186" s="10" t="inlineStr">
        <is>
          <t>impianti elettrici a frizione marcati CE secondo la Direttiva; esclude le modifiche che cambiano le misure antincendio (per queste, a nostro giudizio, il DM 15/09/2005 o il Codice V.3)</t>
        </is>
      </c>
      <c r="E186" s="10" t="inlineStr">
        <is>
          <t>UNI 10411-11:2024, scopo</t>
        </is>
      </c>
      <c r="F186" s="10" t="inlineStr">
        <is>
          <t>testo della norma, letto il 2026-10-06 (punti e valori con parole nostre)</t>
        </is>
      </c>
      <c r="G186" s="10" t="inlineStr">
        <is>
          <t>confermato</t>
        </is>
      </c>
      <c r="H186" s="10" t="inlineStr">
        <is>
          <t>—</t>
        </is>
      </c>
      <c r="I186" s="11" t="n"/>
      <c r="J186" s="11" t="n"/>
      <c r="K186" s="11" t="n"/>
      <c r="L186" s="11" t="n"/>
      <c r="M186" s="11" t="n"/>
      <c r="N186" s="11" t="n"/>
    </row>
    <row r="187" ht="108" customHeight="1">
      <c r="A187" s="10" t="n">
        <v>185</v>
      </c>
      <c r="B187" s="10" t="inlineStr">
        <is>
          <t>Collaudo: UNI 10411-11:2024</t>
        </is>
      </c>
      <c r="C187" s="10" t="inlineStr">
        <is>
          <t>UNI 10411-11:2024, 14.3 a) e App. A (14); UNI EN 81-20:2020, 5.6.6.2 e 5.6.7.3</t>
        </is>
      </c>
      <c r="D187"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7" s="10" t="inlineStr">
        <is>
          <t>UNI 10411-11:2024, 14.3 a) e App. A (14); UNI EN 81-20:2020, 5.6.6.2 e 5.6.7.3</t>
        </is>
      </c>
      <c r="F187" s="10" t="inlineStr">
        <is>
          <t>testo della norma, letto il 2026-10-06 (punti e valori con parole nostre)</t>
        </is>
      </c>
      <c r="G187" s="10" t="inlineStr">
        <is>
          <t>confermato</t>
        </is>
      </c>
      <c r="H187" s="10" t="inlineStr">
        <is>
          <t>—</t>
        </is>
      </c>
      <c r="I187" s="11" t="n"/>
      <c r="J187" s="11" t="n"/>
      <c r="K187" s="11" t="n"/>
      <c r="L187" s="11" t="n"/>
      <c r="M187" s="11" t="n"/>
      <c r="N187" s="11" t="n"/>
    </row>
    <row r="188" ht="95" customHeight="1">
      <c r="A188" s="10" t="n">
        <v>186</v>
      </c>
      <c r="B188" s="10" t="inlineStr">
        <is>
          <t>Collaudo: UNI 10411-11:2024</t>
        </is>
      </c>
      <c r="C188" s="10" t="inlineStr">
        <is>
          <t>UNI 10411-11:2024, 5 e 9.2</t>
        </is>
      </c>
      <c r="D188"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188" s="10" t="inlineStr">
        <is>
          <t>UNI 10411-11:2024, 5 e 9.2</t>
        </is>
      </c>
      <c r="F188" s="10" t="inlineStr">
        <is>
          <t>testo della norma, letto il 2026-10-06 (punti e valori con parole nostre)</t>
        </is>
      </c>
      <c r="G188" s="10" t="inlineStr">
        <is>
          <t>confermato</t>
        </is>
      </c>
      <c r="H188" s="10" t="inlineStr">
        <is>
          <t>—</t>
        </is>
      </c>
      <c r="I188" s="11" t="n"/>
      <c r="J188" s="11" t="n"/>
      <c r="K188" s="11" t="n"/>
      <c r="L188" s="11" t="n"/>
      <c r="M188" s="11" t="n"/>
      <c r="N188" s="11" t="n"/>
    </row>
    <row r="189" ht="56" customHeight="1">
      <c r="A189" s="10" t="n">
        <v>187</v>
      </c>
      <c r="B189" s="10" t="inlineStr">
        <is>
          <t>Collaudo: UNI 10411-11:2024</t>
        </is>
      </c>
      <c r="C189" s="10" t="inlineStr">
        <is>
          <t>UNI 10411-11:2024, 14.3 b)</t>
        </is>
      </c>
      <c r="D189" s="10" t="inlineStr">
        <is>
          <t>senza UCM conforme alla 5.6.7 e con il rallentamento controllato: macchinario senza alimentazione se il freno non si apre, al più tardi all’arrivo al piano, con ripristino solo manuale</t>
        </is>
      </c>
      <c r="E189" s="10" t="inlineStr">
        <is>
          <t>UNI 10411-11:2024, 14.3 b)</t>
        </is>
      </c>
      <c r="F189" s="10" t="inlineStr">
        <is>
          <t>testo della norma, letto il 2026-10-06 (punti e valori con parole nostre)</t>
        </is>
      </c>
      <c r="G189" s="10" t="inlineStr">
        <is>
          <t>confermato</t>
        </is>
      </c>
      <c r="H189" s="10" t="inlineStr">
        <is>
          <t>—</t>
        </is>
      </c>
      <c r="I189" s="11" t="n"/>
      <c r="J189" s="11" t="n"/>
      <c r="K189" s="11" t="n"/>
      <c r="L189" s="11" t="n"/>
      <c r="M189" s="11" t="n"/>
      <c r="N189" s="11" t="n"/>
    </row>
    <row r="190" ht="56" customHeight="1">
      <c r="A190" s="10" t="n">
        <v>188</v>
      </c>
      <c r="B190" s="10" t="inlineStr">
        <is>
          <t>Collaudo: UNI EN 81-21:2022 (ascensori nuovi in edifici esistenti)</t>
        </is>
      </c>
      <c r="C190" s="10" t="inlineStr">
        <is>
          <t>UNI EN 81-21:2022, 1</t>
        </is>
      </c>
      <c r="D190" s="10" t="inlineStr">
        <is>
          <t>ascensori nuovi in un edificio esistente, dove l’edificio non permette di rispettare tutta la UNI EN 81-20:2020; esclusi gli impianti montati prima della sua pubblicazione</t>
        </is>
      </c>
      <c r="E190" s="10" t="inlineStr">
        <is>
          <t>UNI EN 81-21:2022, 1</t>
        </is>
      </c>
      <c r="F190" s="10" t="inlineStr">
        <is>
          <t>testo della norma, letto il 2026-10-06 (punti e valori con parole nostre)</t>
        </is>
      </c>
      <c r="G190" s="10" t="inlineStr">
        <is>
          <t>confermato</t>
        </is>
      </c>
      <c r="H190" s="10" t="inlineStr">
        <is>
          <t>—</t>
        </is>
      </c>
      <c r="I190" s="11" t="n"/>
      <c r="J190" s="11" t="n"/>
      <c r="K190" s="11" t="n"/>
      <c r="L190" s="11" t="n"/>
      <c r="M190" s="11" t="n"/>
      <c r="N190" s="11" t="n"/>
    </row>
    <row r="191" ht="95" customHeight="1">
      <c r="A191" s="10" t="n">
        <v>189</v>
      </c>
      <c r="B191" s="10" t="inlineStr">
        <is>
          <t>Collaudo: UNI EN 81-21:2022 (ascensori nuovi in edifici esistenti)</t>
        </is>
      </c>
      <c r="C191" s="10" t="inlineStr">
        <is>
          <t>UNI EN 81-21:2022, 6.2 e 7.1</t>
        </is>
      </c>
      <c r="D19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91" s="10" t="inlineStr">
        <is>
          <t>UNI EN 81-21:2022, 6.2 e 7.1</t>
        </is>
      </c>
      <c r="F191" s="10" t="inlineStr">
        <is>
          <t>testo della norma, letto il 2026-10-06 (punti e valori con parole nostre)</t>
        </is>
      </c>
      <c r="G191" s="10" t="inlineStr">
        <is>
          <t>confermato</t>
        </is>
      </c>
      <c r="H191" s="10" t="inlineStr">
        <is>
          <t>—</t>
        </is>
      </c>
      <c r="I191" s="11" t="n"/>
      <c r="J191" s="11" t="n"/>
      <c r="K191" s="11" t="n"/>
      <c r="L191" s="11" t="n"/>
      <c r="M191" s="11" t="n"/>
      <c r="N191" s="11" t="n"/>
    </row>
    <row r="192" ht="82" customHeight="1">
      <c r="A192" s="10" t="n">
        <v>190</v>
      </c>
      <c r="B192" s="10" t="inlineStr">
        <is>
          <t>Collaudo: UNI EN 81-21:2022 (ascensori nuovi in edifici esistenti)</t>
        </is>
      </c>
      <c r="C192" s="10" t="inlineStr">
        <is>
          <t>DPR 162/1999, art. 17-bis; DM 19/03/2015; linee guida MIMIT 2022</t>
        </is>
      </c>
      <c r="D19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92" s="10" t="inlineStr">
        <is>
          <t>DPR 162/1999, art. 17-bis; DM 19/03/2015; linee guida MIMIT 2022</t>
        </is>
      </c>
      <c r="F192" s="10" t="inlineStr">
        <is>
          <t>ricerca, cap. 16 (testi ufficiali e schede UNI, 2026-10-02)</t>
        </is>
      </c>
      <c r="G192" s="10" t="inlineStr">
        <is>
          <t>confermato</t>
        </is>
      </c>
      <c r="H192" s="10" t="inlineStr">
        <is>
          <t>—</t>
        </is>
      </c>
      <c r="I192" s="11" t="n"/>
      <c r="J192" s="11" t="n"/>
      <c r="K192" s="11" t="n"/>
      <c r="L192" s="11" t="n"/>
      <c r="M192" s="11" t="n"/>
      <c r="N192" s="11" t="n"/>
    </row>
    <row r="193" ht="82" customHeight="1">
      <c r="A193" s="10" t="n">
        <v>191</v>
      </c>
      <c r="B193" s="10" t="inlineStr">
        <is>
          <t>Collaudo: UNI EN 81-28:2022 (teleallarme)</t>
        </is>
      </c>
      <c r="C193" s="10" t="inlineStr">
        <is>
          <t>UNI EN 81-20:2020, 5.12.3.1; UNI EN 81-28:2004, 4.1.3, 4.2.1 e 7</t>
        </is>
      </c>
      <c r="D19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93" s="10" t="inlineStr">
        <is>
          <t>UNI EN 81-20:2020, 5.12.3.1; UNI EN 81-28:2004, 4.1.3, 4.2.1 e 7</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56" customHeight="1">
      <c r="A194" s="10" t="n">
        <v>192</v>
      </c>
      <c r="B194" s="10" t="inlineStr">
        <is>
          <t>Collaudo: UNI EN 81-28:2022 (teleallarme)</t>
        </is>
      </c>
      <c r="C194" s="10" t="inlineStr">
        <is>
          <t>UNI EN 81-28:2022</t>
        </is>
      </c>
      <c r="D194" s="10" t="inlineStr">
        <is>
          <t>requisiti dell’edizione citata in GUUE da verificare sul testo; nelle modifiche la UNI 10411-1/-11:2024 (punto 23) ammette l’allarme nuovo secondo la EN 81-20 5.12.3.1 o la UNI EN 81-28:2022</t>
        </is>
      </c>
      <c r="E194" s="10" t="inlineStr">
        <is>
          <t>UNI EN 81-28:2022</t>
        </is>
      </c>
      <c r="F194" s="10" t="inlineStr">
        <is>
          <t>ricerca, cap. 16 (testi ufficiali e schede UNI, 2026-10-02)</t>
        </is>
      </c>
      <c r="G194" s="10" t="inlineStr">
        <is>
          <t>da verificare</t>
        </is>
      </c>
      <c r="H194" s="10" t="inlineStr">
        <is>
          <t>—</t>
        </is>
      </c>
      <c r="I194" s="11" t="n"/>
      <c r="J194" s="11" t="n"/>
      <c r="K194" s="11" t="n"/>
      <c r="L194" s="11" t="n"/>
      <c r="M194" s="11" t="n"/>
      <c r="N194" s="11" t="n"/>
    </row>
    <row r="195" ht="95" customHeight="1">
      <c r="A195" s="10" t="n">
        <v>193</v>
      </c>
      <c r="B195" s="10" t="inlineStr">
        <is>
          <t>Collaudo: UNI EN 81-58:2022 (resistenza al fuoco delle porte di piano)</t>
        </is>
      </c>
      <c r="C195" s="10" t="inlineStr">
        <is>
          <t>UNI EN 81-58:2022; DM 15/09/2005, 3.2–3.3 e art. 1 c.2 lett. c)</t>
        </is>
      </c>
      <c r="D19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95" s="10" t="inlineStr">
        <is>
          <t>UNI EN 81-58:2022; DM 15/09/2005, 3.2–3.3 e art. 1 c.2 lett. c)</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UNI EN 81-70:2022 (accessibilità)</t>
        </is>
      </c>
      <c r="C196" s="10" t="inlineStr">
        <is>
          <t>UNI EN 81-70:2022, 5.3.1</t>
        </is>
      </c>
      <c r="D19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96" s="10" t="inlineStr">
        <is>
          <t>UNI EN 81-70:2022, 5.3.1</t>
        </is>
      </c>
      <c r="F196" s="10" t="inlineStr">
        <is>
          <t>ricerca, cap. 16 (testi ufficiali e schede UNI, 2026-10-02)</t>
        </is>
      </c>
      <c r="G196" s="10" t="inlineStr">
        <is>
          <t>da verificare</t>
        </is>
      </c>
      <c r="H196" s="10" t="inlineStr">
        <is>
          <t>—</t>
        </is>
      </c>
      <c r="I196" s="11" t="n"/>
      <c r="J196" s="11" t="n"/>
      <c r="K196" s="11" t="n"/>
      <c r="L196" s="11" t="n"/>
      <c r="M196" s="11" t="n"/>
      <c r="N196" s="11" t="n"/>
    </row>
    <row r="197" ht="95" customHeight="1">
      <c r="A197" s="10" t="n">
        <v>195</v>
      </c>
      <c r="B197" s="10" t="inlineStr">
        <is>
          <t>Collaudo: UNI EN 81-70:2022 (accessibilità)</t>
        </is>
      </c>
      <c r="C197" s="10" t="inlineStr">
        <is>
          <t>UNI EN 81-70:2022, 5.3.2 e 5.4</t>
        </is>
      </c>
      <c r="D19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97" s="10" t="inlineStr">
        <is>
          <t>UNI EN 81-70:2022, 5.3.2 e 5.4</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81-70:2022 (accessibilità)</t>
        </is>
      </c>
      <c r="C198" s="10" t="inlineStr">
        <is>
          <t>UNI EN 81-70:2022, scopo</t>
        </is>
      </c>
      <c r="D198" s="10" t="inlineStr">
        <is>
          <t>si usa con la UNI EN 81-20:2020; per gli impianti esistenti vale la UNI EN 81-82</t>
        </is>
      </c>
      <c r="E198" s="10" t="inlineStr">
        <is>
          <t>UNI EN 81-70:2022, scopo</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UNI EN 81-71 (ascensori antivandalo)</t>
        </is>
      </c>
      <c r="C199" s="10" t="inlineStr">
        <is>
          <t>UNI EN 81-71</t>
        </is>
      </c>
      <c r="D199" s="10" t="inlineStr">
        <is>
          <t>categoria antivandalo da concordare con il committente; per la presunzione di conformità vale l’edizione 2005+A1:2006</t>
        </is>
      </c>
      <c r="E199" s="10" t="inlineStr">
        <is>
          <t>UNI EN 81-71</t>
        </is>
      </c>
      <c r="F199" s="10" t="inlineStr">
        <is>
          <t>ricerca, cap. 16 (testi ufficiali e schede UNI, 2026-10-02)</t>
        </is>
      </c>
      <c r="G199" s="10" t="inlineStr">
        <is>
          <t>da verificare</t>
        </is>
      </c>
      <c r="H199" s="10" t="inlineStr">
        <is>
          <t>—</t>
        </is>
      </c>
      <c r="I199" s="11" t="n"/>
      <c r="J199" s="11" t="n"/>
      <c r="K199" s="11" t="n"/>
      <c r="L199" s="11" t="n"/>
      <c r="M199" s="11" t="n"/>
      <c r="N199" s="11" t="n"/>
    </row>
    <row r="200" ht="108" customHeight="1">
      <c r="A200" s="10" t="n">
        <v>198</v>
      </c>
      <c r="B200" s="10" t="inlineStr">
        <is>
          <t>Collaudo: UNI EN 81-72:2020 (ascensori antincendio)</t>
        </is>
      </c>
      <c r="C200" s="10" t="inlineStr">
        <is>
          <t>DM 15/09/2005, punto 7 (valori); Codice V.3.3.4</t>
        </is>
      </c>
      <c r="D20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00" s="10" t="inlineStr">
        <is>
          <t>DM 15/09/2005, punto 7 (valori); Codice V.3.3.4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81-72:2020 (ascensori antincendio)</t>
        </is>
      </c>
      <c r="C201" s="10" t="inlineStr">
        <is>
          <t>Codice S.10, Tab. S.10-2</t>
        </is>
      </c>
      <c r="D201" s="10" t="inlineStr">
        <is>
          <t>alimentazione di sicurezza dell’ascensore antincendio: interruzione al massimo 15 s, autonomia oltre 30 min</t>
        </is>
      </c>
      <c r="E201" s="10" t="inlineStr">
        <is>
          <t>Codice S.10, Tab. S.10-2</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81-72:2020 (ascensori antincendio)</t>
        </is>
      </c>
      <c r="C202" s="10" t="inlineStr">
        <is>
          <t>UNI EN 81-72:2020</t>
        </is>
      </c>
      <c r="D202" s="10" t="inlineStr">
        <is>
          <t>requisiti propri della norma (cabina, tempi, protezione dall’acqua) da verificare sul testo</t>
        </is>
      </c>
      <c r="E202" s="10" t="inlineStr">
        <is>
          <t>UNI EN 81-72:2020</t>
        </is>
      </c>
      <c r="F202" s="10" t="inlineStr">
        <is>
          <t>ricerca, cap. 16 (testi ufficiali e schede UNI, 2026-10-02)</t>
        </is>
      </c>
      <c r="G202" s="10" t="inlineStr">
        <is>
          <t>da verificare</t>
        </is>
      </c>
      <c r="H202" s="10" t="inlineStr">
        <is>
          <t>—</t>
        </is>
      </c>
      <c r="I202" s="11" t="n"/>
      <c r="J202" s="11" t="n"/>
      <c r="K202" s="11" t="n"/>
      <c r="L202" s="11" t="n"/>
      <c r="M202" s="11" t="n"/>
      <c r="N202" s="11" t="n"/>
    </row>
    <row r="203" ht="69" customHeight="1">
      <c r="A203" s="10" t="n">
        <v>201</v>
      </c>
      <c r="B203" s="10" t="inlineStr">
        <is>
          <t>Collaudo: UNI EN 81-73:2020 (comportamento in caso d’incendio)</t>
        </is>
      </c>
      <c r="C203" s="10" t="inlineStr">
        <is>
          <t>DM 15/09/2005, punto 6; Codice V.3.3.1</t>
        </is>
      </c>
      <c r="D203" s="10" t="inlineStr">
        <is>
          <t>quando la compartimentazione lo richiede, su comando della rivelazione incendio la cabina va al piano prestabilito e lascia uscire i passeggeri; con il Codice l’ascensore «dovrebbe» essere conforme alla UNI EN 81-73</t>
        </is>
      </c>
      <c r="E203" s="10" t="inlineStr">
        <is>
          <t>DM 15/09/2005, punto 6; Codice V.3.3.1</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81-73:2020 (comportamento in caso d’incendio)</t>
        </is>
      </c>
      <c r="C204" s="10" t="inlineStr">
        <is>
          <t>UNI EN 81-73:2020</t>
        </is>
      </c>
      <c r="D204" s="10" t="inlineStr">
        <is>
          <t>segnali e comportamento della manovra da verificare sul testo; la norma serve anche da base per migliorare gli esistenti (così la UNI EN 81-73:2005 letta, punto 1)</t>
        </is>
      </c>
      <c r="E204" s="10" t="inlineStr">
        <is>
          <t>UNI EN 81-73:2020</t>
        </is>
      </c>
      <c r="F204" s="10" t="inlineStr">
        <is>
          <t>ricerca, cap. 16 (testi ufficiali e schede UNI, 2026-10-02)</t>
        </is>
      </c>
      <c r="G204" s="10" t="inlineStr">
        <is>
          <t>da verificare</t>
        </is>
      </c>
      <c r="H204" s="10" t="inlineStr">
        <is>
          <t>—</t>
        </is>
      </c>
      <c r="I204" s="11" t="n"/>
      <c r="J204" s="11" t="n"/>
      <c r="K204" s="11" t="n"/>
      <c r="L204" s="11" t="n"/>
      <c r="M204" s="11" t="n"/>
      <c r="N204" s="11" t="n"/>
    </row>
    <row r="205" ht="69" customHeight="1">
      <c r="A205" s="10" t="n">
        <v>203</v>
      </c>
      <c r="B205" s="10" t="inlineStr">
        <is>
          <t>Collaudo: UNI EN 81-76:2025 (evacuazione delle persone con disabilità)</t>
        </is>
      </c>
      <c r="C205" s="10" t="inlineStr">
        <is>
          <t>UNI EN 81-76:2025</t>
        </is>
      </c>
      <c r="D205" s="10" t="inlineStr">
        <is>
          <t>evacuazione delle persone con disabilità con l’ascensore: requisiti aggiuntivi alla EN 81-20 (manovra, alimentazione) da verificare sul testo</t>
        </is>
      </c>
      <c r="E205" s="10" t="inlineStr">
        <is>
          <t>UNI EN 81-76:2025</t>
        </is>
      </c>
      <c r="F205" s="10" t="inlineStr">
        <is>
          <t>ricerca, cap. 16 (testi ufficiali e schede UNI, 2026-10-02)</t>
        </is>
      </c>
      <c r="G205" s="10" t="inlineStr">
        <is>
          <t>da verificare</t>
        </is>
      </c>
      <c r="H205" s="10" t="inlineStr">
        <is>
          <t>—</t>
        </is>
      </c>
      <c r="I205" s="11" t="n"/>
      <c r="J205" s="11" t="n"/>
      <c r="K205" s="11" t="n"/>
      <c r="L205" s="11" t="n"/>
      <c r="M205" s="11" t="n"/>
      <c r="N205" s="11" t="n"/>
    </row>
    <row r="206" ht="56" customHeight="1">
      <c r="A206" s="10" t="n">
        <v>204</v>
      </c>
      <c r="B206" s="10" t="inlineStr">
        <is>
          <t>Collaudo: UNI EN 81-77:2022 (azioni sismiche)</t>
        </is>
      </c>
      <c r="C206" s="10" t="inlineStr">
        <is>
          <t>UNI EN 81-77:2022, 1</t>
        </is>
      </c>
      <c r="D206" s="10" t="inlineStr">
        <is>
          <t>con accelerazione di progetto a_d fino a 1 m/s² nessuna prescrizione specifica; a_d e la posizione dei rilevatori si concordano con il progettista dell’edificio</t>
        </is>
      </c>
      <c r="E206" s="10" t="inlineStr">
        <is>
          <t>UNI EN 81-77:2022, 1</t>
        </is>
      </c>
      <c r="F206" s="10" t="inlineStr">
        <is>
          <t>ricerca, cap. 16 (testi ufficiali e schede UNI, 2026-10-02)</t>
        </is>
      </c>
      <c r="G206" s="10" t="inlineStr">
        <is>
          <t>confermato</t>
        </is>
      </c>
      <c r="H206" s="10" t="inlineStr">
        <is>
          <t>—</t>
        </is>
      </c>
      <c r="I206" s="11" t="n"/>
      <c r="J206" s="11" t="n"/>
      <c r="K206" s="11" t="n"/>
      <c r="L206" s="11" t="n"/>
      <c r="M206" s="11" t="n"/>
      <c r="N206" s="11" t="n"/>
    </row>
    <row r="207" ht="95" customHeight="1">
      <c r="A207" s="10" t="n">
        <v>205</v>
      </c>
      <c r="B207" s="10" t="inlineStr">
        <is>
          <t>Collaudo: UNI EN 81-77:2022 (azioni sismiche)</t>
        </is>
      </c>
      <c r="C207" s="10" t="inlineStr">
        <is>
          <t>UNI EN 81-77:2022, 5.4–5.10, All. A, B, D</t>
        </is>
      </c>
      <c r="D20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07" s="10" t="inlineStr">
        <is>
          <t>UNI EN 81-77:2022, 5.4–5.10, All. A, B, D</t>
        </is>
      </c>
      <c r="F207" s="10" t="inlineStr">
        <is>
          <t>ricerca, cap. 16 (testi ufficiali e schede UNI, 2026-10-02)</t>
        </is>
      </c>
      <c r="G207" s="10" t="inlineStr">
        <is>
          <t>da verificare</t>
        </is>
      </c>
      <c r="H207" s="10" t="inlineStr">
        <is>
          <t>—</t>
        </is>
      </c>
      <c r="I207" s="11" t="n"/>
      <c r="J207" s="11" t="n"/>
      <c r="K207" s="11" t="n"/>
      <c r="L207" s="11" t="n"/>
      <c r="M207" s="11" t="n"/>
      <c r="N207" s="11" t="n"/>
    </row>
    <row r="208" ht="43" customHeight="1">
      <c r="A208" s="10" t="n">
        <v>206</v>
      </c>
      <c r="B208" s="10" t="inlineStr">
        <is>
          <t>Collaudo: UNI EN 81-77:2022 (azioni sismiche)</t>
        </is>
      </c>
      <c r="C208" s="10" t="inlineStr">
        <is>
          <t>UNI EN 81-77:2022, 0.3</t>
        </is>
      </c>
      <c r="D208" s="10" t="inlineStr">
        <is>
          <t>non si applica agli impianti installati prima della sua pubblicazione</t>
        </is>
      </c>
      <c r="E208" s="10" t="inlineStr">
        <is>
          <t>UNI EN 81-77:2022, 0.3</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81-80:2019 (miglioramento della sicurezza degli esistenti)</t>
        </is>
      </c>
      <c r="C209" s="10" t="inlineStr">
        <is>
          <t>UNI EN 81-80:2004 e 2009, 1 e appendice A</t>
        </is>
      </c>
      <c r="D209" s="10" t="inlineStr">
        <is>
          <t>analisi dei rischi dell’impianto esistente e piano di miglioramento per priorità; quali misure e in che tempi lo decide la legislazione nazionale, non la norma</t>
        </is>
      </c>
      <c r="E209" s="10" t="inlineStr">
        <is>
          <t>UNI EN 81-80:2004 e 2009, 1 e appendice A</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81-80:2019 (miglioramento della sicurezza degli esistenti)</t>
        </is>
      </c>
      <c r="C210" s="10" t="inlineStr">
        <is>
          <t>UNI EN 81-80:2019</t>
        </is>
      </c>
      <c r="D210" s="10" t="inlineStr">
        <is>
          <t>la stessa analisi nell’edizione in vigore, con una struttura diversa: da verificare sul testo</t>
        </is>
      </c>
      <c r="E210" s="10" t="inlineStr">
        <is>
          <t>UNI EN 81-80:2019</t>
        </is>
      </c>
      <c r="F210" s="10" t="inlineStr">
        <is>
          <t>ricerca, cap. 16 (testi ufficiali e schede UNI, 2026-10-02)</t>
        </is>
      </c>
      <c r="G210" s="10" t="inlineStr">
        <is>
          <t>da verificare</t>
        </is>
      </c>
      <c r="H210" s="10" t="inlineStr">
        <is>
          <t>—</t>
        </is>
      </c>
      <c r="I210" s="11" t="n"/>
      <c r="J210" s="11" t="n"/>
      <c r="K210" s="11" t="n"/>
      <c r="L210" s="11" t="n"/>
      <c r="M210" s="11" t="n"/>
      <c r="N210" s="11" t="n"/>
    </row>
    <row r="211" ht="56" customHeight="1">
      <c r="A211" s="10" t="n">
        <v>209</v>
      </c>
      <c r="B211" s="10" t="inlineStr">
        <is>
          <t>Collaudo: UNI EN 81-82:2026 (accessibilità degli esistenti)</t>
        </is>
      </c>
      <c r="C211" s="10" t="inlineStr">
        <is>
          <t>UNI EN 81-82:2026</t>
        </is>
      </c>
      <c r="D211" s="10" t="inlineStr">
        <is>
          <t>miglioramento dell’accessibilità di un impianto esistente secondo i requisiti della EN 81-70</t>
        </is>
      </c>
      <c r="E211" s="10" t="inlineStr">
        <is>
          <t>UNI EN 81-82:2026</t>
        </is>
      </c>
      <c r="F211" s="10" t="inlineStr">
        <is>
          <t>ricerca, cap. 16 (testi ufficiali e schede UNI, 2026-10-02)</t>
        </is>
      </c>
      <c r="G211" s="10" t="inlineStr">
        <is>
          <t>confermato</t>
        </is>
      </c>
      <c r="H211" s="10" t="inlineStr">
        <is>
          <t>—</t>
        </is>
      </c>
      <c r="I211" s="11" t="n"/>
      <c r="J211" s="11" t="n"/>
      <c r="K211" s="11" t="n"/>
      <c r="L211" s="11" t="n"/>
      <c r="M211" s="11" t="n"/>
      <c r="N211" s="11" t="n"/>
    </row>
    <row r="212" ht="56" customHeight="1">
      <c r="A212" s="10" t="n">
        <v>210</v>
      </c>
      <c r="B212" s="10" t="inlineStr">
        <is>
          <t>Collaudo: UNI EN 81-83:2026 (antivandalo degli esistenti)</t>
        </is>
      </c>
      <c r="C212" s="10" t="inlineStr">
        <is>
          <t>UNI EN 81-83:2026</t>
        </is>
      </c>
      <c r="D212" s="10" t="inlineStr">
        <is>
          <t>miglioramento della resistenza agli atti vandalici di un impianto esistente secondo la EN 81-71:2022 (voce 1.2 della Tab. A.1 della EN 81-80)</t>
        </is>
      </c>
      <c r="E212" s="10" t="inlineStr">
        <is>
          <t>UNI EN 81-83:2026</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DM 236/1989 (barriere architettoniche)</t>
        </is>
      </c>
      <c r="C213" s="10" t="inlineStr">
        <is>
          <t>DM 236/1989, 8.1.12</t>
        </is>
      </c>
      <c r="D213" s="10" t="inlineStr">
        <is>
          <t>piattaforma di distribuzione davanti alla porta di cabina: 1,50 × 1,50 m negli edifici nuovi, 1,40 × 1,40 m nell’adeguamento (fuori dal vano: in sito)</t>
        </is>
      </c>
      <c r="E213" s="10" t="inlineStr">
        <is>
          <t>DM 236/1989, 8.1.12</t>
        </is>
      </c>
      <c r="F213" s="10" t="inlineStr">
        <is>
          <t>testo ufficiale del DM 236/1989</t>
        </is>
      </c>
      <c r="G213" s="10" t="inlineStr">
        <is>
          <t>confermato</t>
        </is>
      </c>
      <c r="H213" s="10" t="inlineStr">
        <is>
          <t>cabina minima (DM 236/1989); porta minima (DM 236/1989); porta sul lato corto; motivazione del caso c) (DM 236/1989); pulsanti più alti delle bottoniere (DM 236/1989)</t>
        </is>
      </c>
      <c r="I213" s="11" t="n"/>
      <c r="J213" s="11" t="n"/>
      <c r="K213" s="11" t="n"/>
      <c r="L213" s="11" t="n"/>
      <c r="M213" s="11" t="n"/>
      <c r="N213" s="11" t="n"/>
    </row>
    <row r="214" ht="82" customHeight="1">
      <c r="A214" s="10" t="n">
        <v>212</v>
      </c>
      <c r="B214" s="10" t="inlineStr">
        <is>
          <t>Collaudo: DM 236/1989 (barriere architettoniche)</t>
        </is>
      </c>
      <c r="C214" s="10" t="inlineStr">
        <is>
          <t>DM 236/1989, 8.1.12</t>
        </is>
      </c>
      <c r="D214" s="10" t="inlineStr">
        <is>
          <t>porte di cabina e di piano a scorrimento automatico (nell’adeguamento la porta di piano può essere a battente se ad apertura automatica); porte aperte almeno 8 s, chiusura in almeno 4 s</t>
        </is>
      </c>
      <c r="E214" s="10" t="inlineStr">
        <is>
          <t>DM 236/1989, 8.1.12</t>
        </is>
      </c>
      <c r="F214" s="10" t="inlineStr">
        <is>
          <t>testo ufficiale del DM 236/1989</t>
        </is>
      </c>
      <c r="G214" s="10" t="inlineStr">
        <is>
          <t>confermato</t>
        </is>
      </c>
      <c r="H214" s="10" t="inlineStr">
        <is>
          <t>cabina minima (DM 236/1989); porta minima (DM 236/1989); porta sul lato corto; motivazione del caso c) (DM 236/1989); pulsanti più alti delle bottoniere (DM 236/1989)</t>
        </is>
      </c>
      <c r="I214" s="11" t="n"/>
      <c r="J214" s="11" t="n"/>
      <c r="K214" s="11" t="n"/>
      <c r="L214" s="11" t="n"/>
      <c r="M214" s="11" t="n"/>
      <c r="N214" s="11" t="n"/>
    </row>
    <row r="215" ht="82" customHeight="1">
      <c r="A215" s="10" t="n">
        <v>213</v>
      </c>
      <c r="B215" s="10" t="inlineStr">
        <is>
          <t>Collaudo: DM 236/1989 (barriere architettoniche)</t>
        </is>
      </c>
      <c r="C215" s="10" t="inlineStr">
        <is>
          <t>DM 236/1989, 8.1.12</t>
        </is>
      </c>
      <c r="D215" s="10" t="inlineStr">
        <is>
          <t>arresto ai piani con autolivellamento entro ± 2 cm; sosta ai piani con le porte chiuse</t>
        </is>
      </c>
      <c r="E215" s="10" t="inlineStr">
        <is>
          <t>DM 236/1989, 8.1.12</t>
        </is>
      </c>
      <c r="F215" s="10" t="inlineStr">
        <is>
          <t>testo ufficiale del DM 236/1989</t>
        </is>
      </c>
      <c r="G215" s="10" t="inlineStr">
        <is>
          <t>confermato</t>
        </is>
      </c>
      <c r="H215" s="10" t="inlineStr">
        <is>
          <t>cabina minima (DM 236/1989); porta minima (DM 236/1989); porta sul lato corto; motivazione del caso c) (DM 236/1989); pulsanti più alti delle bottoniere (DM 236/1989)</t>
        </is>
      </c>
      <c r="I215" s="11" t="n"/>
      <c r="J215" s="11" t="n"/>
      <c r="K215" s="11" t="n"/>
      <c r="L215" s="11" t="n"/>
      <c r="M215" s="11" t="n"/>
      <c r="N215" s="11" t="n"/>
    </row>
    <row r="216" ht="82" customHeight="1">
      <c r="A216" s="10" t="n">
        <v>214</v>
      </c>
      <c r="B216" s="10" t="inlineStr">
        <is>
          <t>Collaudo: DM 236/1989 (barriere architettoniche)</t>
        </is>
      </c>
      <c r="C216" s="10" t="inlineStr">
        <is>
          <t>DM 236/1989, 8.1.12 e 8.0.1</t>
        </is>
      </c>
      <c r="D216" s="10" t="inlineStr">
        <is>
          <t>pulsanti di cabina e di piano: il più alto tra 1,10 e 1,40 m, misurato all’asse del comando; bottoniera di cabina su una parete laterale ad almeno 0,35 m dalla porta</t>
        </is>
      </c>
      <c r="E216" s="10" t="inlineStr">
        <is>
          <t>DM 236/1989, 8.1.12 e 8.0.1</t>
        </is>
      </c>
      <c r="F216" s="10" t="inlineStr">
        <is>
          <t>testo ufficiale del DM 236/1989</t>
        </is>
      </c>
      <c r="G216" s="10" t="inlineStr">
        <is>
          <t>confermato</t>
        </is>
      </c>
      <c r="H216" s="10" t="inlineStr">
        <is>
          <t>cabina minima (DM 236/1989); porta minima (DM 236/1989); porta sul lato corto; motivazione del caso c) (DM 236/1989); pulsanti più alti delle bottoniere (DM 236/1989)</t>
        </is>
      </c>
      <c r="I216" s="11" t="n"/>
      <c r="J216" s="11" t="n"/>
      <c r="K216" s="11" t="n"/>
      <c r="L216" s="11" t="n"/>
      <c r="M216" s="11" t="n"/>
      <c r="N216" s="11" t="n"/>
    </row>
    <row r="217" ht="95" customHeight="1">
      <c r="A217" s="10" t="n">
        <v>215</v>
      </c>
      <c r="B217" s="10" t="inlineStr">
        <is>
          <t>Collaudo: DM 236/1989 (barriere architettoniche)</t>
        </is>
      </c>
      <c r="C217" s="10" t="inlineStr">
        <is>
          <t>DM 236/1989, 8.1.12 e 4.1.12</t>
        </is>
      </c>
      <c r="D21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17" s="10" t="inlineStr">
        <is>
          <t>DM 236/1989, 8.1.12 e 4.1.12</t>
        </is>
      </c>
      <c r="F217" s="10" t="inlineStr">
        <is>
          <t>testo ufficiale del DM 236/1989</t>
        </is>
      </c>
      <c r="G217" s="10" t="inlineStr">
        <is>
          <t>confermato</t>
        </is>
      </c>
      <c r="H217" s="10" t="inlineStr">
        <is>
          <t>cabina minima (DM 236/1989); porta minima (DM 236/1989); porta sul lato corto; motivazione del caso c) (DM 236/1989); pulsanti più alti delle bottoniere (DM 236/1989)</t>
        </is>
      </c>
      <c r="I217" s="11" t="n"/>
      <c r="J217" s="11" t="n"/>
      <c r="K217" s="11" t="n"/>
      <c r="L217" s="11" t="n"/>
      <c r="M217" s="11" t="n"/>
      <c r="N217" s="11" t="n"/>
    </row>
    <row r="218" ht="82" customHeight="1">
      <c r="A218" s="10" t="n">
        <v>216</v>
      </c>
      <c r="B218" s="10" t="inlineStr">
        <is>
          <t>Collaudo: DM 236/1989 (barriere architettoniche)</t>
        </is>
      </c>
      <c r="C218" s="10" t="inlineStr">
        <is>
          <t>DM 236/1989, 3.2; L. 13/1989, art. 1 c.3 lett. d)</t>
        </is>
      </c>
      <c r="D218" s="10" t="inlineStr">
        <is>
          <t>ascensore obbligatorio oltre il terzo livello (contati interrati e porticati); negli immobili con più di tre livelli fuori terra un ascensore per ogni scala principale</t>
        </is>
      </c>
      <c r="E218" s="10" t="inlineStr">
        <is>
          <t>DM 236/1989, 3.2; L. 13/1989, art. 1 c.3 lett. d)</t>
        </is>
      </c>
      <c r="F218" s="10" t="inlineStr">
        <is>
          <t>testo ufficiale del DM 236/1989; L. 13/1989: ricerca, cap. 16</t>
        </is>
      </c>
      <c r="G218" s="10" t="inlineStr">
        <is>
          <t>confermato</t>
        </is>
      </c>
      <c r="H218" s="10" t="inlineStr">
        <is>
          <t>cabina minima (DM 236/1989); porta minima (DM 236/1989); porta sul lato corto; motivazione del caso c) (DM 236/1989); pulsanti più alti delle bottoniere (DM 236/1989)</t>
        </is>
      </c>
      <c r="I218" s="11" t="n"/>
      <c r="J218" s="11" t="n"/>
      <c r="K218" s="11" t="n"/>
      <c r="L218" s="11" t="n"/>
      <c r="M218" s="11" t="n"/>
      <c r="N218" s="11" t="n"/>
    </row>
    <row r="219" ht="82" customHeight="1">
      <c r="A219" s="10" t="n">
        <v>217</v>
      </c>
      <c r="B219" s="10" t="inlineStr">
        <is>
          <t>Collaudo: DM 236/1989 (barriere architettoniche)</t>
        </is>
      </c>
      <c r="C219" s="10" t="inlineStr">
        <is>
          <t>DM 236/1989, 7.5; DPR 503/1996, art. 19</t>
        </is>
      </c>
      <c r="D219" s="10" t="inlineStr">
        <is>
          <t>nelle ristrutturazioni deroghe per impossibilità tecnica strutturale o impiantistica (privati: concesse dal Sindaco); edifici vincolati: deroga se le opere pregiudicano il bene</t>
        </is>
      </c>
      <c r="E219" s="10" t="inlineStr">
        <is>
          <t>DM 236/1989, 7.5; DPR 503/1996, art. 19</t>
        </is>
      </c>
      <c r="F219" s="10" t="inlineStr">
        <is>
          <t>testo ufficiale del DM 236/1989; DPR 503/1996: ricerca, cap. 16</t>
        </is>
      </c>
      <c r="G219" s="10" t="inlineStr">
        <is>
          <t>confermato</t>
        </is>
      </c>
      <c r="H219" s="10" t="inlineStr">
        <is>
          <t>cabina minima (DM 236/1989); porta minima (DM 236/1989); porta sul lato corto; motivazione del caso c) (DM 236/1989); pulsanti più alti delle bottoniere (DM 236/1989)</t>
        </is>
      </c>
      <c r="I219" s="11" t="n"/>
      <c r="J219" s="11" t="n"/>
      <c r="K219" s="11" t="n"/>
      <c r="L219" s="11" t="n"/>
      <c r="M219" s="11" t="n"/>
      <c r="N219" s="11" t="n"/>
    </row>
    <row r="220" ht="69" customHeight="1">
      <c r="A220" s="10" t="n">
        <v>218</v>
      </c>
      <c r="B220" s="10" t="inlineStr">
        <is>
          <t>Collaudo: DM 15/09/2005 o Codice di prevenzione incendi, RTV V.3 (antincendio)</t>
        </is>
      </c>
      <c r="C220" s="10" t="inlineStr">
        <is>
          <t>DM 3/8/2015, art. 5 c.1-bis lett. e)</t>
        </is>
      </c>
      <c r="D220" s="10" t="inlineStr">
        <is>
          <t>il progettista applica il DM 15/09/2005 oppure la RTV V.3 del Codice: dove si usa il Codice il DM 2005 non si applica</t>
        </is>
      </c>
      <c r="E220" s="10" t="inlineStr">
        <is>
          <t>DM 3/8/2015, art. 5 c.1-bis lett. e)</t>
        </is>
      </c>
      <c r="F220" s="10" t="inlineStr">
        <is>
          <t>ricerca, cap. 16 (testi ufficiali e schede UNI, 2026-10-02)</t>
        </is>
      </c>
      <c r="G220" s="10" t="inlineStr">
        <is>
          <t>confermato</t>
        </is>
      </c>
      <c r="H220" s="10" t="inlineStr">
        <is>
          <t>—</t>
        </is>
      </c>
      <c r="I220" s="11" t="n"/>
      <c r="J220" s="11" t="n"/>
      <c r="K220" s="11" t="n"/>
      <c r="L220" s="11" t="n"/>
      <c r="M220" s="11" t="n"/>
      <c r="N220" s="11" t="n"/>
    </row>
    <row r="221" ht="95" customHeight="1">
      <c r="A221" s="10" t="n">
        <v>219</v>
      </c>
      <c r="B221" s="10" t="inlineStr">
        <is>
          <t>Collaudo: DM 15/09/2005 o Codice di prevenzione incendi, RTV V.3 (antincendio)</t>
        </is>
      </c>
      <c r="C221" s="10" t="inlineStr">
        <is>
          <t>DM 15/09/2005, art. 1 c.2</t>
        </is>
      </c>
      <c r="D22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21" s="10" t="inlineStr">
        <is>
          <t>DM 15/09/2005, art. 1 c.2</t>
        </is>
      </c>
      <c r="F221" s="10" t="inlineStr">
        <is>
          <t>ricerca, cap. 16 (testi ufficiali e schede UNI, 2026-10-02)</t>
        </is>
      </c>
      <c r="G221" s="10" t="inlineStr">
        <is>
          <t>confermato</t>
        </is>
      </c>
      <c r="H221" s="10" t="inlineStr">
        <is>
          <t>—</t>
        </is>
      </c>
      <c r="I221" s="11" t="n"/>
      <c r="J221" s="11" t="n"/>
      <c r="K221" s="11" t="n"/>
      <c r="L221" s="11" t="n"/>
      <c r="M221" s="11" t="n"/>
      <c r="N221" s="11" t="n"/>
    </row>
    <row r="222" ht="69" customHeight="1">
      <c r="A222" s="10" t="n">
        <v>220</v>
      </c>
      <c r="B222" s="10" t="inlineStr">
        <is>
          <t>Collaudo: DM 15/09/2005 o Codice di prevenzione incendi, RTV V.3 (antincendio)</t>
        </is>
      </c>
      <c r="C222" s="10" t="inlineStr">
        <is>
          <t>DM 15/09/2005, 3.1–3.3; Codice V.3.2</t>
        </is>
      </c>
      <c r="D222" s="10" t="inlineStr">
        <is>
          <t>tipo di vano: aperto, protetto o a prova di fumo (Codice: classi da SA a SE)</t>
        </is>
      </c>
      <c r="E222" s="10" t="inlineStr">
        <is>
          <t>DM 15/09/2005, 3.1–3.3; Codice V.3.2</t>
        </is>
      </c>
      <c r="F222" s="10" t="inlineStr">
        <is>
          <t>ricerca, cap. 16 (testi ufficiali e schede UNI, 2026-10-02)</t>
        </is>
      </c>
      <c r="G222" s="10" t="inlineStr">
        <is>
          <t>confermato</t>
        </is>
      </c>
      <c r="H222" s="10" t="inlineStr">
        <is>
          <t>—</t>
        </is>
      </c>
      <c r="I222" s="11" t="n"/>
      <c r="J222" s="11" t="n"/>
      <c r="K222" s="11" t="n"/>
      <c r="L222" s="11" t="n"/>
      <c r="M222" s="11" t="n"/>
      <c r="N222" s="11" t="n"/>
    </row>
    <row r="223" ht="69" customHeight="1">
      <c r="A223" s="10" t="n">
        <v>221</v>
      </c>
      <c r="B223" s="10" t="inlineStr">
        <is>
          <t>Collaudo: DM 15/09/2005 o Codice di prevenzione incendi, RTV V.3 (antincendio)</t>
        </is>
      </c>
      <c r="C223" s="10" t="inlineStr">
        <is>
          <t>DM 15/09/2005, punto 2</t>
        </is>
      </c>
      <c r="D223" s="10" t="inlineStr">
        <is>
          <t>pareti del vano, locale macchina e pulegge, setti e arcata non combustibili; pareti, pavimento e tetto della cabina in classe di reazione al fuoco non oltre 1</t>
        </is>
      </c>
      <c r="E223" s="10" t="inlineStr">
        <is>
          <t>DM 15/09/2005, punto 2</t>
        </is>
      </c>
      <c r="F223" s="10" t="inlineStr">
        <is>
          <t>ricerca, cap. 16 (testi ufficiali e schede UNI, 2026-10-02)</t>
        </is>
      </c>
      <c r="G223" s="10" t="inlineStr">
        <is>
          <t>confermato</t>
        </is>
      </c>
      <c r="H223" s="10" t="inlineStr">
        <is>
          <t>—</t>
        </is>
      </c>
      <c r="I223" s="11" t="n"/>
      <c r="J223" s="11" t="n"/>
      <c r="K223" s="11" t="n"/>
      <c r="L223" s="11" t="n"/>
      <c r="M223" s="11" t="n"/>
      <c r="N223" s="11" t="n"/>
    </row>
    <row r="224" ht="108" customHeight="1">
      <c r="A224" s="10" t="n">
        <v>222</v>
      </c>
      <c r="B224" s="10" t="inlineStr">
        <is>
          <t>Collaudo: DM 15/09/2005 o Codice di prevenzione incendi, RTV V.3 (antincendio)</t>
        </is>
      </c>
      <c r="C224" s="10" t="inlineStr">
        <is>
          <t>DM 15/03/2005 (tabella di confronto); UNI EN 81-20:2020, 5.4.4</t>
        </is>
      </c>
      <c r="D22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24" s="10" t="inlineStr">
        <is>
          <t>DM 15/03/2005 (tabella di confronto); UNI EN 81-20:2020, 5.4.4</t>
        </is>
      </c>
      <c r="F224" s="10" t="inlineStr">
        <is>
          <t>ricerca, cap. 16 (testi ufficiali e schede UNI, 2026-10-02)</t>
        </is>
      </c>
      <c r="G224" s="10" t="inlineStr">
        <is>
          <t>da verificare</t>
        </is>
      </c>
      <c r="H224" s="10" t="inlineStr">
        <is>
          <t>—</t>
        </is>
      </c>
      <c r="I224" s="11" t="n"/>
      <c r="J224" s="11" t="n"/>
      <c r="K224" s="11" t="n"/>
      <c r="L224" s="11" t="n"/>
      <c r="M224" s="11" t="n"/>
      <c r="N224" s="11" t="n"/>
    </row>
    <row r="225" ht="82" customHeight="1">
      <c r="A225" s="10" t="n">
        <v>223</v>
      </c>
      <c r="B225" s="10" t="inlineStr">
        <is>
          <t>Collaudo: DM 15/09/2005 o Codice di prevenzione incendi, RTV V.3 (antincendio)</t>
        </is>
      </c>
      <c r="C225" s="10" t="inlineStr">
        <is>
          <t>DM 15/09/2005, punto 5</t>
        </is>
      </c>
      <c r="D22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25" s="10" t="inlineStr">
        <is>
          <t>DM 15/09/2005, punto 5</t>
        </is>
      </c>
      <c r="F225" s="10" t="inlineStr">
        <is>
          <t>ricerca, cap. 16 (testi ufficiali e schede UNI, 2026-10-02)</t>
        </is>
      </c>
      <c r="G225" s="10" t="inlineStr">
        <is>
          <t>confermato</t>
        </is>
      </c>
      <c r="H225" s="10" t="inlineStr">
        <is>
          <t>—</t>
        </is>
      </c>
      <c r="I225" s="11" t="n"/>
      <c r="J225" s="11" t="n"/>
      <c r="K225" s="11" t="n"/>
      <c r="L225" s="11" t="n"/>
      <c r="M225" s="11" t="n"/>
      <c r="N225" s="11" t="n"/>
    </row>
    <row r="226" ht="69" customHeight="1">
      <c r="A226" s="10" t="n">
        <v>224</v>
      </c>
      <c r="B226" s="10" t="inlineStr">
        <is>
          <t>Collaudo: DM 15/09/2005 o Codice di prevenzione incendi, RTV V.3 (antincendio)</t>
        </is>
      </c>
      <c r="C226" s="10" t="inlineStr">
        <is>
          <t>DM 15/09/2005, punto 6; Codice V.3.3.1 c.5</t>
        </is>
      </c>
      <c r="D226" s="10" t="inlineStr">
        <is>
          <t>estintore 21A89BC vicino all’accesso al macchinario; richiamo della cabina al piano prestabilito su comando della rivelazione quando la compartimentazione lo richiede</t>
        </is>
      </c>
      <c r="E226" s="10" t="inlineStr">
        <is>
          <t>DM 15/09/2005, punto 6; Codice V.3.3.1 c.5</t>
        </is>
      </c>
      <c r="F226" s="10" t="inlineStr">
        <is>
          <t>ricerca, cap. 16 (testi ufficiali e schede UNI, 2026-10-02)</t>
        </is>
      </c>
      <c r="G226" s="10" t="inlineStr">
        <is>
          <t>confermato</t>
        </is>
      </c>
      <c r="H226" s="10" t="inlineStr">
        <is>
          <t>—</t>
        </is>
      </c>
      <c r="I226" s="11" t="n"/>
      <c r="J226" s="11" t="n"/>
      <c r="K226" s="11" t="n"/>
      <c r="L226" s="11" t="n"/>
      <c r="M226" s="11" t="n"/>
      <c r="N226" s="11" t="n"/>
    </row>
    <row r="227" ht="69" customHeight="1">
      <c r="A227" s="10" t="n">
        <v>225</v>
      </c>
      <c r="B227" s="10" t="inlineStr">
        <is>
          <t>Collaudo: DM 15/09/2005 o Codice di prevenzione incendi, RTV V.3 (antincendio)</t>
        </is>
      </c>
      <c r="C227" s="10" t="inlineStr">
        <is>
          <t>Codice S.9, Tab. S.9-3</t>
        </is>
      </c>
      <c r="D227" s="10" t="inlineStr">
        <is>
          <t>piani tra 32 e 54 m: almeno un ascensore antincendio; oltre 54 m: almeno uno di soccorso; interrati tra −10 e −15 m: antincendio; sotto −15 m: soccorso</t>
        </is>
      </c>
      <c r="E227" s="10" t="inlineStr">
        <is>
          <t>Codice S.9, Tab. S.9-3</t>
        </is>
      </c>
      <c r="F227" s="10" t="inlineStr">
        <is>
          <t>ricerca, cap. 16 (testi ufficiali e schede UNI, 2026-10-02)</t>
        </is>
      </c>
      <c r="G227" s="10" t="inlineStr">
        <is>
          <t>confermato</t>
        </is>
      </c>
      <c r="H227" s="10" t="inlineStr">
        <is>
          <t>—</t>
        </is>
      </c>
      <c r="I227" s="11" t="n"/>
      <c r="J227" s="11" t="n"/>
      <c r="K227" s="11" t="n"/>
      <c r="L227" s="11" t="n"/>
      <c r="M227" s="11" t="n"/>
      <c r="N227" s="11" t="n"/>
    </row>
    <row r="228" ht="108" customHeight="1">
      <c r="A228" s="10" t="n">
        <v>226</v>
      </c>
      <c r="B228" s="10" t="inlineStr">
        <is>
          <t>Collaudo: NTC 2018 (strutture e azioni sismiche)</t>
        </is>
      </c>
      <c r="C228" s="10" t="inlineStr">
        <is>
          <t>NTC 2018, §3.1.4</t>
        </is>
      </c>
      <c r="D228" s="10" t="inlineStr">
        <is>
          <t>carichi del macchinario valutati caso per caso sui massimi prevedibili e riportati nel progetto e nel collaudo statico</t>
        </is>
      </c>
      <c r="E228" s="10" t="inlineStr">
        <is>
          <t>NTC 2018, §3.1.4</t>
        </is>
      </c>
      <c r="F228" s="10" t="inlineStr">
        <is>
          <t>ricerca, cap. 16 (testi ufficiali e schede UNI, 2026-10-02)</t>
        </is>
      </c>
      <c r="G228" s="10" t="inlineStr">
        <is>
          <t>confermato</t>
        </is>
      </c>
      <c r="H228" s="10" t="inlineStr">
        <is>
          <t>tensione nelle putrelle sotto l’argano; freccia delle putrelle sotto l’argano; trazione sulla putrella lontana (risultante fuori dalle putrelle); tensione nelle putrelle HEB sui muri del vano; freccia delle putrelle HEB sui muri del vano</t>
        </is>
      </c>
      <c r="I228" s="11" t="n"/>
      <c r="J228" s="11" t="n"/>
      <c r="K228" s="11" t="n"/>
      <c r="L228" s="11" t="n"/>
      <c r="M228" s="11" t="n"/>
      <c r="N228" s="11" t="n"/>
    </row>
    <row r="229" ht="108" customHeight="1">
      <c r="A229" s="10" t="n">
        <v>227</v>
      </c>
      <c r="B229" s="10" t="inlineStr">
        <is>
          <t>Collaudo: NTC 2018 (strutture e azioni sismiche)</t>
        </is>
      </c>
      <c r="C229" s="10" t="inlineStr">
        <is>
          <t>NTC 2018, §8.4.1</t>
        </is>
      </c>
      <c r="D229" s="10" t="inlineStr">
        <is>
          <t>su un edificio esistente l’intervento è locale: verifica limitata alle parti interessate, senza ridurre la sicurezza preesistente</t>
        </is>
      </c>
      <c r="E229" s="10" t="inlineStr">
        <is>
          <t>NTC 2018, §8.4.1</t>
        </is>
      </c>
      <c r="F229" s="10" t="inlineStr">
        <is>
          <t>ricerca, cap. 16 (testi ufficiali e schede UNI, 2026-10-02)</t>
        </is>
      </c>
      <c r="G229" s="10" t="inlineStr">
        <is>
          <t>confermato</t>
        </is>
      </c>
      <c r="H229" s="10" t="inlineStr">
        <is>
          <t>tensione nelle putrelle sotto l’argano; freccia delle putrelle sotto l’argano; trazione sulla putrella lontana (risultante fuori dalle putrelle); tensione nelle putrelle HEB sui muri del vano; freccia delle putrelle HEB sui muri del vano</t>
        </is>
      </c>
      <c r="I229" s="11" t="n"/>
      <c r="J229" s="11" t="n"/>
      <c r="K229" s="11" t="n"/>
      <c r="L229" s="11" t="n"/>
      <c r="M229" s="11" t="n"/>
      <c r="N229" s="11" t="n"/>
    </row>
    <row r="230" ht="108" customHeight="1">
      <c r="A230" s="10" t="n">
        <v>228</v>
      </c>
      <c r="B230" s="10" t="inlineStr">
        <is>
          <t>Collaudo: NTC 2018 (strutture e azioni sismiche)</t>
        </is>
      </c>
      <c r="C230" s="10" t="inlineStr">
        <is>
          <t>NTC 2018, §11.4.1</t>
        </is>
      </c>
      <c r="D230" s="10" t="inlineStr">
        <is>
          <t>ancoranti per uso strutturale qualificati; con azioni sismiche categoria C2 per tutte le classi d’uso</t>
        </is>
      </c>
      <c r="E230" s="10" t="inlineStr">
        <is>
          <t>NTC 2018, §11.4.1</t>
        </is>
      </c>
      <c r="F230" s="10" t="inlineStr">
        <is>
          <t>ricerca, cap. 16 (testi ufficiali e schede UNI, 2026-10-02)</t>
        </is>
      </c>
      <c r="G230" s="10" t="inlineStr">
        <is>
          <t>confermato</t>
        </is>
      </c>
      <c r="H230" s="10" t="inlineStr">
        <is>
          <t>tensione nelle putrelle sotto l’argano; freccia delle putrelle sotto l’argano; trazione sulla putrella lontana (risultante fuori dalle putrelle); tensione nelle putrelle HEB sui muri del vano; freccia delle putrelle HEB sui muri del vano</t>
        </is>
      </c>
      <c r="I230" s="11" t="n"/>
      <c r="J230" s="11" t="n"/>
      <c r="K230" s="11" t="n"/>
      <c r="L230" s="11" t="n"/>
      <c r="M230" s="11" t="n"/>
      <c r="N230" s="11" t="n"/>
    </row>
    <row r="231" ht="108" customHeight="1">
      <c r="A231" s="10" t="n">
        <v>229</v>
      </c>
      <c r="B231" s="10" t="inlineStr">
        <is>
          <t>Collaudo: NTC 2018 (strutture e azioni sismiche)</t>
        </is>
      </c>
      <c r="C231" s="10" t="inlineStr">
        <is>
          <t>NTC 2018, §7.2.3–7.2.4</t>
        </is>
      </c>
      <c r="D23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31" s="10" t="inlineStr">
        <is>
          <t>NTC 2018, §7.2.3–7.2.4</t>
        </is>
      </c>
      <c r="F231" s="10" t="inlineStr">
        <is>
          <t>ricerca, cap. 16 (testi ufficiali e schede UNI, 2026-10-02)</t>
        </is>
      </c>
      <c r="G231" s="10" t="inlineStr">
        <is>
          <t>confermato</t>
        </is>
      </c>
      <c r="H231" s="10" t="inlineStr">
        <is>
          <t>tensione nelle putrelle sotto l’argano; freccia delle putrelle sotto l’argano; trazione sulla putrella lontana (risultante fuori dalle putrelle); tensione nelle putrelle HEB sui muri del vano; freccia delle putrelle HEB sui muri del vano</t>
        </is>
      </c>
      <c r="I231" s="11" t="n"/>
      <c r="J231" s="11" t="n"/>
      <c r="K231" s="11" t="n"/>
      <c r="L231" s="11" t="n"/>
      <c r="M231" s="11" t="n"/>
      <c r="N231" s="11" t="n"/>
    </row>
    <row r="232" ht="108" customHeight="1">
      <c r="A232" s="10" t="n">
        <v>230</v>
      </c>
      <c r="B232" s="10" t="inlineStr">
        <is>
          <t>Collaudo: NTC 2018 (strutture e azioni sismiche)</t>
        </is>
      </c>
      <c r="C232" s="10" t="inlineStr">
        <is>
          <t>NTC 2018, Tab. 7.3.III e §7.3.6.3</t>
        </is>
      </c>
      <c r="D232" s="10" t="inlineStr">
        <is>
          <t>impianti: stabilità allo SLV per tutte le classi d’uso; nelle classi III e IV anche funzionamento allo SLO</t>
        </is>
      </c>
      <c r="E232" s="10" t="inlineStr">
        <is>
          <t>NTC 2018, Tab. 7.3.III e §7.3.6.3</t>
        </is>
      </c>
      <c r="F232" s="10" t="inlineStr">
        <is>
          <t>ricerca, cap. 16 (testi ufficiali e schede UNI, 2026-10-02)</t>
        </is>
      </c>
      <c r="G232" s="10" t="inlineStr">
        <is>
          <t>confermato</t>
        </is>
      </c>
      <c r="H232" s="10" t="inlineStr">
        <is>
          <t>tensione nelle putrelle sotto l’argano; freccia delle putrelle sotto l’argano; trazione sulla putrella lontana (risultante fuori dalle putrelle); tensione nelle putrelle HEB sui muri del vano; freccia delle putrelle HEB sui muri del vano</t>
        </is>
      </c>
      <c r="I232" s="11" t="n"/>
      <c r="J232" s="11" t="n"/>
      <c r="K232" s="11" t="n"/>
      <c r="L232" s="11" t="n"/>
      <c r="M232" s="11" t="n"/>
      <c r="N232" s="11" t="n"/>
    </row>
  </sheetData>
  <autoFilter ref="A1:N232"/>
  <dataValidations count="1">
    <dataValidation sqref="I3:I23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COUNTIF(Voci!$G$3:$G$232,"da verificare")</f>
        <v/>
      </c>
    </row>
    <row r="5">
      <c r="A5" s="6" t="inlineStr">
        <is>
          <t>confermato</t>
        </is>
      </c>
      <c r="B5" s="6">
        <f>COUNTIF(Voci!$G$3:$G$232,"confermato")</f>
        <v/>
      </c>
    </row>
    <row r="6">
      <c r="A6" s="6" t="inlineStr">
        <is>
          <t>scelta del software</t>
        </is>
      </c>
      <c r="B6" s="6">
        <f>COUNTIF(Voci!$G$3:$G$232,"scelta del software")</f>
        <v/>
      </c>
    </row>
    <row r="7">
      <c r="A7" s="6" t="inlineStr">
        <is>
          <t>stima</t>
        </is>
      </c>
      <c r="B7" s="6">
        <f>COUNTIF(Voci!$G$3:$G$232,"stima")</f>
        <v/>
      </c>
    </row>
    <row r="8">
      <c r="A8" s="6" t="inlineStr">
        <is>
          <t>derivazione</t>
        </is>
      </c>
      <c r="B8" s="6">
        <f>COUNTIF(Voci!$G$3:$G$232,"derivazione")</f>
        <v/>
      </c>
    </row>
    <row r="9">
      <c r="A9" s="6" t="inlineStr">
        <is>
          <t>prassi di cantiere</t>
        </is>
      </c>
      <c r="B9" s="6">
        <f>COUNTIF(Voci!$G$3:$G$232,"prassi di cantiere")</f>
        <v/>
      </c>
    </row>
    <row r="10">
      <c r="A10" s="3" t="inlineStr">
        <is>
          <t>Totale voci</t>
        </is>
      </c>
      <c r="B10" s="3">
        <f>COUNTA(Voci!$A$3:$A$232)</f>
        <v/>
      </c>
    </row>
    <row r="12">
      <c r="A12" s="3" t="inlineStr">
        <is>
          <t>Esito</t>
        </is>
      </c>
    </row>
    <row r="13">
      <c r="A13" s="6" t="inlineStr">
        <is>
          <t>conforme</t>
        </is>
      </c>
      <c r="B13" s="6">
        <f>COUNTIF(Voci!$I$3:$I$232,"conforme")</f>
        <v/>
      </c>
    </row>
    <row r="14">
      <c r="A14" s="6" t="inlineStr">
        <is>
          <t>diverso</t>
        </is>
      </c>
      <c r="B14" s="6">
        <f>COUNTIF(Voci!$I$3:$I$232,"diverso")</f>
        <v/>
      </c>
    </row>
    <row r="15">
      <c r="A15" s="6" t="inlineStr">
        <is>
          <t>non applicabile</t>
        </is>
      </c>
      <c r="B15" s="6">
        <f>COUNTIF(Voci!$I$3:$I$232,"non applicabile")</f>
        <v/>
      </c>
    </row>
    <row r="16">
      <c r="A16" s="6" t="inlineStr">
        <is>
          <t>da compilare</t>
        </is>
      </c>
      <c r="B16" s="6">
        <f>COUNTBLANK(Voci!$I$3:$I$232)</f>
        <v/>
      </c>
    </row>
    <row r="18">
      <c r="A18" s="13" t="inlineStr">
        <is>
          <t>Conteggi sulle righe 3–232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2026-10-07T15:44:14Z</dcterms:created>
  <dcterms:modified xsi:type="dcterms:W3CDTF">2026-10-07T15:44:14Z</dcterms:modified>
</cp:coreProperties>
</file>