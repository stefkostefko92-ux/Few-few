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struzioni" sheetId="1" state="visible" r:id="rId1"/>
    <sheet name="Voci" sheetId="2" state="visible" r:id="rId2"/>
    <sheet name="Riepilogo" sheetId="3" state="visible" r:id="rId3"/>
  </sheets>
  <definedNames>
    <definedName name="_xlnm._FilterDatabase" localSheetId="1" hidden="1">'Voci'!$A$1:$N$220</definedName>
    <definedName name="_xlnm.Print_Titles" localSheetId="1">'Voci'!$1:$1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1"/>
    </font>
    <font>
      <name val="Arial"/>
      <b val="1"/>
      <sz val="10"/>
    </font>
    <font>
      <name val="Arial"/>
      <sz val="10"/>
    </font>
    <font>
      <name val="Arial"/>
      <b val="1"/>
      <color rgb="00FFFFFF"/>
      <sz val="10"/>
    </font>
    <font>
      <name val="Arial"/>
      <i val="1"/>
      <color rgb="005A6480"/>
      <sz val="10"/>
    </font>
    <font>
      <name val="Arial"/>
      <color rgb="000000FF"/>
      <sz val="10"/>
    </font>
    <font>
      <name val="Arial"/>
      <b val="1"/>
      <sz val="13"/>
    </font>
  </fonts>
  <fills count="5">
    <fill>
      <patternFill/>
    </fill>
    <fill>
      <patternFill patternType="gray125"/>
    </fill>
    <fill>
      <patternFill patternType="solid">
        <fgColor rgb="00FFFF00"/>
      </patternFill>
    </fill>
    <fill>
      <patternFill patternType="solid">
        <fgColor rgb="001D3271"/>
      </patternFill>
    </fill>
    <fill>
      <patternFill patternType="solid">
        <fgColor rgb="00EEF1F6"/>
      </patternFill>
    </fill>
  </fills>
  <borders count="2">
    <border>
      <left/>
      <right/>
      <top/>
      <bottom/>
      <diagonal/>
    </border>
    <border>
      <left style="thin">
        <color rgb="00C9CFDB"/>
      </left>
      <right style="thin">
        <color rgb="00C9CFDB"/>
      </right>
      <top style="thin">
        <color rgb="00C9CFDB"/>
      </top>
      <bottom style="thin">
        <color rgb="00C9CFDB"/>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pivotButton="0" quotePrefix="0" xfId="0"/>
    <xf numFmtId="0" fontId="4" fillId="0" borderId="0" pivotButton="0" quotePrefix="0" xfId="0"/>
    <xf numFmtId="0" fontId="0" fillId="2" borderId="1" pivotButton="0" quotePrefix="0" xfId="0"/>
    <xf numFmtId="0" fontId="5" fillId="3" borderId="1" applyAlignment="1" pivotButton="0" quotePrefix="0" xfId="0">
      <alignment vertical="center" wrapText="1"/>
    </xf>
    <xf numFmtId="0" fontId="6" fillId="4" borderId="1" applyAlignment="1" pivotButton="0" quotePrefix="0" xfId="0">
      <alignment vertical="top" wrapText="1"/>
    </xf>
    <xf numFmtId="0" fontId="4" fillId="0" borderId="1" applyAlignment="1" pivotButton="0" quotePrefix="0" xfId="0">
      <alignment vertical="top" wrapText="1"/>
    </xf>
    <xf numFmtId="0" fontId="7" fillId="2" borderId="1" applyAlignment="1" pivotButton="0" quotePrefix="0" xfId="0">
      <alignment vertical="top" wrapText="1"/>
    </xf>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7"/>
  <sheetViews>
    <sheetView workbookViewId="0">
      <selection activeCell="A1" sqref="A1"/>
    </sheetView>
  </sheetViews>
  <sheetFormatPr baseColWidth="8" defaultRowHeight="15"/>
  <cols>
    <col width="24" customWidth="1" min="1" max="1"/>
    <col width="100" customWidth="1" min="2" max="2"/>
  </cols>
  <sheetData>
    <row r="1">
      <c r="A1" s="1" t="inlineStr">
        <is>
          <t>Lista di verifica normativa — profilo IT-2026.1</t>
        </is>
      </c>
    </row>
    <row r="2">
      <c r="A2" s="2" t="inlineStr">
        <is>
          <t>Italia — sostituzione dell'argano su impianto esistente</t>
        </is>
      </c>
    </row>
    <row r="4">
      <c r="A4" s="3" t="inlineStr">
        <is>
          <t>Documenti del profilo</t>
        </is>
      </c>
    </row>
    <row r="5">
      <c r="A5" s="3" t="inlineStr">
        <is>
          <t>Direttiva 2014/33/UE</t>
        </is>
      </c>
      <c r="B5" s="4" t="inlineStr">
        <is>
          <t>requisiti essenziali di sicurezza (Allegato I)</t>
        </is>
      </c>
    </row>
    <row r="6">
      <c r="A6" s="3" t="inlineStr">
        <is>
          <t>DPR 162/1999 e s.m.i. (DPR 8/2015, DPR 23/2017)</t>
        </is>
      </c>
      <c r="B6" s="4" t="inlineStr">
        <is>
          <t>sostituzione del macchinario come modifica costruttiva; verifica straordinaria (art. 14)</t>
        </is>
      </c>
    </row>
    <row r="7">
      <c r="A7" s="3" t="inlineStr">
        <is>
          <t>UNI EN 81-20:2020</t>
        </is>
      </c>
      <c r="B7" s="4" t="inlineStr">
        <is>
          <t>funi (5.5), freno (5.9.2.2), distanze nel vano (5.2.5) e superficie della cabina (5.4.2)</t>
        </is>
      </c>
    </row>
    <row r="8">
      <c r="A8" s="3" t="inlineStr">
        <is>
          <t>UNI EN 81-50:2020</t>
        </is>
      </c>
      <c r="B8" s="4" t="inlineStr">
        <is>
          <t>aderenza (5.11) e coefficiente di sicurezza delle funi (5.12)</t>
        </is>
      </c>
    </row>
    <row r="9">
      <c r="A9" s="3" t="inlineStr">
        <is>
          <t>UNI 10411-1:2024</t>
        </is>
      </c>
      <c r="B9" s="4" t="inlineStr">
        <is>
          <t>modifiche e sostituzioni su ascensori elettrici esistenti non conformi alla Direttiva Ascensori: collaudo delle parti modificate</t>
        </is>
      </c>
    </row>
    <row r="10">
      <c r="A10" s="3" t="inlineStr">
        <is>
          <t>UNI 10411-11:2024</t>
        </is>
      </c>
      <c r="B10" s="4" t="inlineStr">
        <is>
          <t>modifiche e sostituzioni su ascensori elettrici esistenti conformi alla 95/16/CE o alla 2014/33/UE: collaudo delle parti modificate</t>
        </is>
      </c>
    </row>
    <row r="11">
      <c r="A11" s="3" t="inlineStr">
        <is>
          <t>DM 236/1989</t>
        </is>
      </c>
      <c r="B11" s="4" t="inlineStr">
        <is>
          <t>accessibilità: cabina e porta minime (8.1.12), per il progetto del vano</t>
        </is>
      </c>
    </row>
    <row r="13">
      <c r="A13" s="3" t="inlineStr">
        <is>
          <t>Come compilare</t>
        </is>
      </c>
    </row>
    <row r="14" ht="32" customHeight="1">
      <c r="B14" s="4" t="inlineStr">
        <is>
          <t>Nel foglio «Voci», per ogni riga confrontare il «Valore nel software» con il testo vigente del documento in «Dove verificare».</t>
        </is>
      </c>
    </row>
    <row r="15" ht="32" customHeight="1">
      <c r="B15" s="4" t="inlineStr">
        <is>
          <t>Compilare solo le celle gialle: Esito (conforme / diverso / non applicabile), Valore corretto e Clausola esatta se diverso, Note, Verificato da, Data.</t>
        </is>
      </c>
    </row>
    <row r="16" ht="18" customHeight="1">
      <c r="B16" s="4" t="inlineStr">
        <is>
          <t>La riga 2 è un ESEMPIO del formato: non è una voce e non entra nel riepilogo.</t>
        </is>
      </c>
    </row>
    <row r="17" ht="60" customHeight="1">
      <c r="B17" s="4" t="inlineStr">
        <is>
          <t>Stati: «da verificare» = fonte secondaria; «stima» e «scelta del software» = decisioni del software da approvare o correggere; «derivazione» = meccanica elementare; «confermato» = due fonti indipendenti o un caso pubblicato riprodotto, da confrontare comunque con il testo; «prassi di cantiere» = indicazione di Panev Ascensori.</t>
        </is>
      </c>
    </row>
    <row r="18" ht="32" customHeight="1">
      <c r="B18" s="4" t="inlineStr">
        <is>
          <t>Ogni correzione viene riportata nel registro del software (liftpilot/src/calc/norme.ts) e cambia insieme motore di calcolo, lista e relazione di calcolo.</t>
        </is>
      </c>
    </row>
    <row r="19" ht="18" customHeight="1">
      <c r="B19" s="4" t="inlineStr">
        <is>
          <t>Non trascrivere il testo delle norme in questo file: basta il valore e il numero di clausola.</t>
        </is>
      </c>
    </row>
    <row r="21">
      <c r="A21" s="3" t="inlineStr">
        <is>
          <t>Legenda</t>
        </is>
      </c>
      <c r="B21" s="5" t="inlineStr">
        <is>
          <t>celle da compilare</t>
        </is>
      </c>
    </row>
    <row r="23">
      <c r="A23" s="3" t="inlineStr">
        <is>
          <t>Verifica complessiva</t>
        </is>
      </c>
    </row>
    <row r="24">
      <c r="A24" s="6" t="inlineStr">
        <is>
          <t>Ingegnere (nome e cognome)</t>
        </is>
      </c>
      <c r="B24" s="7" t="n"/>
    </row>
    <row r="25">
      <c r="A25" s="6" t="inlineStr">
        <is>
          <t>Iscrizione all'albo</t>
        </is>
      </c>
      <c r="B25" s="7" t="n"/>
    </row>
    <row r="26">
      <c r="A26" s="6" t="inlineStr">
        <is>
          <t>Data</t>
        </is>
      </c>
      <c r="B26" s="7" t="n"/>
    </row>
    <row r="27">
      <c r="A27" s="6" t="inlineStr">
        <is>
          <t>Firma</t>
        </is>
      </c>
      <c r="B27" s="7" t="n"/>
    </row>
  </sheetData>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N220"/>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46" customWidth="1" min="4" max="4"/>
    <col width="30" customWidth="1" min="5" max="5"/>
    <col width="30" customWidth="1" min="6" max="6"/>
    <col width="14" customWidth="1" min="7" max="7"/>
    <col width="30" customWidth="1" min="8" max="8"/>
    <col width="16" customWidth="1" min="9" max="9"/>
    <col width="24" customWidth="1" min="10" max="10"/>
    <col width="18" customWidth="1" min="11" max="11"/>
    <col width="30" customWidth="1" min="12" max="12"/>
    <col width="18" customWidth="1" min="13" max="13"/>
    <col width="12" customWidth="1" min="14" max="14"/>
  </cols>
  <sheetData>
    <row r="1" ht="30" customHeight="1">
      <c r="A1" s="8" t="inlineStr">
        <is>
          <t>N.</t>
        </is>
      </c>
      <c r="B1" s="8" t="inlineStr">
        <is>
          <t>Gruppo</t>
        </is>
      </c>
      <c r="C1" s="8" t="inlineStr">
        <is>
          <t>Voce</t>
        </is>
      </c>
      <c r="D1" s="8" t="inlineStr">
        <is>
          <t>Valore nel software</t>
        </is>
      </c>
      <c r="E1" s="8" t="inlineStr">
        <is>
          <t>Dove verificare</t>
        </is>
      </c>
      <c r="F1" s="8" t="inlineStr">
        <is>
          <t>Fonte attuale</t>
        </is>
      </c>
      <c r="G1" s="8" t="inlineStr">
        <is>
          <t>Stato</t>
        </is>
      </c>
      <c r="H1" s="8" t="inlineStr">
        <is>
          <t>Verifiche interessate</t>
        </is>
      </c>
      <c r="I1" s="8" t="inlineStr">
        <is>
          <t>Esito</t>
        </is>
      </c>
      <c r="J1" s="8" t="inlineStr">
        <is>
          <t>Valore corretto</t>
        </is>
      </c>
      <c r="K1" s="8" t="inlineStr">
        <is>
          <t>Clausola esatta</t>
        </is>
      </c>
      <c r="L1" s="8" t="inlineStr">
        <is>
          <t>Note</t>
        </is>
      </c>
      <c r="M1" s="8" t="inlineStr">
        <is>
          <t>Verificato da</t>
        </is>
      </c>
      <c r="N1" s="8" t="inlineStr">
        <is>
          <t>Data</t>
        </is>
      </c>
    </row>
    <row r="2" ht="30" customHeight="1">
      <c r="A2" s="9" t="inlineStr">
        <is>
          <t>ESEMPIO</t>
        </is>
      </c>
      <c r="B2" s="9" t="inlineStr">
        <is>
          <t>Aderenza</t>
        </is>
      </c>
      <c r="C2" s="9" t="inlineStr">
        <is>
          <t>Coefficiente di attrito, caricamento</t>
        </is>
      </c>
      <c r="D2" s="9" t="inlineStr">
        <is>
          <t>μ = 0,1</t>
        </is>
      </c>
      <c r="E2" s="9" t="inlineStr">
        <is>
          <t>UNI EN 81-50:2020, 5.11.2</t>
        </is>
      </c>
      <c r="F2" s="9" t="inlineStr">
        <is>
          <t>fonti secondarie</t>
        </is>
      </c>
      <c r="G2" s="9" t="inlineStr">
        <is>
          <t>da verificare</t>
        </is>
      </c>
      <c r="H2" s="9" t="inlineStr">
        <is>
          <t>aderenza al caricamento</t>
        </is>
      </c>
      <c r="I2" s="9" t="inlineStr">
        <is>
          <t>diverso</t>
        </is>
      </c>
      <c r="J2" s="9" t="inlineStr">
        <is>
          <t>μ = 0,1 (con …)</t>
        </is>
      </c>
      <c r="K2" s="9" t="inlineStr">
        <is>
          <t>5.11.2.x</t>
        </is>
      </c>
      <c r="L2" s="9" t="inlineStr">
        <is>
          <t>formato della risposta: non è una voce</t>
        </is>
      </c>
      <c r="M2" s="9" t="inlineStr">
        <is>
          <t>iniziali</t>
        </is>
      </c>
      <c r="N2" s="9" t="inlineStr">
        <is>
          <t>gg/mm/aaaa</t>
        </is>
      </c>
    </row>
    <row r="3" ht="121" customHeight="1">
      <c r="A3" s="10" t="n">
        <v>1</v>
      </c>
      <c r="B3" s="10" t="inlineStr">
        <is>
          <t>Aderenza</t>
        </is>
      </c>
      <c r="C3" s="10" t="inlineStr">
        <is>
          <t>Aderenza: tre condizioni di Euler-Eytelwein — Con la cabina o il contrappeso bloccati la condizione serve quando è l'aderenza a impedire il sollevamento: la UNI EN 81-20:2020 (5.5.3 c)) ammette in alternativa un dispositivo elettrico di sicurezza (voce trazione.bloccata.dispositivo); la UNI EN 81-1:2008 (9.3 c)) no.</t>
        </is>
      </c>
      <c r="D3" s="10" t="inlineStr">
        <is>
          <t>T1/T2 ≤ e^(f·α) al caricamento e in frenatura di emergenza; T1/T2 ≥ e^(f·α) con contrappeso o cabina bloccati (cabina vuota nella posizione più alta e in quella più bassa)</t>
        </is>
      </c>
      <c r="E3" s="10" t="inlineStr">
        <is>
          <t>UNI EN 81-50:2020, 5.11.2.1 e 5.11.2.2.3</t>
        </is>
      </c>
      <c r="F3" s="10" t="inlineStr">
        <is>
          <t>UNI EN 81-50:2020, testo della norma, letto il 2026-10-06, pp. 39–40</t>
        </is>
      </c>
      <c r="G3" s="10" t="inlineStr">
        <is>
          <t>confermato</t>
        </is>
      </c>
      <c r="H3" s="10" t="inlineStr">
        <is>
          <t>aderenza al caricamento; aderenza in frenatura, in discesa; aderenza in frenatura, in salita; cabina bloccata</t>
        </is>
      </c>
      <c r="I3" s="11" t="n"/>
      <c r="J3" s="11" t="n"/>
      <c r="K3" s="11" t="n"/>
      <c r="L3" s="11" t="n"/>
      <c r="M3" s="11" t="n"/>
      <c r="N3" s="11" t="n"/>
    </row>
    <row r="4" ht="134" customHeight="1">
      <c r="A4" s="10" t="n">
        <v>2</v>
      </c>
      <c r="B4" s="10" t="inlineStr">
        <is>
          <t>Aderenza</t>
        </is>
      </c>
      <c r="C4" s="10" t="inlineStr">
        <is>
          <t>Cabina o contrappeso bloccati: dispositivo al posto dello slittamento — La norma non dice quale dispositivo: deve accorgersi del blocco e fermare la macchina prima di un sollevamento pericoloso. Il temporizzatore della 5.9.2.7 è un obbligo distinto. Con la UNI 10411-11:2024 vale solo se la macchina è verificata secondo la UNI EN 81-20.</t>
        </is>
      </c>
      <c r="D4" s="10" t="inlineStr">
        <is>
          <t>con la macchina secondo la UNI EN 81-20:2020 e un dispositivo elettrico di sicurezza (5.11.2) che arresta la macchina, la verifica con cabina o contrappeso bloccati non superata è «Attenzione» (verifica sostituita da dispositivo, da documentare), mai OK; con la macchina secondo la UNI EN 81-1 resta «Non soddisfatta»</t>
        </is>
      </c>
      <c r="E4" s="10" t="inlineStr">
        <is>
          <t>UNI EN 81-20:2020, 5.5.3 c) 2); UNI EN 81-1:2008, 9.3 c); UNI 10411-1:2024, 14.1 a)–b)</t>
        </is>
      </c>
      <c r="F4" s="10" t="inlineStr">
        <is>
          <t>UNI EN 81-20:2020, testo della norma, letto il 2026-10-06, p. 75; UNI EN 81-1:2008, testo della norma, letto il 2026-10-06, p. 55; UNI 10411-1:2024, testo della norma, letto il 2026-10-06, p. 13</t>
        </is>
      </c>
      <c r="G4" s="10" t="inlineStr">
        <is>
          <t>confermato</t>
        </is>
      </c>
      <c r="H4" s="10" t="inlineStr">
        <is>
          <t>cabina bloccata</t>
        </is>
      </c>
      <c r="I4" s="11" t="n"/>
      <c r="J4" s="11" t="n"/>
      <c r="K4" s="11" t="n"/>
      <c r="L4" s="11" t="n"/>
      <c r="M4" s="11" t="n"/>
      <c r="N4" s="11" t="n"/>
    </row>
    <row r="5" ht="43" customHeight="1">
      <c r="A5" s="10" t="n">
        <v>3</v>
      </c>
      <c r="B5" s="10" t="inlineStr">
        <is>
          <t>Aderenza</t>
        </is>
      </c>
      <c r="C5" s="10" t="inlineStr">
        <is>
          <t>Coefficiente di attrito, caricamento</t>
        </is>
      </c>
      <c r="D5" s="10" t="inlineStr">
        <is>
          <t>μ = 0,1</t>
        </is>
      </c>
      <c r="E5" s="10" t="inlineStr">
        <is>
          <t>UNI EN 81-50:2020, 5.11.2.3.2</t>
        </is>
      </c>
      <c r="F5" s="10" t="inlineStr">
        <is>
          <t>UNI EN 81-50:2020, testo della norma, letto il 2026-10-06, p. 42</t>
        </is>
      </c>
      <c r="G5" s="10" t="inlineStr">
        <is>
          <t>confermato</t>
        </is>
      </c>
      <c r="H5" s="10" t="inlineStr">
        <is>
          <t>aderenza al caricamento</t>
        </is>
      </c>
      <c r="I5" s="11" t="n"/>
      <c r="J5" s="11" t="n"/>
      <c r="K5" s="11" t="n"/>
      <c r="L5" s="11" t="n"/>
      <c r="M5" s="11" t="n"/>
      <c r="N5" s="11" t="n"/>
    </row>
    <row r="6" ht="69" customHeight="1">
      <c r="A6" s="10" t="n">
        <v>4</v>
      </c>
      <c r="B6" s="10" t="inlineStr">
        <is>
          <t>Aderenza</t>
        </is>
      </c>
      <c r="C6" s="10" t="inlineStr">
        <is>
          <t>Coefficiente di attrito, frenatura di emergenza</t>
        </is>
      </c>
      <c r="D6" s="10" t="inlineStr">
        <is>
          <t>μ = 0,1 / (1 + v_f/10), v_f = velocità delle funi</t>
        </is>
      </c>
      <c r="E6" s="10" t="inlineStr">
        <is>
          <t>UNI EN 81-50:2020, 5.11.2.3.2</t>
        </is>
      </c>
      <c r="F6" s="10" t="inlineStr">
        <is>
          <t>UNI EN 81-50:2020, testo della norma, letto il 2026-10-06, p. 42 (v_f: velocità delle funi alla velocità nominale della cabina)</t>
        </is>
      </c>
      <c r="G6" s="10" t="inlineStr">
        <is>
          <t>confermato</t>
        </is>
      </c>
      <c r="H6" s="10" t="inlineStr">
        <is>
          <t>aderenza in frenatura, in discesa; aderenza in frenatura, in salita; aderenza alla decelerazione reale (avviso)</t>
        </is>
      </c>
      <c r="I6" s="11" t="n"/>
      <c r="J6" s="11" t="n"/>
      <c r="K6" s="11" t="n"/>
      <c r="L6" s="11" t="n"/>
      <c r="M6" s="11" t="n"/>
      <c r="N6" s="11" t="n"/>
    </row>
    <row r="7" ht="43" customHeight="1">
      <c r="A7" s="10" t="n">
        <v>5</v>
      </c>
      <c r="B7" s="10" t="inlineStr">
        <is>
          <t>Aderenza</t>
        </is>
      </c>
      <c r="C7" s="10" t="inlineStr">
        <is>
          <t>Coefficiente di attrito, contrappeso o cabina bloccati</t>
        </is>
      </c>
      <c r="D7" s="10" t="inlineStr">
        <is>
          <t>μ = 0,2</t>
        </is>
      </c>
      <c r="E7" s="10" t="inlineStr">
        <is>
          <t>UNI EN 81-50:2020, 5.11.2.3.2</t>
        </is>
      </c>
      <c r="F7" s="10" t="inlineStr">
        <is>
          <t>UNI EN 81-50:2020, testo della norma, letto il 2026-10-06, p. 42</t>
        </is>
      </c>
      <c r="G7" s="10" t="inlineStr">
        <is>
          <t>confermato</t>
        </is>
      </c>
      <c r="H7" s="10" t="inlineStr">
        <is>
          <t>cabina bloccata</t>
        </is>
      </c>
      <c r="I7" s="11" t="n"/>
      <c r="J7" s="11" t="n"/>
      <c r="K7" s="11" t="n"/>
      <c r="L7" s="11" t="n"/>
      <c r="M7" s="11" t="n"/>
      <c r="N7" s="11" t="n"/>
    </row>
    <row r="8" ht="95" customHeight="1">
      <c r="A8" s="10" t="n">
        <v>6</v>
      </c>
      <c r="B8" s="10" t="inlineStr">
        <is>
          <t>Aderenza</t>
        </is>
      </c>
      <c r="C8" s="10" t="inlineStr">
        <is>
          <t>Carico della verifica di caricamento — La norma aggiunge il peso dei dispositivi di movimentazione, dove usati negli ascensori per merci e persone: non modellato. Le due posizioni della cabina sono quelle più sfavorevoli che il software verifica.</t>
        </is>
      </c>
      <c r="D8" s="10" t="inlineStr">
        <is>
          <t>1,25·Q, cabina in basso e in alto</t>
        </is>
      </c>
      <c r="E8" s="10" t="inlineStr">
        <is>
          <t>UNI EN 81-50:2020, 5.11.2.2.1 e 5.11.3</t>
        </is>
      </c>
      <c r="F8" s="10" t="inlineStr">
        <is>
          <t>UNI EN 81-50:2020, testo della norma, letto il 2026-10-06, pp. 40 e 44 (al caricamento e con la cabina bloccata a = 0)</t>
        </is>
      </c>
      <c r="G8" s="10" t="inlineStr">
        <is>
          <t>confermato</t>
        </is>
      </c>
      <c r="H8" s="10" t="inlineStr">
        <is>
          <t>aderenza al caricamento</t>
        </is>
      </c>
      <c r="I8" s="11" t="n"/>
      <c r="J8" s="11" t="n"/>
      <c r="K8" s="11" t="n"/>
      <c r="L8" s="11" t="n"/>
      <c r="M8" s="11" t="n"/>
      <c r="N8" s="11" t="n"/>
    </row>
    <row r="9" ht="43" customHeight="1">
      <c r="A9" s="10" t="n">
        <v>7</v>
      </c>
      <c r="B9" s="10" t="inlineStr">
        <is>
          <t>Aderenza</t>
        </is>
      </c>
      <c r="C9" s="10" t="inlineStr">
        <is>
          <t>Decelerazione della verifica di frenatura</t>
        </is>
      </c>
      <c r="D9" s="10" t="inlineStr">
        <is>
          <t>almeno 0,5 m/s²</t>
        </is>
      </c>
      <c r="E9" s="10" t="inlineStr">
        <is>
          <t>UNI EN 81-50:2020, 5.11.2.2.2</t>
        </is>
      </c>
      <c r="F9" s="10" t="inlineStr">
        <is>
          <t>UNI EN 81-50:2020, testo della norma, letto il 2026-10-06, p. 40</t>
        </is>
      </c>
      <c r="G9" s="10" t="inlineStr">
        <is>
          <t>confermato</t>
        </is>
      </c>
      <c r="H9" s="10" t="inlineStr">
        <is>
          <t>aderenza in frenatura, in discesa; aderenza in frenatura, in salita</t>
        </is>
      </c>
      <c r="I9" s="11" t="n"/>
      <c r="J9" s="11" t="n"/>
      <c r="K9" s="11" t="n"/>
      <c r="L9" s="11" t="n"/>
      <c r="M9" s="11" t="n"/>
      <c r="N9" s="11" t="n"/>
    </row>
    <row r="10" ht="160" customHeight="1">
      <c r="A10" s="10" t="n">
        <v>8</v>
      </c>
      <c r="B10" s="10" t="inlineStr">
        <is>
          <t>Aderenza</t>
        </is>
      </c>
      <c r="C10" s="10" t="inlineStr">
        <is>
          <t>Decelerazione della verifica di frenatura con ammortizzatori a corsa ridotta — La UNI EN 81-50:2020 non dà un numero: con ammortizzatori a corsa ridotta la decelerazione è la minima che porta cabina e contrappeso alla velocità di progetto degli ammortizzatori, mai sotto 0,5 m/s². Il software tiene 0,8 m/s², il valore della UNI EN 81-1:2008: l'ingegnere lo sostituisce con quello calcolato dai dati degli ammortizzatori.</t>
        </is>
      </c>
      <c r="D10" s="10" t="inlineStr">
        <is>
          <t>0,8 m/s²</t>
        </is>
      </c>
      <c r="E10" s="10" t="inlineStr">
        <is>
          <t>UNI EN 81-1:2008, M.2.1.2; UNI EN 81-50:2020, 5.11.2.2.2</t>
        </is>
      </c>
      <c r="F10" s="10" t="inlineStr">
        <is>
          <t>UNI EN 81-1:2008, testo della norma, letto il 2026-10-06, p. 167; UNI EN 81-50:2020, testo della norma, letto il 2026-10-06, p. 40</t>
        </is>
      </c>
      <c r="G10" s="10" t="inlineStr">
        <is>
          <t>scelta del software</t>
        </is>
      </c>
      <c r="H10" s="10" t="inlineStr">
        <is>
          <t>aderenza in frenatura, in discesa; aderenza in frenatura, in salita</t>
        </is>
      </c>
      <c r="I10" s="11" t="n"/>
      <c r="J10" s="11" t="n"/>
      <c r="K10" s="11" t="n"/>
      <c r="L10" s="11" t="n"/>
      <c r="M10" s="11" t="n"/>
      <c r="N10" s="11" t="n"/>
    </row>
    <row r="11" ht="43" customHeight="1">
      <c r="A11" s="10" t="n">
        <v>9</v>
      </c>
      <c r="B11" s="10" t="inlineStr">
        <is>
          <t>Aderenza</t>
        </is>
      </c>
      <c r="C11" s="10" t="inlineStr">
        <is>
          <t>Combinazioni della frenatura di emergenza</t>
        </is>
      </c>
      <c r="D11" s="10" t="inlineStr">
        <is>
          <t>cabina vuota e con portata × in discesa e in salita × in basso e in alto; conta la peggiore per verso</t>
        </is>
      </c>
      <c r="E11" s="10" t="inlineStr">
        <is>
          <t>UNI EN 81-50:2020, 5.11.2.2.2</t>
        </is>
      </c>
      <c r="F11" s="10" t="inlineStr">
        <is>
          <t>derivazione (copertura completa dei casi)</t>
        </is>
      </c>
      <c r="G11" s="10" t="inlineStr">
        <is>
          <t>scelta del software</t>
        </is>
      </c>
      <c r="H11" s="10" t="inlineStr">
        <is>
          <t>aderenza in frenatura, in discesa; aderenza in frenatura, in salita</t>
        </is>
      </c>
      <c r="I11" s="11" t="n"/>
      <c r="J11" s="11" t="n"/>
      <c r="K11" s="11" t="n"/>
      <c r="L11" s="11" t="n"/>
      <c r="M11" s="11" t="n"/>
      <c r="N11" s="11" t="n"/>
    </row>
    <row r="12" ht="121" customHeight="1">
      <c r="A12" s="10" t="n">
        <v>10</v>
      </c>
      <c r="B12" s="10" t="inlineStr">
        <is>
          <t>Aderenza</t>
        </is>
      </c>
      <c r="C12" s="10" t="inlineStr">
        <is>
          <t>Aderenza alla decelerazione reale del freno — La norma vuole ogni massa in moto con la sua accelerazione e una decelerazione di calcolo mai sotto 0,5 m/s²; non dice con quanti gruppi del freno. Se contarla come esito lo decide l'ingegnere: nell'esempio B del capitolo 7 l'utilizzo passa da 1,005 a 4,17.</t>
        </is>
      </c>
      <c r="D12" s="10" t="inlineStr">
        <is>
          <t>Seconda verifica con la decelerazione data dal freno (tutti i gruppi, mai sotto il minimo); oggi solo avviso</t>
        </is>
      </c>
      <c r="E12" s="10" t="inlineStr">
        <is>
          <t>UNI EN 81-50:2020, 5.11.2.2.2</t>
        </is>
      </c>
      <c r="F12" s="10" t="inlineStr">
        <is>
          <t>UNI EN 81-50:2020, testo della norma, letto il 2026-10-06, p. 40</t>
        </is>
      </c>
      <c r="G12" s="10" t="inlineStr">
        <is>
          <t>scelta del software</t>
        </is>
      </c>
      <c r="H12" s="10" t="inlineStr">
        <is>
          <t>aderenza alla decelerazione reale (avviso)</t>
        </is>
      </c>
      <c r="I12" s="11" t="n"/>
      <c r="J12" s="11" t="n"/>
      <c r="K12" s="11" t="n"/>
      <c r="L12" s="11" t="n"/>
      <c r="M12" s="11" t="n"/>
      <c r="N12" s="11" t="n"/>
    </row>
    <row r="13" ht="69" customHeight="1">
      <c r="A13" s="10" t="n">
        <v>11</v>
      </c>
      <c r="B13" s="10" t="inlineStr">
        <is>
          <t>Aderenza</t>
        </is>
      </c>
      <c r="C13" s="10" t="inlineStr">
        <is>
          <t>Soglia di attenzione sull'utilizzo dell'aderenza</t>
        </is>
      </c>
      <c r="D13" s="10" t="inlineStr">
        <is>
          <t>utilizzo &gt; 0,97 → «Attenzione»</t>
        </is>
      </c>
      <c r="E13" s="10" t="inlineStr">
        <is>
          <t>—</t>
        </is>
      </c>
      <c r="F13" s="10" t="inlineStr">
        <is>
          <t>scelta del software (margine per incertezza su masse e bilanciamento)</t>
        </is>
      </c>
      <c r="G13" s="10" t="inlineStr">
        <is>
          <t>scelta del software</t>
        </is>
      </c>
      <c r="H13" s="10" t="inlineStr">
        <is>
          <t>aderenza al caricamento; aderenza in frenatura, in discesa; aderenza in frenatura, in salita; aderenza alla decelerazione reale (avviso)</t>
        </is>
      </c>
      <c r="I13" s="11" t="n"/>
      <c r="J13" s="11" t="n"/>
      <c r="K13" s="11" t="n"/>
      <c r="L13" s="11" t="n"/>
      <c r="M13" s="11" t="n"/>
      <c r="N13" s="11" t="n"/>
    </row>
    <row r="14" ht="56" customHeight="1">
      <c r="A14" s="10" t="n">
        <v>12</v>
      </c>
      <c r="B14" s="10" t="inlineStr">
        <is>
          <t>Gole</t>
        </is>
      </c>
      <c r="C14" s="10" t="inlineStr">
        <is>
          <t>Fattore di gola, semicircolare con o senza sottosquadro</t>
        </is>
      </c>
      <c r="D14" s="10" t="inlineStr">
        <is>
          <t>f = μ·4·(cos(γ/2) − sin(β/2)) / (π − β − γ − sin β + sin γ); senza sottosquadro β = 0</t>
        </is>
      </c>
      <c r="E14" s="10" t="inlineStr">
        <is>
          <t>UNI EN 81-50:2020, 5.11.2.3.1.1</t>
        </is>
      </c>
      <c r="F14" s="10" t="inlineStr">
        <is>
          <t>UNI EN 81-50:2020, testo della norma, letto il 2026-10-06, pp. 40–41</t>
        </is>
      </c>
      <c r="G14" s="10" t="inlineStr">
        <is>
          <t>confermato</t>
        </is>
      </c>
      <c r="H14" s="10" t="inlineStr">
        <is>
          <t>aderenza al caricamento; aderenza in frenatura, in discesa; aderenza in frenatura, in salita; cabina bloccata</t>
        </is>
      </c>
      <c r="I14" s="11" t="n"/>
      <c r="J14" s="11" t="n"/>
      <c r="K14" s="11" t="n"/>
      <c r="L14" s="11" t="n"/>
      <c r="M14" s="11" t="n"/>
      <c r="N14" s="11" t="n"/>
    </row>
    <row r="15" ht="69" customHeight="1">
      <c r="A15" s="10" t="n">
        <v>13</v>
      </c>
      <c r="B15" s="10" t="inlineStr">
        <is>
          <t>Gole</t>
        </is>
      </c>
      <c r="C15" s="10" t="inlineStr">
        <is>
          <t>Fattore di gola a V — la norma dà f = μ / sin(γ/2) per il contrappeso bloccato; il software la usa anche per la cabina bloccata nella posizione più bassa (5.11.2.2.3)</t>
        </is>
      </c>
      <c r="D15" s="10" t="inlineStr">
        <is>
          <t>non temprata, al caricamento e in frenatura: f = μ·4·(1 − sin(β/2)) / (π − β − sin β); temprata, e ogni gola a V con il contrappeso o la cabina bloccati: f = μ / sin(γ/2)</t>
        </is>
      </c>
      <c r="E15" s="10" t="inlineStr">
        <is>
          <t>UNI EN 81-50:2020, 5.11.2.3.1.2</t>
        </is>
      </c>
      <c r="F15" s="10" t="inlineStr">
        <is>
          <t>UNI EN 81-50:2020, testo della norma, letto il 2026-10-06, p. 41</t>
        </is>
      </c>
      <c r="G15" s="10" t="inlineStr">
        <is>
          <t>confermato</t>
        </is>
      </c>
      <c r="H15" s="10" t="inlineStr">
        <is>
          <t>aderenza al caricamento; aderenza in frenatura, in discesa; aderenza in frenatura, in salita; cabina bloccata</t>
        </is>
      </c>
      <c r="I15" s="11" t="n"/>
      <c r="J15" s="11" t="n"/>
      <c r="K15" s="11" t="n"/>
      <c r="L15" s="11" t="n"/>
      <c r="M15" s="11" t="n"/>
      <c r="N15" s="11" t="n"/>
    </row>
    <row r="16" ht="56" customHeight="1">
      <c r="A16" s="10" t="n">
        <v>14</v>
      </c>
      <c r="B16" s="10" t="inlineStr">
        <is>
          <t>Gole</t>
        </is>
      </c>
      <c r="C16" s="10" t="inlineStr">
        <is>
          <t>Limite del sottosquadro — fino alla versione 1.1.0 del motore il limite era 106°, il valore raccomandato della UNI EN 81-1:2008 (M.2.2.1.1)</t>
        </is>
      </c>
      <c r="D16" s="10" t="inlineStr">
        <is>
          <t>β ≤ 105° (1,83 rad; oltre: «Non soddisfatta»)</t>
        </is>
      </c>
      <c r="E16" s="10" t="inlineStr">
        <is>
          <t>UNI EN 81-50:2020, 5.11.2.3.1.1 e 5.11.2.3.1.2</t>
        </is>
      </c>
      <c r="F16" s="10" t="inlineStr">
        <is>
          <t>UNI EN 81-50:2020, testo della norma, letto il 2026-10-06, pp. 40–41</t>
        </is>
      </c>
      <c r="G16" s="10" t="inlineStr">
        <is>
          <t>confermato</t>
        </is>
      </c>
      <c r="H16" s="10" t="inlineStr">
        <is>
          <t>geometria della gola</t>
        </is>
      </c>
      <c r="I16" s="11" t="n"/>
      <c r="J16" s="11" t="n"/>
      <c r="K16" s="11" t="n"/>
      <c r="L16" s="11" t="n"/>
      <c r="M16" s="11" t="n"/>
      <c r="N16" s="11" t="n"/>
    </row>
    <row r="17" ht="30" customHeight="1">
      <c r="A17" s="10" t="n">
        <v>15</v>
      </c>
      <c r="B17" s="10" t="inlineStr">
        <is>
          <t>Gole</t>
        </is>
      </c>
      <c r="C17" s="10" t="inlineStr">
        <is>
          <t>Sottosquadro raccomandato</t>
        </is>
      </c>
      <c r="D17" s="10" t="inlineStr">
        <is>
          <t>β ≤ 90° (oltre: «Attenzione»)</t>
        </is>
      </c>
      <c r="E17" s="10" t="inlineStr">
        <is>
          <t>—</t>
        </is>
      </c>
      <c r="F17" s="10" t="inlineStr">
        <is>
          <t>Montanari, documento tecnico del costruttore</t>
        </is>
      </c>
      <c r="G17" s="10" t="inlineStr">
        <is>
          <t>scelta del software</t>
        </is>
      </c>
      <c r="H17" s="10" t="inlineStr">
        <is>
          <t>geometria della gola</t>
        </is>
      </c>
      <c r="I17" s="11" t="n"/>
      <c r="J17" s="11" t="n"/>
      <c r="K17" s="11" t="n"/>
      <c r="L17" s="11" t="n"/>
      <c r="M17" s="11" t="n"/>
      <c r="N17" s="11" t="n"/>
    </row>
    <row r="18" ht="43" customHeight="1">
      <c r="A18" s="10" t="n">
        <v>16</v>
      </c>
      <c r="B18" s="10" t="inlineStr">
        <is>
          <t>Gole</t>
        </is>
      </c>
      <c r="C18" s="10" t="inlineStr">
        <is>
          <t>Angolo minimo della gola a V</t>
        </is>
      </c>
      <c r="D18" s="10" t="inlineStr">
        <is>
          <t>γ ≥ 35° (sotto: «Non soddisfatta»)</t>
        </is>
      </c>
      <c r="E18" s="10" t="inlineStr">
        <is>
          <t>UNI EN 81-50:2020, 5.11.2.3.1.2</t>
        </is>
      </c>
      <c r="F18" s="10" t="inlineStr">
        <is>
          <t>UNI EN 81-50:2020, testo della norma, letto il 2026-10-06, p. 41; Montanari consiglia 35–40°</t>
        </is>
      </c>
      <c r="G18" s="10" t="inlineStr">
        <is>
          <t>confermato</t>
        </is>
      </c>
      <c r="H18" s="10" t="inlineStr">
        <is>
          <t>geometria della gola</t>
        </is>
      </c>
      <c r="I18" s="11" t="n"/>
      <c r="J18" s="11" t="n"/>
      <c r="K18" s="11" t="n"/>
      <c r="L18" s="11" t="n"/>
      <c r="M18" s="11" t="n"/>
      <c r="N18" s="11" t="n"/>
    </row>
    <row r="19" ht="43" customHeight="1">
      <c r="A19" s="10" t="n">
        <v>17</v>
      </c>
      <c r="B19" s="10" t="inlineStr">
        <is>
          <t>Gole</t>
        </is>
      </c>
      <c r="C19" s="10" t="inlineStr">
        <is>
          <t>Angolo minimo della gola semicircolare</t>
        </is>
      </c>
      <c r="D19" s="10" t="inlineStr">
        <is>
          <t>γ ≥ 25° (0,44 rad; sotto: «Attenzione»: la norma lo raccomanda, non lo impone)</t>
        </is>
      </c>
      <c r="E19" s="10" t="inlineStr">
        <is>
          <t>UNI EN 81-50:2020, 5.11.2.3.1.1</t>
        </is>
      </c>
      <c r="F19" s="10" t="inlineStr">
        <is>
          <t>UNI EN 81-50:2020, testo della norma, letto il 2026-10-06, pp. 40–41</t>
        </is>
      </c>
      <c r="G19" s="10" t="inlineStr">
        <is>
          <t>confermato</t>
        </is>
      </c>
      <c r="H19" s="10" t="inlineStr">
        <is>
          <t>geometria della gola</t>
        </is>
      </c>
      <c r="I19" s="11" t="n"/>
      <c r="J19" s="11" t="n"/>
      <c r="K19" s="11" t="n"/>
      <c r="L19" s="11" t="n"/>
      <c r="M19" s="11" t="n"/>
      <c r="N19" s="11" t="n"/>
    </row>
    <row r="20" ht="43" customHeight="1">
      <c r="A20" s="10" t="n">
        <v>18</v>
      </c>
      <c r="B20" s="10" t="inlineStr">
        <is>
          <t>Funi</t>
        </is>
      </c>
      <c r="C20" s="10" t="inlineStr">
        <is>
          <t>Rapporto D/d della puleggia di frizione</t>
        </is>
      </c>
      <c r="D20" s="10" t="inlineStr">
        <is>
          <t>D/d ≥ 40</t>
        </is>
      </c>
      <c r="E20" s="10" t="inlineStr">
        <is>
          <t>UNI EN 81-20:2020, 5.5.2.1</t>
        </is>
      </c>
      <c r="F20" s="10" t="inlineStr">
        <is>
          <t>UNI EN 81-20:2020, testo della norma, letto il 2026-10-06, p. 74</t>
        </is>
      </c>
      <c r="G20" s="10" t="inlineStr">
        <is>
          <t>confermato</t>
        </is>
      </c>
      <c r="H20" s="10" t="inlineStr">
        <is>
          <t>D/d della puleggia</t>
        </is>
      </c>
      <c r="I20" s="11" t="n"/>
      <c r="J20" s="11" t="n"/>
      <c r="K20" s="11" t="n"/>
      <c r="L20" s="11" t="n"/>
      <c r="M20" s="11" t="n"/>
      <c r="N20" s="11" t="n"/>
    </row>
    <row r="21" ht="108" customHeight="1">
      <c r="A21" s="10" t="n">
        <v>19</v>
      </c>
      <c r="B21" s="10" t="inlineStr">
        <is>
          <t>Funi</t>
        </is>
      </c>
      <c r="C21" s="10" t="inlineStr">
        <is>
          <t>Rapporto D/d delle pulegge di rinvio — Il limite vale per ogni puleggia (5.5.2.1), mentre Dp è uno solo e nel calcolo di N_equiv(p) è la media delle pulegge di rinvio (UNI EN 81-50:2020, 5.12.2.3): con pulegge di diametro diverso si controlla la più piccola.</t>
        </is>
      </c>
      <c r="D21" s="10" t="inlineStr">
        <is>
          <t>Dp/d ≥ 40</t>
        </is>
      </c>
      <c r="E21" s="10" t="inlineStr">
        <is>
          <t>UNI EN 81-20:2020, 5.5.2.1; UNI 10411-1:2024, 14.3</t>
        </is>
      </c>
      <c r="F21" s="10" t="inlineStr">
        <is>
          <t>UNI EN 81-20:2020, testo della norma, letto il 2026-10-06, p. 74; UNI 10411-1:2024, testo della norma, letto il 2026-10-06, p. 14</t>
        </is>
      </c>
      <c r="G21" s="10" t="inlineStr">
        <is>
          <t>confermato</t>
        </is>
      </c>
      <c r="H21" s="10" t="inlineStr">
        <is>
          <t>Dp/d dei rinvii</t>
        </is>
      </c>
      <c r="I21" s="11" t="n"/>
      <c r="J21" s="11" t="n"/>
      <c r="K21" s="11" t="n"/>
      <c r="L21" s="11" t="n"/>
      <c r="M21" s="11" t="n"/>
      <c r="N21" s="11" t="n"/>
    </row>
    <row r="22" ht="95" customHeight="1">
      <c r="A22" s="10" t="n">
        <v>20</v>
      </c>
      <c r="B22" s="10" t="inlineStr">
        <is>
          <t>Funi</t>
        </is>
      </c>
      <c r="C22" s="10" t="inlineStr">
        <is>
          <t>Numero minimo di funi — Con 2 sole funi serve anche il dispositivo contro l'allungamento anomalo (voce funi.due): il software lo ricorda, non lo verifica.</t>
        </is>
      </c>
      <c r="D22" s="10" t="inlineStr">
        <is>
          <t>almeno 2 funi indipendenti, ciascuna con il suo attacco</t>
        </is>
      </c>
      <c r="E22" s="10" t="inlineStr">
        <is>
          <t>DPR 162/1999, All. I 1.3 (Direttiva 2014/33/UE, All. I); UNI EN 81-20:2020, 5.5</t>
        </is>
      </c>
      <c r="F22" s="10" t="inlineStr">
        <is>
          <t>DPR 162/1999 consolidato (Normattiva), letto il 2026-10-02, e Direttiva 2014/33/UE nel testo ufficiale italiano (EUR-Lex, fornito dal cliente), letto il 2026-10-04 (ricerca, cap. 16): All. I 1.3</t>
        </is>
      </c>
      <c r="G22" s="10" t="inlineStr">
        <is>
          <t>confermato</t>
        </is>
      </c>
      <c r="H22" s="10" t="inlineStr">
        <is>
          <t>numero e diametro delle funi</t>
        </is>
      </c>
      <c r="I22" s="11" t="n"/>
      <c r="J22" s="11" t="n"/>
      <c r="K22" s="11" t="n"/>
      <c r="L22" s="11" t="n"/>
      <c r="M22" s="11" t="n"/>
      <c r="N22" s="11" t="n"/>
    </row>
    <row r="23" ht="69" customHeight="1">
      <c r="A23" s="10" t="n">
        <v>21</v>
      </c>
      <c r="B23" s="10" t="inlineStr">
        <is>
          <t>Funi</t>
        </is>
      </c>
      <c r="C23" s="10" t="inlineStr">
        <is>
          <t>Cabina appesa a due funi</t>
        </is>
      </c>
      <c r="D23" s="10" t="inlineStr">
        <is>
          <t>con 2 funi un dispositivo elettrico di sicurezza (5.11.2) ferma la macchina se una fune si allunga in modo anomalo rispetto all'altra (informazione)</t>
        </is>
      </c>
      <c r="E23" s="10" t="inlineStr">
        <is>
          <t>UNI EN 81-20:2020, 5.5.5.3 a); UNI EN 81-1:2008, 9.5.3</t>
        </is>
      </c>
      <c r="F23" s="10" t="inlineStr">
        <is>
          <t>UNI EN 81-20:2020, testo della norma, letto il 2026-10-06, p. 76; UNI EN 81-1:2008, testo della norma, letto il 2026-10-06, p. 56</t>
        </is>
      </c>
      <c r="G23" s="10" t="inlineStr">
        <is>
          <t>confermato</t>
        </is>
      </c>
      <c r="H23" s="10" t="inlineStr">
        <is>
          <t>cabina appesa a due funi</t>
        </is>
      </c>
      <c r="I23" s="11" t="n"/>
      <c r="J23" s="11" t="n"/>
      <c r="K23" s="11" t="n"/>
      <c r="L23" s="11" t="n"/>
      <c r="M23" s="11" t="n"/>
      <c r="N23" s="11" t="n"/>
    </row>
    <row r="24" ht="82" customHeight="1">
      <c r="A24" s="10" t="n">
        <v>22</v>
      </c>
      <c r="B24" s="10" t="inlineStr">
        <is>
          <t>Funi</t>
        </is>
      </c>
      <c r="C24" s="10" t="inlineStr">
        <is>
          <t>Funi trattenute nelle gole</t>
        </is>
      </c>
      <c r="D24" s="10" t="inlineStr">
        <is>
          <t>un fermo dove le funi entrano ed escono dalla puleggia e almeno uno intermedio se più di 60° dell'arco di avvolgimento sono sotto l'orizzontale per l'asse e l'avvolgimento supera 120°: con la macchina in basso le funi avvolgono la puleggia da sotto (informazione)</t>
        </is>
      </c>
      <c r="E24" s="10" t="inlineStr">
        <is>
          <t>UNI EN 81-20:2020, 5.5.7.2</t>
        </is>
      </c>
      <c r="F24" s="10" t="inlineStr">
        <is>
          <t>UNI EN 81-20:2020, testo della norma, letto il 2026-10-06, pp. 77–78</t>
        </is>
      </c>
      <c r="G24" s="10" t="inlineStr">
        <is>
          <t>confermato</t>
        </is>
      </c>
      <c r="H24" s="10" t="inlineStr">
        <is>
          <t>funi trattenute nelle gole</t>
        </is>
      </c>
      <c r="I24" s="11" t="n"/>
      <c r="J24" s="11" t="n"/>
      <c r="K24" s="11" t="n"/>
      <c r="L24" s="11" t="n"/>
      <c r="M24" s="11" t="n"/>
      <c r="N24" s="11" t="n"/>
    </row>
    <row r="25" ht="43" customHeight="1">
      <c r="A25" s="10" t="n">
        <v>23</v>
      </c>
      <c r="B25" s="10" t="inlineStr">
        <is>
          <t>Funi</t>
        </is>
      </c>
      <c r="C25" s="10" t="inlineStr">
        <is>
          <t>Diametro nominale minimo</t>
        </is>
      </c>
      <c r="D25" s="10" t="inlineStr">
        <is>
          <t>d ≥ 8 mm</t>
        </is>
      </c>
      <c r="E25" s="10" t="inlineStr">
        <is>
          <t>UNI EN 81-20:2020, 5.5.1.2 a)</t>
        </is>
      </c>
      <c r="F25" s="10" t="inlineStr">
        <is>
          <t>UNI EN 81-20:2020, testo della norma, letto il 2026-10-06, p. 74</t>
        </is>
      </c>
      <c r="G25" s="10" t="inlineStr">
        <is>
          <t>confermato</t>
        </is>
      </c>
      <c r="H25" s="10" t="inlineStr">
        <is>
          <t>numero e diametro delle funi</t>
        </is>
      </c>
      <c r="I25" s="11" t="n"/>
      <c r="J25" s="11" t="n"/>
      <c r="K25" s="11" t="n"/>
      <c r="L25" s="11" t="n"/>
      <c r="M25" s="11" t="n"/>
      <c r="N25" s="11" t="n"/>
    </row>
    <row r="26" ht="108" customHeight="1">
      <c r="A26" s="10" t="n">
        <v>24</v>
      </c>
      <c r="B26" s="10" t="inlineStr">
        <is>
          <t>Funi</t>
        </is>
      </c>
      <c r="C26" s="10" t="inlineStr">
        <is>
          <t>Coefficiente di sicurezza minimo — Con la trazione vale anche il valore calcolato secondo la UNI EN 81-50:2020, 5.12 (il maggiore dei due). Con la UNI 10411-1:2024 (14.1) 12 e 16 possono sostituire quel calcolo solo con la verifica della pressione nelle gole (appendice D.2).</t>
        </is>
      </c>
      <c r="D26" s="10" t="inlineStr">
        <is>
          <t>12 con tre o più funi; 16 con due funi</t>
        </is>
      </c>
      <c r="E26" s="10" t="inlineStr">
        <is>
          <t>UNI EN 81-20:2020, 5.5.2.2 a)–b); UNI 10411-1:2024, 14.1 c)–d)</t>
        </is>
      </c>
      <c r="F26" s="10" t="inlineStr">
        <is>
          <t>UNI EN 81-20:2020, testo della norma, letto il 2026-10-06, pp. 74–75; UNI 10411-1:2024, testo della norma, letto il 2026-10-06, p. 13</t>
        </is>
      </c>
      <c r="G26" s="10" t="inlineStr">
        <is>
          <t>confermato</t>
        </is>
      </c>
      <c r="H26" s="10" t="inlineStr">
        <is>
          <t>coefficiente di sicurezza delle funi</t>
        </is>
      </c>
      <c r="I26" s="11" t="n"/>
      <c r="J26" s="11" t="n"/>
      <c r="K26" s="11" t="n"/>
      <c r="L26" s="11" t="n"/>
      <c r="M26" s="11" t="n"/>
      <c r="N26" s="11" t="n"/>
    </row>
    <row r="27" ht="69" customHeight="1">
      <c r="A27" s="10" t="n">
        <v>25</v>
      </c>
      <c r="B27" s="10" t="inlineStr">
        <is>
          <t>Funi</t>
        </is>
      </c>
      <c r="C27" s="10" t="inlineStr">
        <is>
          <t>Coefficiente di sicurezza richiesto S_f</t>
        </is>
      </c>
      <c r="D27" s="10" t="inlineStr">
        <is>
          <t>S_f = 10^[2,6834 − log10(695,85·10^6·N_equiv/(D/d)^8,567) / log10(77,09·(D/d)^−2,894)]</t>
        </is>
      </c>
      <c r="E27" s="10" t="inlineStr">
        <is>
          <t>UNI EN 81-50:2020, 5.12.3 (ex UNI EN 81-1:2008, appendice N)</t>
        </is>
      </c>
      <c r="F27" s="10" t="inlineStr">
        <is>
          <t>UNI EN 81-50:2020, testo della norma, letto il 2026-10-06, p. 46; riprodotto anche su due casi pubblicati (liftdesign.it S_f 16,69; Mellor)</t>
        </is>
      </c>
      <c r="G27" s="10" t="inlineStr">
        <is>
          <t>confermato</t>
        </is>
      </c>
      <c r="H27" s="10" t="inlineStr">
        <is>
          <t>coefficiente di sicurezza delle funi</t>
        </is>
      </c>
      <c r="I27" s="11" t="n"/>
      <c r="J27" s="11" t="n"/>
      <c r="K27" s="11" t="n"/>
      <c r="L27" s="11" t="n"/>
      <c r="M27" s="11" t="n"/>
      <c r="N27" s="11" t="n"/>
    </row>
    <row r="28" ht="108" customHeight="1">
      <c r="A28" s="10" t="n">
        <v>26</v>
      </c>
      <c r="B28" s="10" t="inlineStr">
        <is>
          <t>Funi</t>
        </is>
      </c>
      <c r="C28" s="10" t="inlineStr">
        <is>
          <t>N_equiv delle pulegge — D: diametro della puleggia di frizione; Dp: media delle altre pulegge. La flessione è inversa solo tra due pulegge consecutive ad assi fissi, con i punti di contatto a meno di 200·d e i piani di flessione ruotati di oltre 120°: la classifica il progettista.</t>
        </is>
      </c>
      <c r="D28" s="10" t="inlineStr">
        <is>
          <t>N_equiv(p) = K_p·(N_ps + 4·N_pr), K_p = (D/Dp)^4</t>
        </is>
      </c>
      <c r="E28" s="10" t="inlineStr">
        <is>
          <t>UNI EN 81-50:2020, 5.12.2.3</t>
        </is>
      </c>
      <c r="F28" s="10" t="inlineStr">
        <is>
          <t>UNI EN 81-50:2020, testo della norma, letto il 2026-10-06, p. 46</t>
        </is>
      </c>
      <c r="G28" s="10" t="inlineStr">
        <is>
          <t>confermato</t>
        </is>
      </c>
      <c r="H28" s="10" t="inlineStr">
        <is>
          <t>coefficiente di sicurezza delle funi</t>
        </is>
      </c>
      <c r="I28" s="11" t="n"/>
      <c r="J28" s="11" t="n"/>
      <c r="K28" s="11" t="n"/>
      <c r="L28" s="11" t="n"/>
      <c r="M28" s="11" t="n"/>
      <c r="N28" s="11" t="n"/>
    </row>
    <row r="29" ht="69" customHeight="1">
      <c r="A29" s="10" t="n">
        <v>27</v>
      </c>
      <c r="B29" s="10" t="inlineStr">
        <is>
          <t>Funi</t>
        </is>
      </c>
      <c r="C29" s="10" t="inlineStr">
        <is>
          <t>N_equiv(t) della gola</t>
        </is>
      </c>
      <c r="D29" s="10" t="inlineStr">
        <is>
          <t>U senza sottosquadro 1 · U con sottosquadro: β 75° 2,5; 80° 3,0; 85° 3,8; 90° 5,0; 95° 6,7; 100° 10,0; 105° 15,2 · V: γ 35° 18,5; 36° 16,0; 38° 12,0; 40° 10,0; 42° 8,0; 45° 6,5; 50° 5,0</t>
        </is>
      </c>
      <c r="E29" s="10" t="inlineStr">
        <is>
          <t>UNI EN 81-50:2020, 5.12.2.2, prospetto 2</t>
        </is>
      </c>
      <c r="F29" s="10" t="inlineStr">
        <is>
          <t>UNI EN 81-50:2020, testo della norma, letto il 2026-10-06, p. 46 (i valori della gola a V differiscono da quelli della UNI EN 81-1:2008, prospetto N.1)</t>
        </is>
      </c>
      <c r="G29" s="10" t="inlineStr">
        <is>
          <t>confermato</t>
        </is>
      </c>
      <c r="H29" s="10" t="inlineStr">
        <is>
          <t>coefficiente di sicurezza delle funi</t>
        </is>
      </c>
      <c r="I29" s="11" t="n"/>
      <c r="J29" s="11" t="n"/>
      <c r="K29" s="11" t="n"/>
      <c r="L29" s="11" t="n"/>
      <c r="M29" s="11" t="n"/>
      <c r="N29" s="11" t="n"/>
    </row>
    <row r="30" ht="95" customHeight="1">
      <c r="A30" s="10" t="n">
        <v>28</v>
      </c>
      <c r="B30" s="10" t="inlineStr">
        <is>
          <t>Funi</t>
        </is>
      </c>
      <c r="C30" s="10" t="inlineStr">
        <is>
          <t>N_equiv(t) della gola a V con sottosquadro — Scelta dal lato della sicurezza; la UNI EN 81-1:2008 (prospetto N.1) intitola la riga con sottosquadro «U/V»: con una macchina secondo quella norma l'ingegnere può prendere il valore di β.</t>
        </is>
      </c>
      <c r="D30" s="10" t="inlineStr">
        <is>
          <t>il maggiore tra il valore per β (riga a U con sottosquadro) e quello per γ (riga a V)</t>
        </is>
      </c>
      <c r="E30" s="10" t="inlineStr">
        <is>
          <t>UNI EN 81-50:2020, 5.12.2.2, prospetto 2</t>
        </is>
      </c>
      <c r="F30" s="10" t="inlineStr">
        <is>
          <t>UNI EN 81-50:2020, testo della norma, letto il 2026-10-06, p. 46 (il prospetto non ha una riga per questa gola)</t>
        </is>
      </c>
      <c r="G30" s="10" t="inlineStr">
        <is>
          <t>scelta del software</t>
        </is>
      </c>
      <c r="H30" s="10" t="inlineStr">
        <is>
          <t>coefficiente di sicurezza delle funi</t>
        </is>
      </c>
      <c r="I30" s="11" t="n"/>
      <c r="J30" s="11" t="n"/>
      <c r="K30" s="11" t="n"/>
      <c r="L30" s="11" t="n"/>
      <c r="M30" s="11" t="n"/>
      <c r="N30" s="11" t="n"/>
    </row>
    <row r="31" ht="43" customHeight="1">
      <c r="A31" s="10" t="n">
        <v>29</v>
      </c>
      <c r="B31" s="10" t="inlineStr">
        <is>
          <t>Funi</t>
        </is>
      </c>
      <c r="C31" s="10" t="inlineStr">
        <is>
          <t>Angoli tra i punti della tabella di N_equiv(t)</t>
        </is>
      </c>
      <c r="D31" s="10" t="inlineStr">
        <is>
          <t>interpolazione lineare tra i due punti vicini</t>
        </is>
      </c>
      <c r="E31" s="10" t="inlineStr">
        <is>
          <t>UNI EN 81-50:2020, 5.12.2.2</t>
        </is>
      </c>
      <c r="F31" s="10" t="inlineStr">
        <is>
          <t>UNI EN 81-50:2020, testo della norma, letto il 2026-10-06, p. 46</t>
        </is>
      </c>
      <c r="G31" s="10" t="inlineStr">
        <is>
          <t>confermato</t>
        </is>
      </c>
      <c r="H31" s="10" t="inlineStr">
        <is>
          <t>coefficiente di sicurezza delle funi</t>
        </is>
      </c>
      <c r="I31" s="11" t="n"/>
      <c r="J31" s="11" t="n"/>
      <c r="K31" s="11" t="n"/>
      <c r="L31" s="11" t="n"/>
      <c r="M31" s="11" t="n"/>
      <c r="N31" s="11" t="n"/>
    </row>
    <row r="32" ht="82" customHeight="1">
      <c r="A32" s="10" t="n">
        <v>30</v>
      </c>
      <c r="B32" s="10" t="inlineStr">
        <is>
          <t>Funi</t>
        </is>
      </c>
      <c r="C32" s="10" t="inlineStr">
        <is>
          <t>Angoli fuori dalla tabella di N_equiv(t)</t>
        </is>
      </c>
      <c r="D32" s="10" t="inlineStr">
        <is>
          <t>U: sotto 75° il valore di 75°, oltre 105° estrapolazione dall'ultimo tratto, segnalata · V: oltre 50° il valore di 50°</t>
        </is>
      </c>
      <c r="E32" s="10" t="inlineStr">
        <is>
          <t>UNI EN 81-50:2020, 5.12.2.2</t>
        </is>
      </c>
      <c r="F32" s="10" t="inlineStr">
        <is>
          <t>scelta prudente del software (la tabella si ferma a quegli angoli; N_equiv cresce con β e cala con γ, quindi il valore dell'estremo sta dal lato della sicurezza)</t>
        </is>
      </c>
      <c r="G32" s="10" t="inlineStr">
        <is>
          <t>scelta del software</t>
        </is>
      </c>
      <c r="H32" s="10" t="inlineStr">
        <is>
          <t>coefficiente di sicurezza delle funi</t>
        </is>
      </c>
      <c r="I32" s="11" t="n"/>
      <c r="J32" s="11" t="n"/>
      <c r="K32" s="11" t="n"/>
      <c r="L32" s="11" t="n"/>
      <c r="M32" s="11" t="n"/>
      <c r="N32" s="11" t="n"/>
    </row>
    <row r="33" ht="56" customHeight="1">
      <c r="A33" s="10" t="n">
        <v>31</v>
      </c>
      <c r="B33" s="10" t="inlineStr">
        <is>
          <t>Funi</t>
        </is>
      </c>
      <c r="C33" s="10" t="inlineStr">
        <is>
          <t>Tiro massimo per fune — Con la macchina in basso il tiro sul primo tratto verso la testata è una derivazione del software.</t>
        </is>
      </c>
      <c r="D33" s="10" t="inlineStr">
        <is>
          <t>cabina con portata ferma al piano più basso; con la macchina in basso sul primo tratto verso la testata</t>
        </is>
      </c>
      <c r="E33" s="10" t="inlineStr">
        <is>
          <t>UNI EN 81-20:2020, 5.5.2.2 (definizione); UNI EN 81-50:2020, 5.12.1</t>
        </is>
      </c>
      <c r="F33" s="10" t="inlineStr">
        <is>
          <t>UNI EN 81-20:2020, testo della norma, letto il 2026-10-06, pp. 74–75</t>
        </is>
      </c>
      <c r="G33" s="10" t="inlineStr">
        <is>
          <t>confermato</t>
        </is>
      </c>
      <c r="H33" s="10" t="inlineStr">
        <is>
          <t>coefficiente di sicurezza delle funi</t>
        </is>
      </c>
      <c r="I33" s="11" t="n"/>
      <c r="J33" s="11" t="n"/>
      <c r="K33" s="11" t="n"/>
      <c r="L33" s="11" t="n"/>
      <c r="M33" s="11" t="n"/>
      <c r="N33" s="11" t="n"/>
    </row>
    <row r="34" ht="43" customHeight="1">
      <c r="A34" s="10" t="n">
        <v>32</v>
      </c>
      <c r="B34" s="10" t="inlineStr">
        <is>
          <t>Funi</t>
        </is>
      </c>
      <c r="C34" s="10" t="inlineStr">
        <is>
          <t>Stima di carico di rottura e massa delle funi</t>
        </is>
      </c>
      <c r="D34" s="10" t="inlineStr">
        <is>
          <t>8×19 Seale anima tessile 1570 N/mm²: 8 mm = 30,4 kN e 0,215 kg/m, poi in proporzione a d²</t>
        </is>
      </c>
      <c r="E34" s="10" t="inlineStr">
        <is>
          <t>—</t>
        </is>
      </c>
      <c r="F34" s="10" t="inlineStr">
        <is>
          <t>tabella Pfeifer 8×19S NFC; usata solo con il pulsante di stima e nella proposta libera</t>
        </is>
      </c>
      <c r="G34" s="10" t="inlineStr">
        <is>
          <t>stima</t>
        </is>
      </c>
      <c r="H34" s="10" t="inlineStr">
        <is>
          <t>—</t>
        </is>
      </c>
      <c r="I34" s="11" t="n"/>
      <c r="J34" s="11" t="n"/>
      <c r="K34" s="11" t="n"/>
      <c r="L34" s="11" t="n"/>
      <c r="M34" s="11" t="n"/>
      <c r="N34" s="11" t="n"/>
    </row>
    <row r="35" ht="69" customHeight="1">
      <c r="A35" s="10" t="n">
        <v>33</v>
      </c>
      <c r="B35" s="10" t="inlineStr">
        <is>
          <t>Freno</t>
        </is>
      </c>
      <c r="C35" s="10" t="inlineStr">
        <is>
          <t>Gruppi meccanici del freno</t>
        </is>
      </c>
      <c r="D35" s="10" t="inlineStr">
        <is>
          <t>almeno 2</t>
        </is>
      </c>
      <c r="E35" s="10" t="inlineStr">
        <is>
          <t>UNI EN 81-20:2020, 5.9.2.2.2.1; UNI 10411-1:2024, 14.1 a)</t>
        </is>
      </c>
      <c r="F35" s="10" t="inlineStr">
        <is>
          <t>UNI EN 81-20:2020, testo della norma, letto il 2026-10-06, p. 100; UNI 10411-1:2024, testo della norma, letto il 2026-10-06, p. 13</t>
        </is>
      </c>
      <c r="G35" s="10" t="inlineStr">
        <is>
          <t>confermato</t>
        </is>
      </c>
      <c r="H35" s="10" t="inlineStr">
        <is>
          <t>gruppi del freno</t>
        </is>
      </c>
      <c r="I35" s="11" t="n"/>
      <c r="J35" s="11" t="n"/>
      <c r="K35" s="11" t="n"/>
      <c r="L35" s="11" t="n"/>
      <c r="M35" s="11" t="n"/>
      <c r="N35" s="11" t="n"/>
    </row>
    <row r="36" ht="43" customHeight="1">
      <c r="A36" s="10" t="n">
        <v>34</v>
      </c>
      <c r="B36" s="10" t="inlineStr">
        <is>
          <t>Freno</t>
        </is>
      </c>
      <c r="C36" s="10" t="inlineStr">
        <is>
          <t>Freno, tutti i gruppi</t>
        </is>
      </c>
      <c r="D36" s="10" t="inlineStr">
        <is>
          <t>arresta la cabina in discesa a velocità nominale con 1,25·Q</t>
        </is>
      </c>
      <c r="E36" s="10" t="inlineStr">
        <is>
          <t>UNI EN 81-20:2020, 5.9.2.2.2.1</t>
        </is>
      </c>
      <c r="F36" s="10" t="inlineStr">
        <is>
          <t>UNI EN 81-20:2020, testo della norma, letto il 2026-10-06, p. 100</t>
        </is>
      </c>
      <c r="G36" s="10" t="inlineStr">
        <is>
          <t>confermato</t>
        </is>
      </c>
      <c r="H36" s="10" t="inlineStr">
        <is>
          <t>freno, tutti i gruppi</t>
        </is>
      </c>
      <c r="I36" s="11" t="n"/>
      <c r="J36" s="11" t="n"/>
      <c r="K36" s="11" t="n"/>
      <c r="L36" s="11" t="n"/>
      <c r="M36" s="11" t="n"/>
      <c r="N36" s="11" t="n"/>
    </row>
    <row r="37" ht="95" customHeight="1">
      <c r="A37" s="10" t="n">
        <v>35</v>
      </c>
      <c r="B37" s="10" t="inlineStr">
        <is>
          <t>Freno</t>
        </is>
      </c>
      <c r="C37" s="10" t="inlineStr">
        <is>
          <t>Freno, un solo gruppo — La UNI 10411-1:2024 (11.1.4) e la UNI EN 81-1:2008 (12.4.2.1) chiedono a un solo gruppo di rallentare la cabina carica in discesa; il software applica la richiesta più completa della UNI EN 81-20.</t>
        </is>
      </c>
      <c r="D37" s="10" t="inlineStr">
        <is>
          <t>rallenta, arresta e tiene la cabina con portata in discesa e la cabina vuota in salita</t>
        </is>
      </c>
      <c r="E37" s="10" t="inlineStr">
        <is>
          <t>UNI EN 81-20:2020, 5.9.2.2.2.1; UNI 10411-1:2024, 14.1 a)</t>
        </is>
      </c>
      <c r="F37" s="10" t="inlineStr">
        <is>
          <t>UNI EN 81-20:2020, testo della norma, letto il 2026-10-06, p. 100; UNI 10411-1:2024, testo della norma, letto il 2026-10-06, p. 13</t>
        </is>
      </c>
      <c r="G37" s="10" t="inlineStr">
        <is>
          <t>confermato</t>
        </is>
      </c>
      <c r="H37" s="10" t="inlineStr">
        <is>
          <t>freno, un gruppo in discesa; freno, un gruppo a vuoto in salita</t>
        </is>
      </c>
      <c r="I37" s="11" t="n"/>
      <c r="J37" s="11" t="n"/>
      <c r="K37" s="11" t="n"/>
      <c r="L37" s="11" t="n"/>
      <c r="M37" s="11" t="n"/>
      <c r="N37" s="11" t="n"/>
    </row>
    <row r="38" ht="43" customHeight="1">
      <c r="A38" s="10" t="n">
        <v>36</v>
      </c>
      <c r="B38" s="10" t="inlineStr">
        <is>
          <t>Freno</t>
        </is>
      </c>
      <c r="C38" s="10" t="inlineStr">
        <is>
          <t>Attrito del riduttore nel fabbisogno del freno</t>
        </is>
      </c>
      <c r="D38" s="10" t="inlineStr">
        <is>
          <t>non conteggiato (η_i = 1): a favore di sicurezza</t>
        </is>
      </c>
      <c r="E38" s="10" t="inlineStr">
        <is>
          <t>—</t>
        </is>
      </c>
      <c r="F38" s="10" t="inlineStr">
        <is>
          <t>scelta prudente del software</t>
        </is>
      </c>
      <c r="G38" s="10" t="inlineStr">
        <is>
          <t>scelta del software</t>
        </is>
      </c>
      <c r="H38" s="10" t="inlineStr">
        <is>
          <t>freno, tutti i gruppi; freno, un gruppo in discesa; freno, un gruppo a vuoto in salita</t>
        </is>
      </c>
      <c r="I38" s="11" t="n"/>
      <c r="J38" s="11" t="n"/>
      <c r="K38" s="11" t="n"/>
      <c r="L38" s="11" t="n"/>
      <c r="M38" s="11" t="n"/>
      <c r="N38" s="11" t="n"/>
    </row>
    <row r="39" ht="108" customHeight="1">
      <c r="A39" s="10" t="n">
        <v>37</v>
      </c>
      <c r="B39" s="10" t="inlineStr">
        <is>
          <t>Freno</t>
        </is>
      </c>
      <c r="C39" s="10" t="inlineStr">
        <is>
          <t>Decelerazione massima del freno — La norma non dà un numero per il freno: ne confronta la decelerazione media con quella del paracadute e dell'urto sugli ammortizzatori, che hanno 1 gn come limite. Il confronto vero è con i dati dei componenti montati.</t>
        </is>
      </c>
      <c r="D39" s="10" t="inlineStr">
        <is>
          <t>≤ 1 g (oltre: «Attenzione»), da confrontare con paracadute e ammortizzatori</t>
        </is>
      </c>
      <c r="E39" s="10" t="inlineStr">
        <is>
          <t>UNI EN 81-20:2020, 5.9.2.2.2.1 (non oltre il paracadute o l'urto sugli ammortizzatori); 1 gn in 5.6.2.1.3 e 5.8.2; con il freno come organo d'arresto, 1 gn anche in 5.6.6.3 (ACOP) e 5.6.7.6 (UCM)</t>
        </is>
      </c>
      <c r="F39" s="10" t="inlineStr">
        <is>
          <t>UNI EN 81-20:2020, testo della norma, letto il 2026-10-06, pp. 81, 98–100</t>
        </is>
      </c>
      <c r="G39" s="10" t="inlineStr">
        <is>
          <t>derivazione</t>
        </is>
      </c>
      <c r="H39" s="10" t="inlineStr">
        <is>
          <t>decelerazione massima del freno</t>
        </is>
      </c>
      <c r="I39" s="11" t="n"/>
      <c r="J39" s="11" t="n"/>
      <c r="K39" s="11" t="n"/>
      <c r="L39" s="11" t="n"/>
      <c r="M39" s="11" t="n"/>
      <c r="N39" s="11" t="n"/>
    </row>
    <row r="40" ht="56" customHeight="1">
      <c r="A40" s="10" t="n">
        <v>38</v>
      </c>
      <c r="B40" s="10" t="inlineStr">
        <is>
          <t>Riduttore e motore</t>
        </is>
      </c>
      <c r="C40" s="10" t="inlineStr">
        <is>
          <t>Rendimento inverso del riduttore se non dato — Da sostituire con il valore del costruttore: la decelerazione reale del freno ne dipende molto.</t>
        </is>
      </c>
      <c r="D40" s="10" t="inlineStr">
        <is>
          <t>η_i ≈ 2 − 1/η_d (0 = irreversibile)</t>
        </is>
      </c>
      <c r="E40" s="10" t="inlineStr">
        <is>
          <t>—</t>
        </is>
      </c>
      <c r="F40" s="10" t="inlineStr">
        <is>
          <t>approssimazione della teoria della vite senza fine</t>
        </is>
      </c>
      <c r="G40" s="10" t="inlineStr">
        <is>
          <t>stima</t>
        </is>
      </c>
      <c r="H40" s="10" t="inlineStr">
        <is>
          <t>aderenza alla decelerazione reale (avviso); decelerazione massima del freno</t>
        </is>
      </c>
      <c r="I40" s="11" t="n"/>
      <c r="J40" s="11" t="n"/>
      <c r="K40" s="11" t="n"/>
      <c r="L40" s="11" t="n"/>
      <c r="M40" s="11" t="n"/>
      <c r="N40" s="11" t="n"/>
    </row>
    <row r="41" ht="43" customHeight="1">
      <c r="A41" s="10" t="n">
        <v>39</v>
      </c>
      <c r="B41" s="10" t="inlineStr">
        <is>
          <t>Riduttore e motore</t>
        </is>
      </c>
      <c r="C41" s="10" t="inlineStr">
        <is>
          <t>Coppia di accelerazione</t>
        </is>
      </c>
      <c r="D41" s="10" t="inlineStr">
        <is>
          <t>≤ 2 volte la coppia nominale (oltre: «Attenzione»; nella proposta: criterio di scelta del motore)</t>
        </is>
      </c>
      <c r="E41" s="10" t="inlineStr">
        <is>
          <t>—</t>
        </is>
      </c>
      <c r="F41" s="10" t="inlineStr">
        <is>
          <t>scelta del software; il limite vero è quello di motore e inverter</t>
        </is>
      </c>
      <c r="G41" s="10" t="inlineStr">
        <is>
          <t>scelta del software</t>
        </is>
      </c>
      <c r="H41" s="10" t="inlineStr">
        <is>
          <t>coppia di accelerazione</t>
        </is>
      </c>
      <c r="I41" s="11" t="n"/>
      <c r="J41" s="11" t="n"/>
      <c r="K41" s="11" t="n"/>
      <c r="L41" s="11" t="n"/>
      <c r="M41" s="11" t="n"/>
      <c r="N41" s="11" t="n"/>
    </row>
    <row r="42" ht="30" customHeight="1">
      <c r="A42" s="10" t="n">
        <v>40</v>
      </c>
      <c r="B42" s="10" t="inlineStr">
        <is>
          <t>Riduttore e motore</t>
        </is>
      </c>
      <c r="C42" s="10" t="inlineStr">
        <is>
          <t>Soglia di attenzione sui limiti del costruttore</t>
        </is>
      </c>
      <c r="D42" s="10" t="inlineStr">
        <is>
          <t>oltre il 98% del limite di catalogo (albero, coppia in uscita) → «Attenzione»</t>
        </is>
      </c>
      <c r="E42" s="10" t="inlineStr">
        <is>
          <t>—</t>
        </is>
      </c>
      <c r="F42" s="10" t="inlineStr">
        <is>
          <t>scelta del software</t>
        </is>
      </c>
      <c r="G42" s="10" t="inlineStr">
        <is>
          <t>scelta del software</t>
        </is>
      </c>
      <c r="H42" s="10" t="inlineStr">
        <is>
          <t>carico sull'albero; coppia in uscita</t>
        </is>
      </c>
      <c r="I42" s="11" t="n"/>
      <c r="J42" s="11" t="n"/>
      <c r="K42" s="11" t="n"/>
      <c r="L42" s="11" t="n"/>
      <c r="M42" s="11" t="n"/>
      <c r="N42" s="11" t="n"/>
    </row>
    <row r="43" ht="43" customHeight="1">
      <c r="A43" s="10" t="n">
        <v>41</v>
      </c>
      <c r="B43" s="10" t="inlineStr">
        <is>
          <t>Riduttore e motore</t>
        </is>
      </c>
      <c r="C43" s="10" t="inlineStr">
        <is>
          <t>Potenza statica del motore</t>
        </is>
      </c>
      <c r="D43" s="10" t="inlineStr">
        <is>
          <t>P_st = ΔF·v_f / (η_d·η_vano) ≤ P_n, con ΔF il maggiore tra cabina carica in salita dal basso e vuota in discesa dall'alto</t>
        </is>
      </c>
      <c r="E43" s="10" t="inlineStr">
        <is>
          <t>—</t>
        </is>
      </c>
      <c r="F43" s="10" t="inlineStr">
        <is>
          <t>derivazione</t>
        </is>
      </c>
      <c r="G43" s="10" t="inlineStr">
        <is>
          <t>derivazione</t>
        </is>
      </c>
      <c r="H43" s="10" t="inlineStr">
        <is>
          <t>potenza del motore</t>
        </is>
      </c>
      <c r="I43" s="11" t="n"/>
      <c r="J43" s="11" t="n"/>
      <c r="K43" s="11" t="n"/>
      <c r="L43" s="11" t="n"/>
      <c r="M43" s="11" t="n"/>
      <c r="N43" s="11" t="n"/>
    </row>
    <row r="44" ht="30" customHeight="1">
      <c r="A44" s="10" t="n">
        <v>42</v>
      </c>
      <c r="B44" s="10" t="inlineStr">
        <is>
          <t>Riduttore e motore</t>
        </is>
      </c>
      <c r="C44" s="10" t="inlineStr">
        <is>
          <t>Coppia massima in uscita dal riduttore</t>
        </is>
      </c>
      <c r="D44" s="10" t="inlineStr">
        <is>
          <t>M_p = ΔF·D/2 + J·i·α_m, confrontata con il valore di catalogo se inserito</t>
        </is>
      </c>
      <c r="E44" s="10" t="inlineStr">
        <is>
          <t>dato del costruttore</t>
        </is>
      </c>
      <c r="F44" s="10" t="inlineStr">
        <is>
          <t>derivazione</t>
        </is>
      </c>
      <c r="G44" s="10" t="inlineStr">
        <is>
          <t>derivazione</t>
        </is>
      </c>
      <c r="H44" s="10" t="inlineStr">
        <is>
          <t>coppia in uscita</t>
        </is>
      </c>
      <c r="I44" s="11" t="n"/>
      <c r="J44" s="11" t="n"/>
      <c r="K44" s="11" t="n"/>
      <c r="L44" s="11" t="n"/>
      <c r="M44" s="11" t="n"/>
      <c r="N44" s="11" t="n"/>
    </row>
    <row r="45" ht="147" customHeight="1">
      <c r="A45" s="10" t="n">
        <v>43</v>
      </c>
      <c r="B45" s="10" t="inlineStr">
        <is>
          <t>Riduttore e motore</t>
        </is>
      </c>
      <c r="C45" s="10" t="inlineStr">
        <is>
          <t>Tolleranza tra velocità reale e nominale — Con la UNI 10411-1:2024 (15.1) una velocità oltre il 5 % sopra la maggiore tra quella del libretto e quella dopo il passaggio a 50 Hz è un aumento della velocità nominale (punti 15.2–15.15). Con la UNI 10411-11:2024 (15) ogni cambio della velocità nominale, in più o in meno, porta ai punti 15 a)–k) e alla valutazione 4.3.</t>
        </is>
      </c>
      <c r="D45" s="10" t="inlineStr">
        <is>
          <t>con metà portata a metà corsa, in salita e in discesa, non oltre il 5 % sopra la nominale (buona pratica: non oltre l'8 % sotto); non verificata: il software mostra la velocità reale e la frequenza per la nominale</t>
        </is>
      </c>
      <c r="E45" s="10" t="inlineStr">
        <is>
          <t>UNI EN 81-20:2020, 5.9.2.4; UNI 10411-1:2024, 15.1</t>
        </is>
      </c>
      <c r="F45" s="10" t="inlineStr">
        <is>
          <t>UNI EN 81-20:2020, testo della norma, letto il 2026-10-06, p. 102; UNI 10411-1:2024, testo della norma, letto il 2026-10-06, p. 14</t>
        </is>
      </c>
      <c r="G45" s="10" t="inlineStr">
        <is>
          <t>confermato</t>
        </is>
      </c>
      <c r="H45" s="10" t="inlineStr">
        <is>
          <t>—</t>
        </is>
      </c>
      <c r="I45" s="11" t="n"/>
      <c r="J45" s="11" t="n"/>
      <c r="K45" s="11" t="n"/>
      <c r="L45" s="11" t="n"/>
      <c r="M45" s="11" t="n"/>
      <c r="N45" s="11" t="n"/>
    </row>
    <row r="46" ht="82" customHeight="1">
      <c r="A46" s="10" t="n">
        <v>44</v>
      </c>
      <c r="B46" s="10" t="inlineStr">
        <is>
          <t>Manovra di emergenza</t>
        </is>
      </c>
      <c r="C46" s="10" t="inlineStr">
        <is>
          <t>Forza al volantino per far salire la cabina con la portata — La forza è quella per far salire la cabina con la portata dal piano più basso, con i rendimenti del riduttore (in avanti) e del vano.</t>
        </is>
      </c>
      <c r="D46" s="10" t="inlineStr">
        <is>
          <t>≤ 400 N, altrimenti manovra elettrica di emergenza: secondo la UNI EN 81-20:2020 quella della 5.12.1.6 (al massimo 0,30 m/s); secondo la UNI EN 81-1:2008 quella della 14.2.1.4 (al massimo 0,63 m/s)</t>
        </is>
      </c>
      <c r="E46" s="10" t="inlineStr">
        <is>
          <t>UNI EN 81-20:2020, 5.9.2.3.3 e 5.12.1.6; UNI EN 81-1:2008, 12.5.1–12.5.2 e 14.2.1.4</t>
        </is>
      </c>
      <c r="F46" s="10" t="inlineStr">
        <is>
          <t>UNI EN 81-20:2020, testo della norma, letto il 2026-10-06, pp. 102 e 129; UNI EN 81-1:2008, testo della norma, letto il 2026-10-06, pp. 69 e 89–90</t>
        </is>
      </c>
      <c r="G46" s="10" t="inlineStr">
        <is>
          <t>confermato</t>
        </is>
      </c>
      <c r="H46" s="10" t="inlineStr">
        <is>
          <t>forza al volantino</t>
        </is>
      </c>
      <c r="I46" s="11" t="n"/>
      <c r="J46" s="11" t="n"/>
      <c r="K46" s="11" t="n"/>
      <c r="L46" s="11" t="n"/>
      <c r="M46" s="11" t="n"/>
      <c r="N46" s="11" t="n"/>
    </row>
    <row r="47" ht="121" customHeight="1">
      <c r="A47" s="10" t="n">
        <v>45</v>
      </c>
      <c r="B47" s="10" t="inlineStr">
        <is>
          <t>Manovra di emergenza</t>
        </is>
      </c>
      <c r="C47" s="10" t="inlineStr">
        <is>
          <t>Mezzo meccanico per la manovra di emergenza — Solo con la macchina secondo la UNI EN 81-20:2020: la UNI EN 81-1:2008 non ha la soglia dei 150 N né l'ora di autonomia. Il verso della forza non è dato dalla norma: il software prende il peggiore.</t>
        </is>
      </c>
      <c r="D47" s="10" t="inlineStr">
        <is>
          <t>ammesso se per portare la cabina a una fermata bastano 150 N con il carico tra (q − 0,1)·Q e (q + 0,1)·Q: il software prende la forza maggiore tra i due carichi, i due versi e le due posizioni estreme; oltre, mezzo elettrico (5.9.2.3.1 b)) con alimentazione indipendente dalla rete, che porta la cabina con qualsiasi carico alla fermata vicina entro 1 h, al massimo a 0,30 m/s, e manovra elettrica di emergenza (5.12.1.6)</t>
        </is>
      </c>
      <c r="E47" s="10" t="inlineStr">
        <is>
          <t>UNI EN 81-20:2020, 5.9.2.2.2.9, 5.9.2.3.1 e 5.9.2.3.3</t>
        </is>
      </c>
      <c r="F47" s="10" t="inlineStr">
        <is>
          <t>UNI EN 81-20:2020, testo della norma, letto il 2026-10-06, pp. 101–102</t>
        </is>
      </c>
      <c r="G47" s="10" t="inlineStr">
        <is>
          <t>confermato</t>
        </is>
      </c>
      <c r="H47" s="10" t="inlineStr">
        <is>
          <t>forza al volantino fino a una fermata</t>
        </is>
      </c>
      <c r="I47" s="11" t="n"/>
      <c r="J47" s="11" t="n"/>
      <c r="K47" s="11" t="n"/>
      <c r="L47" s="11" t="n"/>
      <c r="M47" s="11" t="n"/>
      <c r="N47" s="11" t="n"/>
    </row>
    <row r="48" ht="69" customHeight="1">
      <c r="A48" s="10" t="n">
        <v>46</v>
      </c>
      <c r="B48" s="10" t="inlineStr">
        <is>
          <t>Manovra di emergenza</t>
        </is>
      </c>
      <c r="C48" s="10" t="inlineStr">
        <is>
          <t>Movimento per gravità con il freno aperto a mano — Il rendimento inverso η_i è quello inserito o la stima della voce azionamento.rendimento.inverso.</t>
        </is>
      </c>
      <c r="D48" s="10" t="inlineStr">
        <is>
          <t>con il riduttore irreversibile (η_i = 0) la cabina non si muove aprendo il freno: servono i mezzi della 5.9.2.3 (informazione)</t>
        </is>
      </c>
      <c r="E48" s="10" t="inlineStr">
        <is>
          <t>UNI EN 81-20:2020, 5.9.2.2.2.9</t>
        </is>
      </c>
      <c r="F48" s="10" t="inlineStr">
        <is>
          <t>UNI EN 81-20:2020, testo della norma, letto il 2026-10-06, p. 101</t>
        </is>
      </c>
      <c r="G48" s="10" t="inlineStr">
        <is>
          <t>confermato</t>
        </is>
      </c>
      <c r="H48" s="10" t="inlineStr">
        <is>
          <t>movimento per gravità</t>
        </is>
      </c>
      <c r="I48" s="11" t="n"/>
      <c r="J48" s="11" t="n"/>
      <c r="K48" s="11" t="n"/>
      <c r="L48" s="11" t="n"/>
      <c r="M48" s="11" t="n"/>
      <c r="N48" s="11" t="n"/>
    </row>
    <row r="49" ht="56" customHeight="1">
      <c r="A49" s="10" t="n">
        <v>47</v>
      </c>
      <c r="B49" s="10" t="inlineStr">
        <is>
          <t>Albero e ancoraggi</t>
        </is>
      </c>
      <c r="C49" s="10" t="inlineStr">
        <is>
          <t>Carico sull'albero della puleggia</t>
        </is>
      </c>
      <c r="D49" s="10" t="inlineStr">
        <is>
          <t>risultante dei tiri con 1,25·Q al piano più basso, confrontata con il limite del costruttore</t>
        </is>
      </c>
      <c r="E49" s="10" t="inlineStr">
        <is>
          <t>dato del costruttore; 1,25·Q come nella verifica di caricamento (UNI EN 81-50:2020, 5.11.2.2.1)</t>
        </is>
      </c>
      <c r="F49" s="10" t="inlineStr">
        <is>
          <t>derivazione; la definizione del carico va confermata con il costruttore</t>
        </is>
      </c>
      <c r="G49" s="10" t="inlineStr">
        <is>
          <t>derivazione</t>
        </is>
      </c>
      <c r="H49" s="10" t="inlineStr">
        <is>
          <t>carico sull'albero</t>
        </is>
      </c>
      <c r="I49" s="11" t="n"/>
      <c r="J49" s="11" t="n"/>
      <c r="K49" s="11" t="n"/>
      <c r="L49" s="11" t="n"/>
      <c r="M49" s="11" t="n"/>
      <c r="N49" s="11" t="n"/>
    </row>
    <row r="50" ht="30" customHeight="1">
      <c r="A50" s="10" t="n">
        <v>48</v>
      </c>
      <c r="B50" s="10" t="inlineStr">
        <is>
          <t>Albero e ancoraggi</t>
        </is>
      </c>
      <c r="C50" s="10" t="inlineStr">
        <is>
          <t>Sollevamento netto sugli ancoraggi (macchina in basso)</t>
        </is>
      </c>
      <c r="D50" s="10" t="inlineStr">
        <is>
          <t>carico verso l'alto meno la massa della macchina: da verificare con il progettista strutturale</t>
        </is>
      </c>
      <c r="E50" s="10" t="inlineStr">
        <is>
          <t>—</t>
        </is>
      </c>
      <c r="F50" s="10" t="inlineStr">
        <is>
          <t>derivazione</t>
        </is>
      </c>
      <c r="G50" s="10" t="inlineStr">
        <is>
          <t>derivazione</t>
        </is>
      </c>
      <c r="H50" s="10" t="inlineStr">
        <is>
          <t>sollevamento netto</t>
        </is>
      </c>
      <c r="I50" s="11" t="n"/>
      <c r="J50" s="11" t="n"/>
      <c r="K50" s="11" t="n"/>
      <c r="L50" s="11" t="n"/>
      <c r="M50" s="11" t="n"/>
      <c r="N50" s="11" t="n"/>
    </row>
    <row r="51" ht="69" customHeight="1">
      <c r="A51" s="10" t="n">
        <v>49</v>
      </c>
      <c r="B51" s="10" t="inlineStr">
        <is>
          <t>Sostituzione (Italia)</t>
        </is>
      </c>
      <c r="C51" s="10" t="inlineStr">
        <is>
          <t>La sostituzione del macchinario è una modifica costruttiva</t>
        </is>
      </c>
      <c r="D51" s="10" t="inlineStr">
        <is>
          <t>modifica costruttiva (art. 2 c.1 lett. cc), n. 5): adeguamento della parte sostituita e delle altre parti interessate, comunicazione al Comune e al soggetto delle verifiche periodiche, verifica straordinaria prima del servizio</t>
        </is>
      </c>
      <c r="E51" s="10" t="inlineStr">
        <is>
          <t>DPR 162/1999 e s.m.i., art. 2 c.1 lett. cc), art. 12 c.4–5, art. 14 c.3</t>
        </is>
      </c>
      <c r="F51" s="10" t="inlineStr">
        <is>
          <t>DPR 162/1999 consolidato (Normattiva), letto il 2026-10-02 (ricerca, cap. 16), §3.2</t>
        </is>
      </c>
      <c r="G51" s="10" t="inlineStr">
        <is>
          <t>confermato</t>
        </is>
      </c>
      <c r="H51" s="10" t="inlineStr">
        <is>
          <t>—</t>
        </is>
      </c>
      <c r="I51" s="11" t="n"/>
      <c r="J51" s="11" t="n"/>
      <c r="K51" s="11" t="n"/>
      <c r="L51" s="11" t="n"/>
      <c r="M51" s="11" t="n"/>
      <c r="N51" s="11" t="n"/>
    </row>
    <row r="52" ht="290" customHeight="1">
      <c r="A52" s="10" t="n">
        <v>50</v>
      </c>
      <c r="B52" s="10" t="inlineStr">
        <is>
          <t>Sostituzione (Italia)</t>
        </is>
      </c>
      <c r="C52" s="10" t="inlineStr">
        <is>
          <t>Adeguamenti richiesti per la sostituzione del macchinario</t>
        </is>
      </c>
      <c r="D52" s="10" t="inlineStr">
        <is>
          <t>UNI 10411-1:2024, punto 14: macchina secondo la UNI EN 81-20 (5.9.1 e 5.9.2, freno in due gruppi) o la UNI EN 81-1:2010, con aderenza e coefficiente di sicurezza delle funi (14.1); D/d ≥ 40 (14.3); temporizzatore della UNI EN 81-20 (5.9.2.7), arresto prima che la cabina in salita tocchi la velocità di intervento del limitatore, ACOP e UCM esistenti che funzionano ancora, arresto vicino alla macchina, pulegge secondo la 5.5.7, interruzione se il freno non si apre (14.4 a)–g)); valutazione della sicurezza su tre piani (4); con funi nuove, controllo degli attacchi d'estremità (17.1); documenti dell'appendice C (14) e manuali (25.5). UNI 10411-11:2024, punto 14: macchina come l'originale, altrimenti UNI EN 81-20 5.9.1–5.9.2 con le verifiche della norma di origine o della UNI EN 81-20 e la valutazione 4.3 (14.1); UCM esistenti che funzionano ancora e, senza UCM conforme alla 5.6.7 e con il rallentamento controllato, interruzione se il freno non si apre (14.3); funi nuove e attacchi come gli originali, altrimenti verificati con la valutazione 4.3 (17)</t>
        </is>
      </c>
      <c r="E52" s="10" t="inlineStr">
        <is>
          <t>UNI 10411-1:2024, 4, 14.1–14.4, 17.1, 25.5, appendice C; UNI 10411-11:2024, 14.1–14.3, 17</t>
        </is>
      </c>
      <c r="F52" s="10" t="inlineStr">
        <is>
          <t>UNI 10411-1:2024, testo della norma, letto il 2026-10-06, pp. 6, 13–14, 16, 21 e 30; UNI 10411-11:2024, testo della norma, letto il 2026-10-06, pp. 12 e 14</t>
        </is>
      </c>
      <c r="G52" s="10" t="inlineStr">
        <is>
          <t>confermato</t>
        </is>
      </c>
      <c r="H52" s="10" t="inlineStr">
        <is>
          <t>gruppi del freno</t>
        </is>
      </c>
      <c r="I52" s="11" t="n"/>
      <c r="J52" s="11" t="n"/>
      <c r="K52" s="11" t="n"/>
      <c r="L52" s="11" t="n"/>
      <c r="M52" s="11" t="n"/>
      <c r="N52" s="11" t="n"/>
    </row>
    <row r="53" ht="43" customHeight="1">
      <c r="A53" s="10" t="n">
        <v>51</v>
      </c>
      <c r="B53" s="10" t="inlineStr">
        <is>
          <t>Sostituzione (Italia)</t>
        </is>
      </c>
      <c r="C53" s="10" t="inlineStr">
        <is>
          <t>Funi nella sostituzione</t>
        </is>
      </c>
      <c r="D53" s="10" t="inlineStr">
        <is>
          <t>di norma funi nuove con lo stesso numero e diametro di quelle montate; la proposta le tiene fisse</t>
        </is>
      </c>
      <c r="E53" s="10" t="inlineStr">
        <is>
          <t>—</t>
        </is>
      </c>
      <c r="F53" s="10" t="inlineStr">
        <is>
          <t>indicazione di Panev Ascensori (29 settembre 2026)</t>
        </is>
      </c>
      <c r="G53" s="10" t="inlineStr">
        <is>
          <t>prassi di cantiere</t>
        </is>
      </c>
      <c r="H53" s="10" t="inlineStr">
        <is>
          <t>—</t>
        </is>
      </c>
      <c r="I53" s="11" t="n"/>
      <c r="J53" s="11" t="n"/>
      <c r="K53" s="11" t="n"/>
      <c r="L53" s="11" t="n"/>
      <c r="M53" s="11" t="n"/>
      <c r="N53" s="11" t="n"/>
    </row>
    <row r="54" ht="43" customHeight="1">
      <c r="A54" s="10" t="n">
        <v>52</v>
      </c>
      <c r="B54" s="10" t="inlineStr">
        <is>
          <t>Modello di calcolo</t>
        </is>
      </c>
      <c r="C54" s="10" t="inlineStr">
        <is>
          <t>Accelerazione di gravità</t>
        </is>
      </c>
      <c r="D54" s="10" t="inlineStr">
        <is>
          <t>g = 9,81 m/s² (anche come limite di 1 g)</t>
        </is>
      </c>
      <c r="E54" s="10" t="inlineStr">
        <is>
          <t>UNI EN 81-20:2020, 5.2.1.8.5 (g_n = 9,81 m/s²)</t>
        </is>
      </c>
      <c r="F54" s="10" t="inlineStr">
        <is>
          <t>UNI EN 81-20:2020, testo della norma, letto il 2026-10-06, p. 27</t>
        </is>
      </c>
      <c r="G54" s="10" t="inlineStr">
        <is>
          <t>confermato</t>
        </is>
      </c>
      <c r="H54" s="10" t="inlineStr">
        <is>
          <t>—</t>
        </is>
      </c>
      <c r="I54" s="11" t="n"/>
      <c r="J54" s="11" t="n"/>
      <c r="K54" s="11" t="n"/>
      <c r="L54" s="11" t="n"/>
      <c r="M54" s="11" t="n"/>
      <c r="N54" s="11" t="n"/>
    </row>
    <row r="55" ht="69" customHeight="1">
      <c r="A55" s="10" t="n">
        <v>53</v>
      </c>
      <c r="B55" s="10" t="inlineStr">
        <is>
          <t>Modello di calcolo</t>
        </is>
      </c>
      <c r="C55" s="10" t="inlineStr">
        <is>
          <t>Tiri con il metodo del percorso della fune — Il fattore (r² + 2)/3 vale esattamente r per le taglie 1:1 e 2:1, le sole del software.</t>
        </is>
      </c>
      <c r="D55" s="10" t="inlineStr">
        <is>
          <t>masse per lato, funi di ogni tratto con il fattore (r² + 2)/3, inerzia delle pulegge di rinvio e, in taglia 2:1, delle pulegge di cabina e di contrappeso (termine III); attrito di guide e pulegge trascurato in aderenza</t>
        </is>
      </c>
      <c r="E55" s="10" t="inlineStr">
        <is>
          <t>UNI EN 81-50:2020, 5.11.3</t>
        </is>
      </c>
      <c r="F55" s="10" t="inlineStr">
        <is>
          <t>UNI EN 81-50:2020, testo della norma, letto il 2026-10-06, pp. 43–44</t>
        </is>
      </c>
      <c r="G55" s="10" t="inlineStr">
        <is>
          <t>confermato</t>
        </is>
      </c>
      <c r="H55" s="10" t="inlineStr">
        <is>
          <t>aderenza al caricamento; aderenza in frenatura, in discesa; aderenza in frenatura, in salita; aderenza alla decelerazione reale (avviso); cabina bloccata</t>
        </is>
      </c>
      <c r="I55" s="11" t="n"/>
      <c r="J55" s="11" t="n"/>
      <c r="K55" s="11" t="n"/>
      <c r="L55" s="11" t="n"/>
      <c r="M55" s="11" t="n"/>
      <c r="N55" s="11" t="n"/>
    </row>
    <row r="56" ht="108" customHeight="1">
      <c r="A56" s="10" t="n">
        <v>54</v>
      </c>
      <c r="B56" s="10" t="inlineStr">
        <is>
          <t>Modello di calcolo</t>
        </is>
      </c>
      <c r="C56" s="10" t="inlineStr">
        <is>
          <t>Pulegge di cabina e di contrappeso nella taglia 2:1 — La velocità della fune rispetto all'asse della puleggia di cabina è quella della cabina: la massa ridotta è J_p/R_p². Con più pulegge o pulegge diverse da quelle di rinvio, l'ingegnere inserisce l'inerzia equivalente.</t>
        </is>
      </c>
      <c r="D56" s="10" t="inlineStr">
        <is>
          <t>una puleggia per lato, con l'inerzia J_p e il diametro D_p delle pulegge di rinvio: massa ridotta J_p/R_p², con l'accelerazione della cabina divisa per r, nei tiri e nell'inerzia riportata al motore</t>
        </is>
      </c>
      <c r="E56" s="10" t="inlineStr">
        <is>
          <t>UNI EN 81-50:2020, 5.11.3 (termine III)</t>
        </is>
      </c>
      <c r="F56" s="10" t="inlineStr">
        <is>
          <t>UNI EN 81-50:2020, testo della norma, letto il 2026-10-06, pp. 43–44; numero e inerzia delle pulegge: scelta del software</t>
        </is>
      </c>
      <c r="G56" s="10" t="inlineStr">
        <is>
          <t>scelta del software</t>
        </is>
      </c>
      <c r="H56" s="10" t="inlineStr">
        <is>
          <t>aderenza in frenatura, in discesa; aderenza in frenatura, in salita; aderenza alla decelerazione reale (avviso)</t>
        </is>
      </c>
      <c r="I56" s="11" t="n"/>
      <c r="J56" s="11" t="n"/>
      <c r="K56" s="11" t="n"/>
      <c r="L56" s="11" t="n"/>
      <c r="M56" s="11" t="n"/>
      <c r="N56" s="11" t="n"/>
    </row>
    <row r="57" ht="69" customHeight="1">
      <c r="A57" s="10" t="n">
        <v>55</v>
      </c>
      <c r="B57" s="10" t="inlineStr">
        <is>
          <t>Modello di calcolo</t>
        </is>
      </c>
      <c r="C57" s="10" t="inlineStr">
        <is>
          <t>Macchina in basso: tratto tra la macchina e le pulegge in testata — Il testo stampa a in entrambe le edizioni; a 1:1 le due forme coincidono.</t>
        </is>
      </c>
      <c r="D57" s="10" t="inlineStr">
        <is>
          <t>con l'accelerazione a della cabina, come stampato nella norma; nella taglia 2:1 il software mostra anche l'esito con r·a, l'accelerazione fisica di quel tratto: «Attenzione» se supera il limite, mai «Non soddisfatta»</t>
        </is>
      </c>
      <c r="E57" s="10" t="inlineStr">
        <is>
          <t>UNI EN 81-50:2020, 5.11.3 (MSR1)</t>
        </is>
      </c>
      <c r="F57" s="10" t="inlineStr">
        <is>
          <t>UNI EN 81-50:2020, testo della norma, letto il 2026-10-06, p. 44</t>
        </is>
      </c>
      <c r="G57" s="10" t="inlineStr">
        <is>
          <t>confermato</t>
        </is>
      </c>
      <c r="H57" s="10" t="inlineStr">
        <is>
          <t>aderenza in frenatura, in discesa; aderenza in frenatura, in salita; tratto macchina–testata a r·a (avviso)</t>
        </is>
      </c>
      <c r="I57" s="11" t="n"/>
      <c r="J57" s="11" t="n"/>
      <c r="K57" s="11" t="n"/>
      <c r="L57" s="11" t="n"/>
      <c r="M57" s="11" t="n"/>
      <c r="N57" s="11" t="n"/>
    </row>
    <row r="58" ht="82" customHeight="1">
      <c r="A58" s="10" t="n">
        <v>56</v>
      </c>
      <c r="B58" s="10" t="inlineStr">
        <is>
          <t>Modello di calcolo</t>
        </is>
      </c>
      <c r="C58" s="10" t="inlineStr">
        <is>
          <t>Velocità nominale e compensazione</t>
        </is>
      </c>
      <c r="D58" s="10" t="inlineStr">
        <is>
          <t>oltre 1,75 m/s i mezzi di compensazione senza tensionamento vanno guidati vicino all'ansa («Attenzione»); oltre 3 m/s servono funi di compensazione con puleggia tenditrice, che il modello non contiene («Non soddisfatta»: fuori dal campo del software)</t>
        </is>
      </c>
      <c r="E58" s="10" t="inlineStr">
        <is>
          <t>UNI EN 81-20:2020, 5.5.6.1 a)–d)</t>
        </is>
      </c>
      <c r="F58" s="10" t="inlineStr">
        <is>
          <t>UNI EN 81-20:2020, testo della norma, letto il 2026-10-06, p. 76</t>
        </is>
      </c>
      <c r="G58" s="10" t="inlineStr">
        <is>
          <t>confermato</t>
        </is>
      </c>
      <c r="H58" s="10" t="inlineStr">
        <is>
          <t>velocità e compensazione</t>
        </is>
      </c>
      <c r="I58" s="11" t="n"/>
      <c r="J58" s="11" t="n"/>
      <c r="K58" s="11" t="n"/>
      <c r="L58" s="11" t="n"/>
      <c r="M58" s="11" t="n"/>
      <c r="N58" s="11" t="n"/>
    </row>
    <row r="59" ht="121" customHeight="1">
      <c r="A59" s="10" t="n">
        <v>57</v>
      </c>
      <c r="B59" s="10" t="inlineStr">
        <is>
          <t>Modello di calcolo</t>
        </is>
      </c>
      <c r="C59" s="10" t="inlineStr">
        <is>
          <t>Compensazione e cavo flessibile — Nella 5.11.3 la massa della compensazione (0,5·H ± y) e del cavo (0,25·H ± 0,5·y) dipende dalla posizione della cabina e c'è anche sul lato del contrappeso; il software la tiene costante dentro P. Con catene o funi di compensazione il modello non vale.</t>
        </is>
      </c>
      <c r="D59" s="10" t="inlineStr">
        <is>
          <t>non modellati a parte: la loro massa sul lato cabina entra in P</t>
        </is>
      </c>
      <c r="E59" s="10" t="inlineStr">
        <is>
          <t>UNI EN 81-50:2020, 5.11.3</t>
        </is>
      </c>
      <c r="F59" s="10" t="inlineStr">
        <is>
          <t>limite del modello attuale</t>
        </is>
      </c>
      <c r="G59" s="10" t="inlineStr">
        <is>
          <t>scelta del software</t>
        </is>
      </c>
      <c r="H59" s="10" t="inlineStr">
        <is>
          <t>—</t>
        </is>
      </c>
      <c r="I59" s="11" t="n"/>
      <c r="J59" s="11" t="n"/>
      <c r="K59" s="11" t="n"/>
      <c r="L59" s="11" t="n"/>
      <c r="M59" s="11" t="n"/>
      <c r="N59" s="11" t="n"/>
    </row>
    <row r="60" ht="30" customHeight="1">
      <c r="A60" s="10" t="n">
        <v>58</v>
      </c>
      <c r="B60" s="10" t="inlineStr">
        <is>
          <t>Modello di calcolo</t>
        </is>
      </c>
      <c r="C60" s="10" t="inlineStr">
        <is>
          <t>Analisi di sensibilità</t>
        </is>
      </c>
      <c r="D60" s="10" t="inlineStr">
        <is>
          <t>P ±10%; k ±0,05 se il carico di equilibrio non è misurato</t>
        </is>
      </c>
      <c r="E60" s="10" t="inlineStr">
        <is>
          <t>—</t>
        </is>
      </c>
      <c r="F60" s="10" t="inlineStr">
        <is>
          <t>scelta del software (incertezza tipica del rilievo)</t>
        </is>
      </c>
      <c r="G60" s="10" t="inlineStr">
        <is>
          <t>scelta del software</t>
        </is>
      </c>
      <c r="H60" s="10" t="inlineStr">
        <is>
          <t>—</t>
        </is>
      </c>
      <c r="I60" s="11" t="n"/>
      <c r="J60" s="11" t="n"/>
      <c r="K60" s="11" t="n"/>
      <c r="L60" s="11" t="n"/>
      <c r="M60" s="11" t="n"/>
      <c r="N60" s="11" t="n"/>
    </row>
    <row r="61" ht="134" customHeight="1">
      <c r="A61" s="10" t="n">
        <v>59</v>
      </c>
      <c r="B61" s="10" t="inlineStr">
        <is>
          <t>Vano: cabina e portata</t>
        </is>
      </c>
      <c r="C61" s="10" t="inlineStr">
        <is>
          <t>Superficie utile massima della cabina per portata — la norma misura la superficie a 1 m dal pavimento tra le pareti strutturali, senza finiture (5.4.2.1.2), conta le nicchie e conta per intero la rientranza dell'ingresso profonda più di 100 mm (5.4.2.1.3); il software usa larghezza × profondità interne: nicchie e rientranze vanno aggiunte a mano</t>
        </is>
      </c>
      <c r="D61" s="10" t="inlineStr">
        <is>
          <t>100 kg 0,37 m²; 180 kg 0,58; 225 kg 0,70; 300 kg 0,90; 375 kg 1,10; 400 kg 1,17; 450 kg 1,30; 525 kg 1,45; 600 kg 1,60; 630 kg 1,66; 675 kg 1,75; 750 kg 1,90; 800 kg 2,00; 825 kg 2,05; 900 kg 2,20; 975 kg 2,35; 1000 kg 2,40; 1050 kg 2,50; 1125 kg 2,65; 1200 kg 2,80; 1250 kg 2,90; 1275 kg 2,95; 1350 kg 3,10; 1425 kg 3,25; 1500 kg 3,40; 1600 kg 3,56; 2000 kg 4,20; 2500 kg 5,00; oltre 2500 kg +0,16 m² ogni 100 kg; interpolazione lineare</t>
        </is>
      </c>
      <c r="E61" s="10" t="inlineStr">
        <is>
          <t>UNI EN 81-20:2020, 5.4.2.1.1 (Prospetto 6)</t>
        </is>
      </c>
      <c r="F61" s="10" t="inlineStr">
        <is>
          <t>UNI EN 81-20:2020, testo della norma, letto il 2026-10-06, pp. 63–64</t>
        </is>
      </c>
      <c r="G61" s="10" t="inlineStr">
        <is>
          <t>confermato</t>
        </is>
      </c>
      <c r="H61" s="10" t="inlineStr">
        <is>
          <t>superficie della cabina per la portata</t>
        </is>
      </c>
      <c r="I61" s="11" t="n"/>
      <c r="J61" s="11" t="n"/>
      <c r="K61" s="11" t="n"/>
      <c r="L61" s="11" t="n"/>
      <c r="M61" s="11" t="n"/>
      <c r="N61" s="11" t="n"/>
    </row>
    <row r="62" ht="95" customHeight="1">
      <c r="A62" s="10" t="n">
        <v>60</v>
      </c>
      <c r="B62" s="10" t="inlineStr">
        <is>
          <t>Vano: cabina e portata</t>
        </is>
      </c>
      <c r="C62" s="10" t="inlineStr">
        <is>
          <t>Numero di passeggeri</t>
        </is>
      </c>
      <c r="D62" s="10" t="inlineStr">
        <is>
          <t>il minore tra Q/75 arrotondato per difetto e il numero ammesso dalla superficie: 1 persona 0,28 m²; 2 0,49; 3 0,60; 4 0,79; 5 0,98; 6 1,17; 7 1,31; 8 1,45; 9 1,59; 10 1,73; 11 1,87; 12 2,01; 13 2,15; 14 2,29; 15 2,43; 16 2,57; 17 2,71; 18 2,85; 19 2,99; 20 3,13; oltre 20 +0,115 m² per persona</t>
        </is>
      </c>
      <c r="E62" s="10" t="inlineStr">
        <is>
          <t>UNI EN 81-20:2020, 5.4.2.3.1 (Prospetto 8)</t>
        </is>
      </c>
      <c r="F62" s="10" t="inlineStr">
        <is>
          <t>UNI EN 81-20:2020, testo della norma, letto il 2026-10-06, p. 66</t>
        </is>
      </c>
      <c r="G62" s="10" t="inlineStr">
        <is>
          <t>confermato</t>
        </is>
      </c>
      <c r="H62" s="10" t="inlineStr">
        <is>
          <t>—</t>
        </is>
      </c>
      <c r="I62" s="11" t="n"/>
      <c r="J62" s="11" t="n"/>
      <c r="K62" s="11" t="n"/>
      <c r="L62" s="11" t="n"/>
      <c r="M62" s="11" t="n"/>
      <c r="N62" s="11" t="n"/>
    </row>
    <row r="63" ht="186" customHeight="1">
      <c r="A63" s="10" t="n">
        <v>61</v>
      </c>
      <c r="B63" s="10" t="inlineStr">
        <is>
          <t>Vano: distanze in pianta</t>
        </is>
      </c>
      <c r="C63" s="10" t="inlineStr">
        <is>
          <t>Parete del vano di fronte all'entrata della cabina — le deroghe della norma (fino a 0,20 m per un tratto alto non più di 0,50 m o con porte verticali di ascensori per merci; nessun limite con la porta di cabina bloccata meccanicamente) non sono usate: la verifica è più severa. Il software misura fino alla soglia; la figura 3 della norma porta il limite anche al telaio e al bordo di chiusura delle ante di cabina: con la porta scelta lo verifica l'ingegnere sui dati del fornitore.</t>
        </is>
      </c>
      <c r="D63" s="10" t="inlineStr">
        <is>
          <t>distanza orizzontale dalla soglia o dal telaio della porta di cabina ≤ 150 mm (qui: profondità della porta di piano + gioco tra le soglie)</t>
        </is>
      </c>
      <c r="E63" s="10" t="inlineStr">
        <is>
          <t>UNI EN 81-20:2020, 5.2.5.3.1</t>
        </is>
      </c>
      <c r="F63" s="10" t="inlineStr">
        <is>
          <t>UNI EN 81-20:2020, testo della norma, letto il 2026-10-06, p. 33</t>
        </is>
      </c>
      <c r="G63" s="10" t="inlineStr">
        <is>
          <t>confermato</t>
        </is>
      </c>
      <c r="H63" s="10" t="inlineStr">
        <is>
          <t>parete di fronte all'entrata</t>
        </is>
      </c>
      <c r="I63" s="11" t="n"/>
      <c r="J63" s="11" t="n"/>
      <c r="K63" s="11" t="n"/>
      <c r="L63" s="11" t="n"/>
      <c r="M63" s="11" t="n"/>
      <c r="N63" s="11" t="n"/>
    </row>
    <row r="64" ht="95" customHeight="1">
      <c r="A64" s="10" t="n">
        <v>62</v>
      </c>
      <c r="B64" s="10" t="inlineStr">
        <is>
          <t>Vano: distanze in pianta</t>
        </is>
      </c>
      <c r="C64" s="10" t="inlineStr">
        <is>
          <t>Gioco tra soglia di cabina e soglia di piano — Non calcolato: tra il bordo d'attacco delle ante di cabina e le porte di piano al massimo 0,12 m (5.3.4.2; 11.2.3 nella UNI EN 81-1:2008), dato del fornitore delle porte.</t>
        </is>
      </c>
      <c r="D64" s="10" t="inlineStr">
        <is>
          <t>distanza orizzontale ≤ 35 mm</t>
        </is>
      </c>
      <c r="E64" s="10" t="inlineStr">
        <is>
          <t>UNI EN 81-20:2020, 5.3.4.1 (figura 3); 11.2.2 nella UNI EN 81-1 (1999, 2008)</t>
        </is>
      </c>
      <c r="F64" s="10" t="inlineStr">
        <is>
          <t>UNI EN 81-20:2020, testo della norma, letto il 2026-10-06, p. 50</t>
        </is>
      </c>
      <c r="G64" s="10" t="inlineStr">
        <is>
          <t>confermato</t>
        </is>
      </c>
      <c r="H64" s="10" t="inlineStr">
        <is>
          <t>gioco tra le soglie</t>
        </is>
      </c>
      <c r="I64" s="11" t="n"/>
      <c r="J64" s="11" t="n"/>
      <c r="K64" s="11" t="n"/>
      <c r="L64" s="11" t="n"/>
      <c r="M64" s="11" t="n"/>
      <c r="N64" s="11" t="n"/>
    </row>
    <row r="65" ht="69" customHeight="1">
      <c r="A65" s="10" t="n">
        <v>63</v>
      </c>
      <c r="B65" s="10" t="inlineStr">
        <is>
          <t>Vano: distanze in pianta</t>
        </is>
      </c>
      <c r="C65" s="10" t="inlineStr">
        <is>
          <t>Distanza tra cabina e contrappeso — il software misura tra le sagome di cabina e contrappeso: pattini e staffe non sono nel modello della pianta</t>
        </is>
      </c>
      <c r="D65" s="10" t="inlineStr">
        <is>
          <t>≥ 50 mm tra la cabina con i suoi componenti e il contrappeso con i suoi</t>
        </is>
      </c>
      <c r="E65" s="10" t="inlineStr">
        <is>
          <t>UNI EN 81-20:2020, 5.2.5.5.1 h)</t>
        </is>
      </c>
      <c r="F65" s="10" t="inlineStr">
        <is>
          <t>UNI EN 81-20:2020, testo della norma, letto il 2026-10-06, p. 35</t>
        </is>
      </c>
      <c r="G65" s="10" t="inlineStr">
        <is>
          <t>confermato</t>
        </is>
      </c>
      <c r="H65" s="10" t="inlineStr">
        <is>
          <t>distanza cabina–contrappeso</t>
        </is>
      </c>
      <c r="I65" s="11" t="n"/>
      <c r="J65" s="11" t="n"/>
      <c r="K65" s="11" t="n"/>
      <c r="L65" s="11" t="n"/>
      <c r="M65" s="11" t="n"/>
      <c r="N65" s="11" t="n"/>
    </row>
    <row r="66" ht="199" customHeight="1">
      <c r="A66" s="10" t="n">
        <v>64</v>
      </c>
      <c r="B66" s="10" t="inlineStr">
        <is>
          <t>Vano: distanze in pianta</t>
        </is>
      </c>
      <c r="C66" s="10" t="inlineStr">
        <is>
          <t>Pareti all'ultimo piano e in testata diverse dal piano principale</t>
        </is>
      </c>
      <c r="D66" s="10" t="inlineStr">
        <is>
          <t>negli edifici esistenti le pareti del vano all'ultima fermata e in testata possono stare altrove che al piano principale: cabina, guide e contrappeso restano a piombo; la cabina con soglie e operatori delle porte e il contrappeso passano ad almeno 25 mm dalle pareti spostate (meno: «Attenzione»; dentro la parete: «Non conforme»); le porte di piano dell'ultima fermata restano in linea con la cabina e la parete non entra nel loro spessore, i piedi delle guide e la staffa a ponte non entrano nelle pareti; le staffe arrivano alla parete dove sta (le staffe Panev si verificano anche lì); la distanza dalla parete di fronte all'entrata (voce distanze.parete.entrata) vale anche in testata</t>
        </is>
      </c>
      <c r="E66" s="10" t="inlineStr">
        <is>
          <t>UNI EN 81-20:2020, 5.2.5.3.1 (parete di fronte all'entrata); il resto scelta del software</t>
        </is>
      </c>
      <c r="F66" s="10" t="inlineStr">
        <is>
          <t>scelta del software: il margine di marcia va confermato con l'installatore</t>
        </is>
      </c>
      <c r="G66" s="10" t="inlineStr">
        <is>
          <t>scelta del software</t>
        </is>
      </c>
      <c r="H66" s="10" t="inlineStr">
        <is>
          <t>pareti in testata diverse dal piano principale</t>
        </is>
      </c>
      <c r="I66" s="11" t="n"/>
      <c r="J66" s="11" t="n"/>
      <c r="K66" s="11" t="n"/>
      <c r="L66" s="11" t="n"/>
      <c r="M66" s="11" t="n"/>
      <c r="N66" s="11" t="n"/>
    </row>
    <row r="67" ht="69" customHeight="1">
      <c r="A67" s="10" t="n">
        <v>65</v>
      </c>
      <c r="B67" s="10" t="inlineStr">
        <is>
          <t>Vano: accessibilità (DM 236/1989)</t>
        </is>
      </c>
      <c r="C67" s="10" t="inlineStr">
        <is>
          <t>Edifici residenziali nuovi: cabina e porta minime</t>
        </is>
      </c>
      <c r="D67" s="10" t="inlineStr">
        <is>
          <t>cabina larga 950 mm e profonda 1300 mm, porta di 800 mm sul lato corto; piattaforma davanti alla porta 1,50 × 1,50 m (fuori dal vano: da verificare in sito); pulsanti più alti delle bottoniere tra 1100 e 1400 mm dal pavimento</t>
        </is>
      </c>
      <c r="E67" s="10" t="inlineStr">
        <is>
          <t>DM 236/1989, 8.1.12</t>
        </is>
      </c>
      <c r="F67" s="10" t="inlineStr">
        <is>
          <t>DM 236/1989, 8.1.12, letto per intero su Normattiva il 2026-10-02 (ricerca, cap. 16, §4.1)</t>
        </is>
      </c>
      <c r="G67" s="10" t="inlineStr">
        <is>
          <t>confermato</t>
        </is>
      </c>
      <c r="H67" s="10" t="inlineStr">
        <is>
          <t>cabina minima (DM 236/1989); porta minima (DM 236/1989); porta sul lato corto; pulsanti più alti delle bottoniere (DM 236/1989)</t>
        </is>
      </c>
      <c r="I67" s="11" t="n"/>
      <c r="J67" s="11" t="n"/>
      <c r="K67" s="11" t="n"/>
      <c r="L67" s="11" t="n"/>
      <c r="M67" s="11" t="n"/>
      <c r="N67" s="11" t="n"/>
    </row>
    <row r="68" ht="69" customHeight="1">
      <c r="A68" s="10" t="n">
        <v>66</v>
      </c>
      <c r="B68" s="10" t="inlineStr">
        <is>
          <t>Vano: accessibilità (DM 236/1989)</t>
        </is>
      </c>
      <c r="C68" s="10" t="inlineStr">
        <is>
          <t>Edifici non residenziali nuovi: cabina e porta minime</t>
        </is>
      </c>
      <c r="D68" s="10" t="inlineStr">
        <is>
          <t>cabina larga 1100 mm e profonda 1400 mm, porta di 800 mm sul lato corto; piattaforma davanti alla porta 1,50 × 1,50 m (fuori dal vano: da verificare in sito); pulsanti più alti delle bottoniere tra 1100 e 1400 mm dal pavimento</t>
        </is>
      </c>
      <c r="E68" s="10" t="inlineStr">
        <is>
          <t>DM 236/1989, 8.1.12</t>
        </is>
      </c>
      <c r="F68" s="10" t="inlineStr">
        <is>
          <t>DM 236/1989, 8.1.12, letto per intero su Normattiva il 2026-10-02 (ricerca, cap. 16, §4.1)</t>
        </is>
      </c>
      <c r="G68" s="10" t="inlineStr">
        <is>
          <t>confermato</t>
        </is>
      </c>
      <c r="H68" s="10" t="inlineStr">
        <is>
          <t>cabina minima (DM 236/1989); porta minima (DM 236/1989); porta sul lato corto; pulsanti più alti delle bottoniere (DM 236/1989)</t>
        </is>
      </c>
      <c r="I68" s="11" t="n"/>
      <c r="J68" s="11" t="n"/>
      <c r="K68" s="11" t="n"/>
      <c r="L68" s="11" t="n"/>
      <c r="M68" s="11" t="n"/>
      <c r="N68" s="11" t="n"/>
    </row>
    <row r="69" ht="134" customHeight="1">
      <c r="A69" s="10" t="n">
        <v>67</v>
      </c>
      <c r="B69" s="10" t="inlineStr">
        <is>
          <t>Vano: accessibilità (DM 236/1989)</t>
        </is>
      </c>
      <c r="C69" s="10" t="inlineStr">
        <is>
          <t>Adeguamento di edifici esistenti: cabina e porta minime — Per un ascensore nuovo in un edificio esistente il caso è a) o b) secondo la destinazione; il c) è l'eccezione, scelta dal progettista.</t>
        </is>
      </c>
      <c r="D69" s="10" t="inlineStr">
        <is>
          <t>cabina larga 800 mm e profonda 1200 mm, porta di 750 mm sul lato corto; piattaforma davanti alla porta 1,40 × 1,40 m (fuori dal vano: da verificare in sito); pulsanti più alti delle bottoniere tra 1100 e 1400 mm dal pavimento; solo se l'edificio esistente non consente una cabina più grande: una cabina sotto le misure del caso b) (larga 950 mm, profonda 1300 mm, porta di 800 mm) chiede la motivazione scritta nel progetto («Attenzione» se manca)</t>
        </is>
      </c>
      <c r="E69" s="10" t="inlineStr">
        <is>
          <t>DM 236/1989, 8.1.12 c)</t>
        </is>
      </c>
      <c r="F69" s="10" t="inlineStr">
        <is>
          <t>DM 236/1989, 8.1.12, letto per intero su Normattiva il 2026-10-02 (ricerca, cap. 16, §4.1)</t>
        </is>
      </c>
      <c r="G69" s="10" t="inlineStr">
        <is>
          <t>confermato</t>
        </is>
      </c>
      <c r="H69" s="10" t="inlineStr">
        <is>
          <t>cabina minima (DM 236/1989); porta minima (DM 236/1989); porta sul lato corto; motivazione del caso c) (DM 236/1989); pulsanti più alti delle bottoniere (DM 236/1989)</t>
        </is>
      </c>
      <c r="I69" s="11" t="n"/>
      <c r="J69" s="11" t="n"/>
      <c r="K69" s="11" t="n"/>
      <c r="L69" s="11" t="n"/>
      <c r="M69" s="11" t="n"/>
      <c r="N69" s="11" t="n"/>
    </row>
    <row r="70" ht="43" customHeight="1">
      <c r="A70" s="10" t="n">
        <v>68</v>
      </c>
      <c r="B70" s="10" t="inlineStr">
        <is>
          <t>Vano: porte</t>
        </is>
      </c>
      <c r="C70" s="10" t="inlineStr">
        <is>
          <t>Ingombro della porta di piano lungo la parete del vano</t>
        </is>
      </c>
      <c r="D70" s="10" t="inlineStr">
        <is>
          <t>telescopica a 2 ante: 1,5·L + 110 mm; centrale a 2 ante: 2·L + 110 mm (L = luce netta)</t>
        </is>
      </c>
      <c r="E70" s="10" t="inlineStr">
        <is>
          <t>dato del fornitore delle porte</t>
        </is>
      </c>
      <c r="F70" s="10" t="inlineStr">
        <is>
          <t>valori tipici: scelta del software da confermare con il fornitore</t>
        </is>
      </c>
      <c r="G70" s="10" t="inlineStr">
        <is>
          <t>scelta del software</t>
        </is>
      </c>
      <c r="H70" s="10" t="inlineStr">
        <is>
          <t>ingombro della porta di piano</t>
        </is>
      </c>
      <c r="I70" s="11" t="n"/>
      <c r="J70" s="11" t="n"/>
      <c r="K70" s="11" t="n"/>
      <c r="L70" s="11" t="n"/>
      <c r="M70" s="11" t="n"/>
      <c r="N70" s="11" t="n"/>
    </row>
    <row r="71" ht="30" customHeight="1">
      <c r="A71" s="10" t="n">
        <v>69</v>
      </c>
      <c r="B71" s="10" t="inlineStr">
        <is>
          <t>Vano: porte</t>
        </is>
      </c>
      <c r="C71" s="10" t="inlineStr">
        <is>
          <t>Larghezza della cabina rispetto alla porta</t>
        </is>
      </c>
      <c r="D71" s="10" t="inlineStr">
        <is>
          <t>larghezza interna ≥ luce della porta + 50 mm; profondità interna ≥ 800 mm</t>
        </is>
      </c>
      <c r="E71" s="10" t="inlineStr">
        <is>
          <t>—</t>
        </is>
      </c>
      <c r="F71" s="10" t="inlineStr">
        <is>
          <t>scelta del software</t>
        </is>
      </c>
      <c r="G71" s="10" t="inlineStr">
        <is>
          <t>scelta del software</t>
        </is>
      </c>
      <c r="H71" s="10" t="inlineStr">
        <is>
          <t>la cabina entra nel vano</t>
        </is>
      </c>
      <c r="I71" s="11" t="n"/>
      <c r="J71" s="11" t="n"/>
      <c r="K71" s="11" t="n"/>
      <c r="L71" s="11" t="n"/>
      <c r="M71" s="11" t="n"/>
      <c r="N71" s="11" t="n"/>
    </row>
    <row r="72" ht="342" customHeight="1">
      <c r="A72" s="10" t="n">
        <v>70</v>
      </c>
      <c r="B72" s="10" t="inlineStr">
        <is>
          <t>Vano: porte</t>
        </is>
      </c>
      <c r="C72" s="10" t="inlineStr">
        <is>
          <t>Vano porta di piano e operatore della porta di cabina</t>
        </is>
      </c>
      <c r="D72" s="10" t="inlineStr">
        <is>
          <t>vano nel muro: luce netta + 2 × 50 mm di portale; operatore della porta di cabina lungo 1,5·L + 50 mm con porta telescopica (il lato di chiusura 25 mm oltre la luce) e 2·L + 60 mm con porta centrale, profondo 220 mm, dentro il vano; con il fornitore scelto: 2SG FLY/LIKE 1,5·L + 40 mm (telescopica) e 2·L + 20 mm (centrale), profondo 220 mm; Fermator 40/10 1,5·L + 50 mm e 2·L + 50 mm, profondo 144 mm; Dapa LOWER 1,5·L + 47 mm e 2·L + 50 mm, profondo 217 mm; con due accessi adiacenti gli operatori non devono sovrapporsi all'angolo tra le porte (altrimenti «Attenzione»: operatori da scegliere con il fornitore)</t>
        </is>
      </c>
      <c r="E72" s="10" t="inlineStr">
        <is>
          <t>dato del fornitore delle porte</t>
        </is>
      </c>
      <c r="F72" s="10" t="inlineStr">
        <is>
          <t>schede PDF 2SG FLY 2AT (ingombro massimo 1,5·A + 10; soglia 1,5·A + 20, + 40 con l'extracorsa: presa la più lunga) e 2AO (2·A + 20), profondità 220 letta sul disegno; catalogo tecnico Dapa LOWER (1,5·AP + 47, 2·AP + 50, profondità 217); Fermator 40/10 PM in copie presso terzi (1,5·PL + 50 e 2·PL + 50, le soglie + 40; profondità 120–144 sul disegno, con le staffe 183–280; chiusura a 15 mm dalla luce, il software ne tiene 25); Wittur Hydra Plus da una copia del catalogo Selcom (1,5·PL + 25 e 2·PL + 50, profondo 200); letti il 2 ottobre 2026 (research/argano-geared/18-porte-limitatori-tenditori-tutti.md). Il generico è l'inviluppo: il più lungo (Fermator, Dapa) e il più profondo (2SG FLY). Hydra Plus può superarlo dove la sua quota GM supera la GW; Prisma e CMM: lunghezza e profondità non trovate</t>
        </is>
      </c>
      <c r="G72" s="10" t="inlineStr">
        <is>
          <t>stima</t>
        </is>
      </c>
      <c r="H72" s="10" t="inlineStr">
        <is>
          <t>ingombro della porta di piano; ingombro della seconda porta di piano; operatori delle porte adiacenti</t>
        </is>
      </c>
      <c r="I72" s="11" t="n"/>
      <c r="J72" s="11" t="n"/>
      <c r="K72" s="11" t="n"/>
      <c r="L72" s="11" t="n"/>
      <c r="M72" s="11" t="n"/>
      <c r="N72" s="11" t="n"/>
    </row>
    <row r="73" ht="134" customHeight="1">
      <c r="A73" s="10" t="n">
        <v>71</v>
      </c>
      <c r="B73" s="10" t="inlineStr">
        <is>
          <t>Vano: porte</t>
        </is>
      </c>
      <c r="C73" s="10" t="inlineStr">
        <is>
          <t>Porta di piano spostata rispetto alla porta di cabina (disassamento) — nel 3D la leva della serratura con i rulli resta in linea con l'accoppiatore della porta di cabina: con il disassamento va montata spostata sull'anta della porta di piano (da concordare con il fornitore delle porte)</t>
        </is>
      </c>
      <c r="D73" s="10" t="inlineStr">
        <is>
          <t>la luce netta della porta di piano sporge al massimo 50 mm per lato oltre quella della porta di cabina: con la stessa luce, disassamento ≤ 50 mm (oltre: «Non conforme»); lo stesso spostamento a tutti i piani, per ciascun accesso, con il vano nel muro, il portale, gli imbotti, la soglia sulle staffe e la bottoniera della porta di piano; il passaggio libero è la parte comune delle due luci (luce − disassamento), ed è quello verificato per l'accessibilità (DM 236/1989)</t>
        </is>
      </c>
      <c r="E73" s="10" t="inlineStr">
        <is>
          <t>UNI EN 81-20:2020, 5.3.2.2</t>
        </is>
      </c>
      <c r="F73" s="10" t="inlineStr">
        <is>
          <t>UNI EN 81-20:2020, testo della norma, letto il 2026-10-06, p. 49</t>
        </is>
      </c>
      <c r="G73" s="10" t="inlineStr">
        <is>
          <t>confermato</t>
        </is>
      </c>
      <c r="H73" s="10" t="inlineStr">
        <is>
          <t>disassamento della porta di piano A; disassamento della porta di piano B</t>
        </is>
      </c>
      <c r="I73" s="11" t="n"/>
      <c r="J73" s="11" t="n"/>
      <c r="K73" s="11" t="n"/>
      <c r="L73" s="11" t="n"/>
      <c r="M73" s="11" t="n"/>
      <c r="N73" s="11" t="n"/>
    </row>
    <row r="74" ht="108" customHeight="1">
      <c r="A74" s="10" t="n">
        <v>72</v>
      </c>
      <c r="B74" s="10" t="inlineStr">
        <is>
          <t>Vano: porte</t>
        </is>
      </c>
      <c r="C74" s="10" t="inlineStr">
        <is>
          <t>Bottoniera di piano</t>
        </is>
      </c>
      <c r="D74" s="10" t="inlineStr">
        <is>
          <t>accanto a ogni porta di piano, sul pianerottolo: per default a destra guardando la porta, il centro della pulsantiera a 150 mm dal vano della porta e il centro del pulsante più alto a 1100 mm dal pavimento; pulsantiera di 120 × 300 mm, sporgente 15 mm dal muro; lato, distanza e altezza modificabili su ogni progetto</t>
        </is>
      </c>
      <c r="E74" s="10" t="inlineStr">
        <is>
          <t>DM 236/1989, 8.1.12 (pulsanti più alti tra 1,10 e 1,40 m); UNI EN 81-70:2005, prospetto 2 (sul pianerottolo il pulsante più alto a non oltre 1,10 m, ogni pulsante ad almeno 0,90 m e ad almeno 0,50 m da un angolo fra pareti: da verificare in sito)</t>
        </is>
      </c>
      <c r="F74" s="10" t="inlineStr">
        <is>
          <t>scelta del software</t>
        </is>
      </c>
      <c r="G74" s="10" t="inlineStr">
        <is>
          <t>scelta del software</t>
        </is>
      </c>
      <c r="H74" s="10" t="inlineStr">
        <is>
          <t>—</t>
        </is>
      </c>
      <c r="I74" s="11" t="n"/>
      <c r="J74" s="11" t="n"/>
      <c r="K74" s="11" t="n"/>
      <c r="L74" s="11" t="n"/>
      <c r="M74" s="11" t="n"/>
      <c r="N74" s="11" t="n"/>
    </row>
    <row r="75" ht="186" customHeight="1">
      <c r="A75" s="10" t="n">
        <v>73</v>
      </c>
      <c r="B75" s="10" t="inlineStr">
        <is>
          <t>Vano: porte</t>
        </is>
      </c>
      <c r="C75" s="10" t="inlineStr">
        <is>
          <t>Imbotti della porta di piano (sostituzione con una luce più piccola) — Montanti e pannelli accanto alla porta più larghi di 150 mm che chiudono l'apertura vanno con la prova del pendolo della porta (UNI EN 81-20:2020, 5.3.5.3.4): la copre il fornitore.</t>
        </is>
      </c>
      <c r="D75" s="10" t="inlineStr">
        <is>
          <t>quando la porta nuova ha una luce più piccola del vano esistente tra i marmi, gli imbotti laterali (a sinistra e a destra guardando la porta dal pianerottolo) e quello superiore coprono la differenza: distanza tra i marmi = imbotto sinistro + luce + 2 × 50 mm di portale + imbotto destro; altezza sotto il marmo superiore = altezza della luce + 60 mm di architrave del portale + imbotto superiore (con il telaio proprio della porta, i suoi montanti e il suo frontalino al posto del portale); gli stessi imbotti per tutte le porte di piano, in lamiera sul filo del muro verso il pianerottolo, disegnati in pianta, in sezione e nel 3D</t>
        </is>
      </c>
      <c r="E75" s="10" t="inlineStr">
        <is>
          <t>dato del fornitore delle porte (imbotti su misura)</t>
        </is>
      </c>
      <c r="F75" s="10" t="inlineStr">
        <is>
          <t>scelta del software</t>
        </is>
      </c>
      <c r="G75" s="10" t="inlineStr">
        <is>
          <t>scelta del software</t>
        </is>
      </c>
      <c r="H75" s="10" t="inlineStr">
        <is>
          <t>—</t>
        </is>
      </c>
      <c r="I75" s="11" t="n"/>
      <c r="J75" s="11" t="n"/>
      <c r="K75" s="11" t="n"/>
      <c r="L75" s="11" t="n"/>
      <c r="M75" s="11" t="n"/>
      <c r="N75" s="11" t="n"/>
    </row>
    <row r="76" ht="316" customHeight="1">
      <c r="A76" s="10" t="n">
        <v>74</v>
      </c>
      <c r="B76" s="10" t="inlineStr">
        <is>
          <t>Vano: porte</t>
        </is>
      </c>
      <c r="C76" s="10" t="inlineStr">
        <is>
          <t>Telaio proprio delle porte di piano</t>
        </is>
      </c>
      <c r="D76" s="10" t="inlineStr">
        <is>
          <t>a scelta del progettista, al posto del portale (2 × 50 mm, architrave 60 mm): il telaio della porta, uguale a tutti i piani, per default il telaio standard con montanti da 120 mm a tutta altezza, frontalino da 220 mm sopra la luce tra i montanti e spessore 50 mm; montanti, frontalino e spessore modificabili su ogni progetto, montanti e frontalino da 25 mm (telai su misura). Il telaio sta tutto nel vano di corsa, contro la parete e sulla soglia: soglia e sospensione della porta sono fissate al telaio e le coppie Panev (sotto la soglia e sopra la sospensione) lo tengono alla parete; il vano nel muro è il suo ingombro esterno (luce + 2 montanti, altezza della luce + frontalino), gli imbotti stanno sul pavimento del pianerottolo. Lo spessore del telaio è dentro la profondità della porta di piano: le ante scorrono dietro il telaio, il binario più vicino alla parete (68 mm prima del bordo della soglia nelle porte telescopiche, 30 mm nelle centrali) almeno a filo del telaio, altrimenti «Attenzione» (si aumenta la profondità della porta di piano). Disegnato in pianta, in sezione e nel 3D; la bottoniera si misura dal bordo del vano nel muro</t>
        </is>
      </c>
      <c r="E76" s="10" t="inlineStr">
        <is>
          <t>dato del fornitore delle porte</t>
        </is>
      </c>
      <c r="F76" s="10" t="inlineStr">
        <is>
          <t>2SG, pagina del telaio standard (montanti 120, frontalino 220, spessore 50; lamiera autoportante 1/1,2 mm; montaggio sul pavimento finito, staffe e tasselli per il muro) e disegno del telaio (larghezza luce + 240) letti il 2 ottobre 2026; telai di dimensioni speciali con montanti e frontalino da 25 mm (research/argano-geared/14-porte-e-soglie.md, 18-porte-limitatori-tenditori-tutti.md). Il telaio nel vano di corsa con soglia e sospensione fissate, tenuto dalle coppie Panev, il vano nel muro della misura del telaio, lo spessore dentro la profondità della porta e gli imbotti sul pavimento del pianerottolo: indicazione del cliente (4 ottobre 2026)</t>
        </is>
      </c>
      <c r="G76" s="10" t="inlineStr">
        <is>
          <t>scelta del software</t>
        </is>
      </c>
      <c r="H76" s="10" t="inlineStr">
        <is>
          <t>le ante della porta di piano dietro il suo telaio</t>
        </is>
      </c>
      <c r="I76" s="11" t="n"/>
      <c r="J76" s="11" t="n"/>
      <c r="K76" s="11" t="n"/>
      <c r="L76" s="11" t="n"/>
      <c r="M76" s="11" t="n"/>
      <c r="N76" s="11" t="n"/>
    </row>
    <row r="77" ht="199" customHeight="1">
      <c r="A77" s="10" t="n">
        <v>75</v>
      </c>
      <c r="B77" s="10" t="inlineStr">
        <is>
          <t>Vano: ingombri tipici</t>
        </is>
      </c>
      <c r="C77" s="10" t="inlineStr">
        <is>
          <t>Ingombri tipici nel vano (modificabili su ogni progetto) — pacchetto porta di catalogo (porta di cabina + gioco tra le soglie + porta di piano), da wittur.com: Hydra 210 mm a 2 ante telescopiche e 180 mm a 2 ante centrali, Hydra 3000 180 e 130, Augusta EVO 190 e 110, Sematic 2000 C-MOD 185 e 117, Fineline 115 e 85; Sematic 2000 B 255 e 165 (cabina 90 e 45, gioco 30, piano 135 e 90, da una copia della brochure). Con le porte scelte, i tre ingombri vanno portati alla somma del fornitore (oggi 80 + 30 + 80 = 190 mm)</t>
        </is>
      </c>
      <c r="D77" s="10" t="inlineStr">
        <is>
          <t>profondità della porta di piano 80 mm; gioco tra le soglie 30 mm; porta di cabina 80 mm; pareti della cabina 35 mm; guide e staffe della cabina 165 mm per lato; cabina–contrappeso 60 mm; spessore del contrappeso 140 mm; guide e staffe del contrappeso 80 mm; cabina–parete di fondo 60 mm; punta della guida–cabina 30 mm; contrappeso laterale–piede della guida di cabina 85 mm</t>
        </is>
      </c>
      <c r="E77" s="10" t="inlineStr">
        <is>
          <t>dati del costruttore di guide, porte e cabina</t>
        </is>
      </c>
      <c r="F77" s="10" t="inlineStr">
        <is>
          <t>valori tipici: scelta del software</t>
        </is>
      </c>
      <c r="G77" s="10" t="inlineStr">
        <is>
          <t>scelta del software</t>
        </is>
      </c>
      <c r="H77" s="10" t="inlineStr">
        <is>
          <t>la cabina entra nel vano</t>
        </is>
      </c>
      <c r="I77" s="11" t="n"/>
      <c r="J77" s="11" t="n"/>
      <c r="K77" s="11" t="n"/>
      <c r="L77" s="11" t="n"/>
      <c r="M77" s="11" t="n"/>
      <c r="N77" s="11" t="n"/>
    </row>
    <row r="78" ht="108" customHeight="1">
      <c r="A78" s="10" t="n">
        <v>76</v>
      </c>
      <c r="B78" s="10" t="inlineStr">
        <is>
          <t>Vano: ingombri tipici</t>
        </is>
      </c>
      <c r="C78" s="10" t="inlineStr">
        <is>
          <t>Contrappeso laterale</t>
        </is>
      </c>
      <c r="D78" s="10" t="inlineStr">
        <is>
          <t>tra la parete e la guida della cabina, centrato sull'asse delle guide di cabina, con le sue guide alle estremità (pattini 20 mm) e la guida di cabina su una staffa a ponte; a 40 mm dalle zone delle porte; lunghezza in pianta da 400 a 900 mm (sotto 400 mm: «Attenzione»); con il contrappeso sul fondo, al massimo la larghezza tra le guide della cabina</t>
        </is>
      </c>
      <c r="E78" s="10" t="inlineStr">
        <is>
          <t>—</t>
        </is>
      </c>
      <c r="F78" s="10" t="inlineStr">
        <is>
          <t>scelta del software</t>
        </is>
      </c>
      <c r="G78" s="10" t="inlineStr">
        <is>
          <t>scelta del software</t>
        </is>
      </c>
      <c r="H78" s="10" t="inlineStr">
        <is>
          <t>lunghezza del contrappeso</t>
        </is>
      </c>
      <c r="I78" s="11" t="n"/>
      <c r="J78" s="11" t="n"/>
      <c r="K78" s="11" t="n"/>
      <c r="L78" s="11" t="n"/>
      <c r="M78" s="11" t="n"/>
      <c r="N78" s="11" t="n"/>
    </row>
    <row r="79" ht="147" customHeight="1">
      <c r="A79" s="10" t="n">
        <v>77</v>
      </c>
      <c r="B79" s="10" t="inlineStr">
        <is>
          <t>Vano: ingombri tipici</t>
        </is>
      </c>
      <c r="C79" s="10" t="inlineStr">
        <is>
          <t>Arcata a zaino (due accessi adiacenti a 90°)</t>
        </is>
      </c>
      <c r="D79" s="10" t="inlineStr">
        <is>
          <t>entrambe le guide di cabina sulla parete opposta all'accesso laterale, con le lame affacciate lungo la parete (il momento della cabina a sbalzo va sulle facce delle lame); piedi delle guide a 20 mm dentro la profondità della piattaforma; contrappeso tra le guide, contro la parete, con le sue guide alle estremità e i piedi a 70 mm da quelli delle guide di cabina (staffe); la cabina a 10 mm dalle bride che tengono i piedi delle guide sulle staffe (bride forgiate della misura della guida, con la piastra oltre il piede)</t>
        </is>
      </c>
      <c r="E79" s="10" t="inlineStr">
        <is>
          <t>—</t>
        </is>
      </c>
      <c r="F79" s="10" t="inlineStr">
        <is>
          <t>scelta del software (principio: cataloghi di arcate a zaino); disposizione da confermare con il fornitore dell'arcata</t>
        </is>
      </c>
      <c r="G79" s="10" t="inlineStr">
        <is>
          <t>scelta del software</t>
        </is>
      </c>
      <c r="H79" s="10" t="inlineStr">
        <is>
          <t>—</t>
        </is>
      </c>
      <c r="I79" s="11" t="n"/>
      <c r="J79" s="11" t="n"/>
      <c r="K79" s="11" t="n"/>
      <c r="L79" s="11" t="n"/>
      <c r="M79" s="11" t="n"/>
      <c r="N79" s="11" t="n"/>
    </row>
    <row r="80" ht="212" customHeight="1">
      <c r="A80" s="10" t="n">
        <v>78</v>
      </c>
      <c r="B80" s="10" t="inlineStr">
        <is>
          <t>Vano: ingombri tipici</t>
        </is>
      </c>
      <c r="C80" s="10" t="inlineStr">
        <is>
          <t>Nicchie nelle pareti del vano</t>
        </is>
      </c>
      <c r="D80" s="10" t="inlineStr">
        <is>
          <t>contrappeso in nicchia: il contrappeso con le sue guide sta nella nicchia della parete su cui corre, con almeno 20 mm tra le guide e i fianchi della nicchia (con le staffe Panev, lo spazio della piastra del supporto dietro il piede di ogni guida); la distanza dalla parete si misura dal fondo della nicchia e la cabina guadagna la sua profondità, senza scendere sotto gli ingombri delle guide; luce del vano in nicchia: una nicchia alta 400 mm per lampada, le lampade 1500 mm sopra ogni piano e l'ultima a 80 mm sotto la soletta; canalina in nicchia: dal fondo della fossa alla soletta; ogni nicchia dentro la sua parete, fuori dai telai delle porte di piano e dalle altre nicchie, con almeno 50 mm di muro dietro; altrimenti «Non conforme»</t>
        </is>
      </c>
      <c r="E80" s="10" t="inlineStr">
        <is>
          <t>—</t>
        </is>
      </c>
      <c r="F80" s="10" t="inlineStr">
        <is>
          <t>scelta del software; la resistenza della parete con la nicchia va verificata dal progettista</t>
        </is>
      </c>
      <c r="G80" s="10" t="inlineStr">
        <is>
          <t>scelta del software</t>
        </is>
      </c>
      <c r="H80" s="10" t="inlineStr">
        <is>
          <t>nicchie nelle pareti</t>
        </is>
      </c>
      <c r="I80" s="11" t="n"/>
      <c r="J80" s="11" t="n"/>
      <c r="K80" s="11" t="n"/>
      <c r="L80" s="11" t="n"/>
      <c r="M80" s="11" t="n"/>
      <c r="N80" s="11" t="n"/>
    </row>
    <row r="81" ht="329" customHeight="1">
      <c r="A81" s="10" t="n">
        <v>79</v>
      </c>
      <c r="B81" s="10" t="inlineStr">
        <is>
          <t>Vano: ingombri tipici</t>
        </is>
      </c>
      <c r="C81" s="10" t="inlineStr">
        <is>
          <t>Staffe delle guide del contrappeso (catalogo Panev)</t>
        </is>
      </c>
      <c r="D81" s="10" t="inlineStr">
        <is>
          <t>per default il supporto Panev SU o SD con la guida SG, la guida serrata sulla flangia della SG da due bride N1: il supporto più corto il cui campo stampato prende la distanza della guida dalla parete (o dal fondo della nicchia) e la cui piastra sta sulla parete: SU, SD 150 e SD 220 lunghi 160 mm da 45 a 155 mm (SD 220 da 50), lunghi 180 mm da 45 a 195 mm, lunghi 200 mm da 45 a 215 mm; quando nessuno sta, vicino a un angolo, il supporto scorrevole SC sulla parete dietro il piede della guida con la SG lungo la parete: la flangia della SG da 2 mm oltre il bordo dell'SC fino a 70, 88, 130 e 140 mm dalla parete per SC 50, 60, 80 e 90, l'asse della guida entro il campo stampato da un'estremità dell'SC (lunghi 200 mm: 210, 213, 215 e 215 mm; lunghi 220 mm: 235, 235, 255 e 235 mm), fuori dai telai delle porte e dalle nicchie. Il progettista può scegliere l'articolo a mano (se non prende la guida: «Non conforme») o una soluzione su disegno esecutivo, SC 50 170 + SG 225 50 a misura o SN 60 65 + SN 65 200 + BRACCIO 160 190 all'angolo del vano: «Da verificare» sul disegno; nessuno adatto: «Non conforme» (si possono scegliere staffe generiche, da dimensionare a parte)</t>
        </is>
      </c>
      <c r="E81" s="10" t="inlineStr">
        <is>
          <t>catalogo staffe Panev 2026, pp. 20-62</t>
        </is>
      </c>
      <c r="F81" s="10" t="inlineStr">
        <is>
          <t>catalogo del costruttore (panev/docs/catalogo-staffe-panev-2026.pdf); le corse dell'SC lontano dalla parete lette sui disegni di montaggio (pp. 41-55)</t>
        </is>
      </c>
      <c r="G81" s="10" t="inlineStr">
        <is>
          <t>confermato</t>
        </is>
      </c>
      <c r="H81" s="10" t="inlineStr">
        <is>
          <t>staffe del catalogo per le guide del contrappeso</t>
        </is>
      </c>
      <c r="I81" s="11" t="n"/>
      <c r="J81" s="11" t="n"/>
      <c r="K81" s="11" t="n"/>
      <c r="L81" s="11" t="n"/>
      <c r="M81" s="11" t="n"/>
      <c r="N81" s="11" t="n"/>
    </row>
    <row r="82" ht="407" customHeight="1">
      <c r="A82" s="10" t="n">
        <v>80</v>
      </c>
      <c r="B82" s="10" t="inlineStr">
        <is>
          <t>Vano: ingombri tipici</t>
        </is>
      </c>
      <c r="C82" s="10" t="inlineStr">
        <is>
          <t>Staffe delle porte di piano (catalogo Panev)</t>
        </is>
      </c>
      <c r="D82" s="10" t="inlineStr">
        <is>
          <t>sotto ogni soglia di piano la coppia A + B della stessa sezione (65, 45 o 37 mm: le serie non sono intercambiabili): per default A 65 170 7 + B 65 320 (5 mm, regolazione ±8°), oppure quella scelta dal progettista; la piastra A tagliata alla profondità della soglia, 4 mm prima del suo bordo (se la piastra è più corta della soglia: da verificare); una coppia ogni 400 mm della luce, almeno tre, le estreme a 10 mm dai bordi della luce. Sopra ogni porta di piano la stessa coppia capovolta: B sulla parete sopra il vano con lo snodo in basso, la sospensione della porta appesa sotto la piattaforma di A con bulloni nei suoi fori, A tagliata come sotto la soglia; una coppia ogni 400 mm lungo la sospensione (la corsa delle ante e 30 mm per parte), almeno tre, le estreme a 10 mm dalle sue estremità; se le coppie della soglia del piano sopra arrivano alla stessa altezza, quella che cadrebbe su una di esse si sposta accanto (la faccia di B e 10 mm), dentro la sospensione. Con il telaio proprio della porta le coppie tengono il telaio, a cui sono fissate soglia e sospensione (porte.telaio). B vuole il muro dalla sommità della sospensione (230 mm sopra la luce) in su: se il vano nel muro (telaio o marmi) sale più in alto, o la coppia arriva alla soglia del piano sopra, a quel piano le coppie sopra la porta non sono poste né contate, e la verifica lo segnala come «Attenzione» (il fissaggio della sospensione va definito con il costruttore della porta)</t>
        </is>
      </c>
      <c r="E82" s="10" t="inlineStr">
        <is>
          <t>catalogo staffe Panev 2026, pp. 14-18 (coppie), p. 05 (taglio della piastra) e p. 04 (soglia o elemento portante della porta di piano)</t>
        </is>
      </c>
      <c r="F82" s="10" t="inlineStr">
        <is>
          <t>catalogo del costruttore (panev/docs/catalogo-staffe-panev-2026.pdf); il passo, il numero minimo, il montaggio capovolto sopra la porta e lo spostamento sono scelta del software (il montaggio sopra la porta va confermato con il costruttore della porta)</t>
        </is>
      </c>
      <c r="G82" s="10" t="inlineStr">
        <is>
          <t>scelta del software</t>
        </is>
      </c>
      <c r="H82" s="10" t="inlineStr">
        <is>
          <t>staffe Panev sopra le porte di piano: muro tra il vano della porta e la soglia del piano sopra</t>
        </is>
      </c>
      <c r="I82" s="11" t="n"/>
      <c r="J82" s="11" t="n"/>
      <c r="K82" s="11" t="n"/>
      <c r="L82" s="11" t="n"/>
      <c r="M82" s="11" t="n"/>
      <c r="N82" s="11" t="n"/>
    </row>
    <row r="83" ht="355" customHeight="1">
      <c r="A83" s="10" t="n">
        <v>81</v>
      </c>
      <c r="B83" s="10" t="inlineStr">
        <is>
          <t>Vano: ingombri tipici</t>
        </is>
      </c>
      <c r="C83" s="10" t="inlineStr">
        <is>
          <t>Limitatore di velocità e tenditore (pianta, locale macchina, 3D) — il disegno unico delle LK200–LK315 dà due altezze non spiegate (230 e 415 mm; un rivenditore scrive 370): è presa la maggiore. Per Bode la velocità nominale massima è nostra: la velocità di scatto massima diviso 1,15 (scatto ≥ 115 % della nominale), del GB 8 con 1,49 m/s del disegno invece dei 2,04 della brochure. Per le RQ-A e le RC Montanari 0,15–3,0 e 1,60–4,2 m/s sono i campi della famiglia: il limite di ogni taglia va letto sul manuale. Delle basi pubblicate non sempre è detto quale lato stia nel piano della puleggia (il lato lungo è disegnato in quel piano, come nel LK200). Tenditore a leva: lungo 700 mm (quota «A» del PFB R4KE per LK200 in un listino di rivenditore, senza definizione), puleggia a 255 mm dalla cerniera e blocco di 150 × 185 mm: scelte del software; le masse di 22 e 44 kg sono quelle delle tabelle PFB (tenditori R4K e R4R per LK200, confermate dalla brochure)</t>
        </is>
      </c>
      <c r="D83" s="10" t="inlineStr">
        <is>
          <t>per velocità il più piccolo PFB che la regge: LK200 (Ø 200, fune 6) fino a 1,48 m/s, LK250 fino a 1,74, LK300 fino a 2,93, R12BF fino a 4,00; oppure il modello scelto se regge la velocità: PFB (LX, LK, R1, R3LR, R5, R6, R10BF), Bode (GB 7 fino a 2,98 m/s, GB 8 fino a 1,29), Dynatech (VEGA 200 fino a 2,40), Wittur (OL20 fino a 1,75, OL35 fino a 3,00, EOS fino a 2,50, OL100 fino a 10,00) o Montanari (RQ-A 200, 250 e 300, RC 200 e 300, NOR fino a 1,50 m/s, RG 200 fino a 0,30). Con le quote dei disegni dei costruttori (altezza totale, tra parentesi l'asse dalla base): LK200, LK250, LK300 e LK315 415 (165) su base 220 × 165 (LK315 220 × 130); LX120 178 (70,5), LK120 270 (71), LX150 274 (86), LX180 322 (107), LX200 349 (110); R1 344 (190,5) su base 285 × 80; R3LR 348 (157); R5 261 (120); R6 335 (168); R10BF 488 (303) su base 460 × 196; R12BF 524 (337) su base 520 × 116; Bode GB 7 360 (205) e GB 8 315 (205); Dynatech VEGA 200 332 (199,5); Wittur e Montanari nelle proporzioni del software (Ø 200: alto 370, asse a 240). Tenditore in fossa sulla guida di cabina: a leva con 22 kg (come PFB R4K) o verticale con 44 kg (come PFB R4R)</t>
        </is>
      </c>
      <c r="E83" s="10" t="inlineStr">
        <is>
          <t>dati del fornitore del limitatore; dalla norma solo lo scatto ≥ 115 % della velocità nominale (UNI EN 81-20:2020, 5.6.2.2.1.1 a))</t>
        </is>
      </c>
      <c r="F83" s="10" t="inlineStr">
        <is>
          <t>manuali d'uso PFB con i disegni quotati (download.pfb.it), brochure Bode e Wittur, manuale Dynatech VEGA e disegni Bode in copia presso un rivenditore (elevatorequipment.co.uk), letti il 2 ottobre 2026; basi delle LK da un listino di rivenditore; Montanari da estratti di ricerca del 1° ottobre 2026 (research/argano-geared/18-porte-limitatori-tenditori-tutti.md)</t>
        </is>
      </c>
      <c r="G83" s="10" t="inlineStr">
        <is>
          <t>stima</t>
        </is>
      </c>
      <c r="H83" s="10" t="inlineStr">
        <is>
          <t>—</t>
        </is>
      </c>
      <c r="I83" s="11" t="n"/>
      <c r="J83" s="11" t="n"/>
      <c r="K83" s="11" t="n"/>
      <c r="L83" s="11" t="n"/>
      <c r="M83" s="11" t="n"/>
      <c r="N83" s="11" t="n"/>
    </row>
    <row r="84" ht="82" customHeight="1">
      <c r="A84" s="10" t="n">
        <v>82</v>
      </c>
      <c r="B84" s="10" t="inlineStr">
        <is>
          <t>Vano: sezione, spazi di rifugio e ammortizzatori</t>
        </is>
      </c>
      <c r="C84" s="10" t="inlineStr">
        <is>
          <t>Spazi di rifugio sul tetto di cabina e in fossa</t>
        </is>
      </c>
      <c r="D84" s="10" t="inlineStr">
        <is>
          <t>tipo 1 (in piedi) 400 × 500 mm in pianta, alto 2000 mm; tipo 2 (accucciato) 500 × 700 mm, alto 1000 mm; tipo 3 (disteso, solo in fossa) 700 × 1000 mm, alto 500 mm; in testata con la cabina nella posizione più alta, in fossa con la cabina sugli ammortizzatori compressi</t>
        </is>
      </c>
      <c r="E84" s="10" t="inlineStr">
        <is>
          <t>UNI EN 81-20:2020, 5.2.5.7.1 (Prospetto 3) e 5.2.5.8.1 (Prospetto 4)</t>
        </is>
      </c>
      <c r="F84" s="10" t="inlineStr">
        <is>
          <t>UNI EN 81-20:2020, testo della norma, letto il 2026-10-06, pp. 37–40</t>
        </is>
      </c>
      <c r="G84" s="10" t="inlineStr">
        <is>
          <t>confermato</t>
        </is>
      </c>
      <c r="H84" s="10" t="inlineStr">
        <is>
          <t>spazio di rifugio in testata; spazio di rifugio in fossa</t>
        </is>
      </c>
      <c r="I84" s="11" t="n"/>
      <c r="J84" s="11" t="n"/>
      <c r="K84" s="11" t="n"/>
      <c r="L84" s="11" t="n"/>
      <c r="M84" s="11" t="n"/>
      <c r="N84" s="11" t="n"/>
    </row>
    <row r="85" ht="95" customHeight="1">
      <c r="A85" s="10" t="n">
        <v>83</v>
      </c>
      <c r="B85" s="10" t="inlineStr">
        <is>
          <t>Vano: sezione, spazi di rifugio e ammortizzatori</t>
        </is>
      </c>
      <c r="C85" s="10" t="inlineStr">
        <is>
          <t>Posizione più alta della cabina — vale per gli ascensori a frizione; le riduzioni di 5.2.5.6.1.2 (rallentamento controllato) e 5.2.5.6.1.3 (puleggia tenditrice con antirimbalzo) non sono usate: la verifica è più severa</t>
        </is>
      </c>
      <c r="D85" s="10" t="inlineStr">
        <is>
          <t>contrappeso sugli ammortizzatori completamente compressi, più il salto 0,035·v² m (v velocità nominale)</t>
        </is>
      </c>
      <c r="E85" s="10" t="inlineStr">
        <is>
          <t>UNI EN 81-20:2020, 5.2.5.6.1.1 (Prospetto 2)</t>
        </is>
      </c>
      <c r="F85" s="10" t="inlineStr">
        <is>
          <t>UNI EN 81-20:2020, testo della norma, letto il 2026-10-06, p. 36</t>
        </is>
      </c>
      <c r="G85" s="10" t="inlineStr">
        <is>
          <t>confermato</t>
        </is>
      </c>
      <c r="H85" s="10" t="inlineStr">
        <is>
          <t>spazio di rifugio in testata; distanze libere dal soffitto</t>
        </is>
      </c>
      <c r="I85" s="11" t="n"/>
      <c r="J85" s="11" t="n"/>
      <c r="K85" s="11" t="n"/>
      <c r="L85" s="11" t="n"/>
      <c r="M85" s="11" t="n"/>
      <c r="N85" s="11" t="n"/>
    </row>
    <row r="86" ht="147" customHeight="1">
      <c r="A86" s="10" t="n">
        <v>84</v>
      </c>
      <c r="B86" s="10" t="inlineStr">
        <is>
          <t>Vano: sezione, spazi di rifugio e ammortizzatori</t>
        </is>
      </c>
      <c r="C86" s="10" t="inlineStr">
        <is>
          <t>Distanze libere dal soffitto con la cabina nella posizione più alta — I valori 500, 100 e 300 mm sono confermati. Il software dà alla traversa dell'arcata i 100 mm di b) e avvisa sotto i 500 mm di a) (voce spazi.testata.traversa). Con il soffitto piano, 300 mm sopra il corrimano danno anche i 500 mm in obliquo oltre i 400 mm (c) 2)); sotto pulegge o travi appese no.</t>
        </is>
      </c>
      <c r="D86" s="10" t="inlineStr">
        <is>
          <t>≥ 500 mm sopra le apparecchiature sul tetto di cabina (operatore); ≥ 100 mm sopra pattini, attacchi delle funi e traversa dell'arcata; ≥ 300 mm sopra il corrimano della balaustra</t>
        </is>
      </c>
      <c r="E86" s="10" t="inlineStr">
        <is>
          <t>UNI EN 81-20:2020, 5.2.5.7.2 a)–c)</t>
        </is>
      </c>
      <c r="F86" s="10" t="inlineStr">
        <is>
          <t>UNI EN 81-20:2020, testo della norma, letto il 2026-10-06, p. 38</t>
        </is>
      </c>
      <c r="G86" s="10" t="inlineStr">
        <is>
          <t>da verificare</t>
        </is>
      </c>
      <c r="H86" s="10" t="inlineStr">
        <is>
          <t>distanze libere dal soffitto</t>
        </is>
      </c>
      <c r="I86" s="11" t="n"/>
      <c r="J86" s="11" t="n"/>
      <c r="K86" s="11" t="n"/>
      <c r="L86" s="11" t="n"/>
      <c r="M86" s="11" t="n"/>
      <c r="N86" s="11" t="n"/>
    </row>
    <row r="87" ht="82" customHeight="1">
      <c r="A87" s="10" t="n">
        <v>85</v>
      </c>
      <c r="B87" s="10" t="inlineStr">
        <is>
          <t>Vano: sezione, spazi di rifugio e ammortizzatori</t>
        </is>
      </c>
      <c r="C87" s="10" t="inlineStr">
        <is>
          <t>Traversa dell'arcata sotto il soffitto — La b) nomina la traversa delle porte e le parti delle porte a scorrimento verticale; quella dell'arcata non è nominata. Da concordare con l'organismo.</t>
        </is>
      </c>
      <c r="D87" s="10" t="inlineStr">
        <is>
          <t>≥ 100 mm come parte di b); sotto 500 mm «Attenzione»: se l'organismo la considera un'apparecchiatura vale a) (500 mm)</t>
        </is>
      </c>
      <c r="E87" s="10" t="inlineStr">
        <is>
          <t>UNI EN 81-20:2020, 5.2.5.7.2 a)–b); UNI EN 81-1:2008, 5.7.1.1 c)</t>
        </is>
      </c>
      <c r="F87" s="10" t="inlineStr">
        <is>
          <t>UNI EN 81-20:2020, testo della norma, letto il 2026-10-06, p. 38; UNI EN 81-1:2008, testo della norma, letto il 2026-10-06, p. 26</t>
        </is>
      </c>
      <c r="G87" s="10" t="inlineStr">
        <is>
          <t>da verificare</t>
        </is>
      </c>
      <c r="H87" s="10" t="inlineStr">
        <is>
          <t>traversa dell'arcata sotto il soffitto</t>
        </is>
      </c>
      <c r="I87" s="11" t="n"/>
      <c r="J87" s="11" t="n"/>
      <c r="K87" s="11" t="n"/>
      <c r="L87" s="11" t="n"/>
      <c r="M87" s="11" t="n"/>
      <c r="N87" s="11" t="n"/>
    </row>
    <row r="88" ht="108" customHeight="1">
      <c r="A88" s="10" t="n">
        <v>86</v>
      </c>
      <c r="B88" s="10" t="inlineStr">
        <is>
          <t>Vano: sezione, spazi di rifugio e ammortizzatori</t>
        </is>
      </c>
      <c r="C88" s="10" t="inlineStr">
        <is>
          <t>Parte più alta della cabina sotto ciò che pende sopra — fino alla versione 1.17.0 del motore del progetto la puleggia di cabina era verificata a 100 mm; i 100 mm della traversa sono la stessa lettura di spazi.testata.parti</t>
        </is>
      </c>
      <c r="D88" s="10" t="inlineStr">
        <is>
          <t>con la cabina nella posizione più alta: a 2:1 la puleggia di cabina (Dp + 30 mm sopra la traversa) è un'apparecchiatura sul tetto, distanza libera ≥ 500 mm dal soffitto o dalle pulegge appese; a 1:1 con la macchina in basso la traversa sotto le pulegge appese alla soletta (asse a Dp/2 + 120 mm sotto il soffitto), distanza libera ≥ 100 mm, quella della traversa</t>
        </is>
      </c>
      <c r="E88" s="10" t="inlineStr">
        <is>
          <t>UNI EN 81-20:2020, 5.2.5.7.2 a) e b)</t>
        </is>
      </c>
      <c r="F88" s="10" t="inlineStr">
        <is>
          <t>UNI EN 81-20:2020, testo della norma, letto il 2026-10-06, p. 38</t>
        </is>
      </c>
      <c r="G88" s="10" t="inlineStr">
        <is>
          <t>confermato</t>
        </is>
      </c>
      <c r="H88" s="10" t="inlineStr">
        <is>
          <t>parte più alta della cabina sotto ciò che pende sopra</t>
        </is>
      </c>
      <c r="I88" s="11" t="n"/>
      <c r="J88" s="11" t="n"/>
      <c r="K88" s="11" t="n"/>
      <c r="L88" s="11" t="n"/>
      <c r="M88" s="11" t="n"/>
      <c r="N88" s="11" t="n"/>
    </row>
    <row r="89" ht="134" customHeight="1">
      <c r="A89" s="10" t="n">
        <v>87</v>
      </c>
      <c r="B89" s="10" t="inlineStr">
        <is>
          <t>Vano: sezione, spazi di rifugio e ammortizzatori</t>
        </is>
      </c>
      <c r="C89" s="10" t="inlineStr">
        <is>
          <t>Ammortizzatori e spazio di rifugio in fossa, in pianta</t>
        </is>
      </c>
      <c r="D89" s="10" t="inlineStr">
        <is>
          <t>lo spazio di rifugio in fossa resta libero dagli ammortizzatori di cabina: il software lo mette sotto il centro della cabina o, se un piatto vi entra, nel posto libero più vicino sotto l'interno della cabina; due o più ammortizzatori di cabina a 160 mm dai fianchi della piattaforma, più in fuori finché i piatti escono dalla pianta del rifugio, sempre sotto la piattaforma; la verifica vale anche per quelli messi dal software (margine ≥ 0)</t>
        </is>
      </c>
      <c r="E89" s="10" t="inlineStr">
        <is>
          <t>UNI EN 81-20:2020, 5.2.5.8.1</t>
        </is>
      </c>
      <c r="F89" s="10" t="inlineStr">
        <is>
          <t>scelta del software sul modello della fossa (posizioni tipiche, da confermare con i dati del fornitore degli ammortizzatori)</t>
        </is>
      </c>
      <c r="G89" s="10" t="inlineStr">
        <is>
          <t>scelta del software</t>
        </is>
      </c>
      <c r="H89" s="10" t="inlineStr">
        <is>
          <t>ammortizzatori fissati a mano: sotto cabina e contrappeso, fuori dal rifugio</t>
        </is>
      </c>
      <c r="I89" s="11" t="n"/>
      <c r="J89" s="11" t="n"/>
      <c r="K89" s="11" t="n"/>
      <c r="L89" s="11" t="n"/>
      <c r="M89" s="11" t="n"/>
      <c r="N89" s="11" t="n"/>
    </row>
    <row r="90" ht="82" customHeight="1">
      <c r="A90" s="10" t="n">
        <v>88</v>
      </c>
      <c r="B90" s="10" t="inlineStr">
        <is>
          <t>Vano: sezione, spazi di rifugio e ammortizzatori</t>
        </is>
      </c>
      <c r="C90" s="10" t="inlineStr">
        <is>
          <t>Distanze in fossa con la cabina sugli ammortizzatori compressi</t>
        </is>
      </c>
      <c r="D90" s="10" t="inlineStr">
        <is>
          <t>≥ 500 mm dal pavimento della fossa alle parti più basse della cabina; grembiule sotto la soglia di cabina: tratto verticale ≥ 750 mm, poi uno smusso a ≥ 60° sull'orizzontale con proiezione orizzontale ≥ 20 mm (circa 35 mm più in basso), con ≥ 100 mm liberi dal pavimento della fossa</t>
        </is>
      </c>
      <c r="E90" s="10" t="inlineStr">
        <is>
          <t>UNI EN 81-20:2020, 5.2.5.8.2 a) e 5.4.5.1–5.4.5.2</t>
        </is>
      </c>
      <c r="F90" s="10" t="inlineStr">
        <is>
          <t>UNI EN 81-20:2020, testo della norma, letto il 2026-10-06, pp. 40–41, 69</t>
        </is>
      </c>
      <c r="G90" s="10" t="inlineStr">
        <is>
          <t>confermato</t>
        </is>
      </c>
      <c r="H90" s="10" t="inlineStr">
        <is>
          <t>spazio di rifugio in fossa; grembiule sugli ammortizzatori compressi</t>
        </is>
      </c>
      <c r="I90" s="11" t="n"/>
      <c r="J90" s="11" t="n"/>
      <c r="K90" s="11" t="n"/>
      <c r="L90" s="11" t="n"/>
      <c r="M90" s="11" t="n"/>
      <c r="N90" s="11" t="n"/>
    </row>
    <row r="91" ht="108" customHeight="1">
      <c r="A91" s="10" t="n">
        <v>89</v>
      </c>
      <c r="B91" s="10" t="inlineStr">
        <is>
          <t>Vano: sezione, spazi di rifugio e ammortizzatori</t>
        </is>
      </c>
      <c r="C91" s="10" t="inlineStr">
        <is>
          <t>Balaustra sul tetto di cabina — fino alla versione 2.12.0 del motore del vano il software misurava i 500 mm dal bordo del tetto; la norma vuole la balaustra entro 150 mm dal bordo: se è più interna, la distanza cresce e può servire l'altezza maggiore</t>
        </is>
      </c>
      <c r="D91" s="10" t="inlineStr">
        <is>
          <t>richiesta se dal bordo esterno del tetto alla parete ci sono più di 300 mm; alta 700 mm se dal bordo interno del corrimano alla parete ci sono fino a 500 mm, 1100 mm oltre; il corrimano (30 mm) con la faccia esterna a 100 mm dal bordo del tetto, come nel 3D</t>
        </is>
      </c>
      <c r="E91" s="10" t="inlineStr">
        <is>
          <t>UNI EN 81-20:2020, 5.4.7.2 b) e 5.4.7.4 b)–c)</t>
        </is>
      </c>
      <c r="F91" s="10" t="inlineStr">
        <is>
          <t>UNI EN 81-20:2020, testo della norma, letto il 2026-10-06, pp. 70–72</t>
        </is>
      </c>
      <c r="G91" s="10" t="inlineStr">
        <is>
          <t>confermato</t>
        </is>
      </c>
      <c r="H91" s="10" t="inlineStr">
        <is>
          <t>balaustra sul tetto di cabina</t>
        </is>
      </c>
      <c r="I91" s="11" t="n"/>
      <c r="J91" s="11" t="n"/>
      <c r="K91" s="11" t="n"/>
      <c r="L91" s="11" t="n"/>
      <c r="M91" s="11" t="n"/>
      <c r="N91" s="11" t="n"/>
    </row>
    <row r="92" ht="121" customHeight="1">
      <c r="A92" s="10" t="n">
        <v>90</v>
      </c>
      <c r="B92" s="10" t="inlineStr">
        <is>
          <t>Vano: sezione, spazi di rifugio e ammortizzatori</t>
        </is>
      </c>
      <c r="C92" s="10" t="inlineStr">
        <is>
          <t>Spazio di rifugio e posti in piedi sul tetto di cabina — L'operatore delle porte sul tetto è profondo meno di 250 mm (cataloghi): non è un posto in piedi e conta come apparecchiatura (500 mm, h_clear). La UNI EN 81-1:2008 (8.13.2) chiedeva un'area ≥ 0,12 m² con il lato minore ≥ 0,25 m.</t>
        </is>
      </c>
      <c r="D92" s="10" t="inlineStr">
        <is>
          <t>sul tetto c'è posto per la pianta del rifugio scelto (tipo 1: 400 × 500 mm; tipo 2: 500 × 700 mm), in un verso o nell'altro; ogni area continua ≥ 0,12 m² con il lato minore oltre 250 mm (anche su un apparecchio) è un posto in piedi e sopra di essa serve l'altezza del rifugio (h_refuge per il tetto); l'area disegnata (400 × 300 mm) indica dove stare</t>
        </is>
      </c>
      <c r="E92" s="10" t="inlineStr">
        <is>
          <t>UNI EN 81-20:2020, 5.2.5.7.1 (prospetto 3) e 5.2.5.7.3; UNI EN 81-1:2008, 8.13.2</t>
        </is>
      </c>
      <c r="F92" s="10" t="inlineStr">
        <is>
          <t>UNI EN 81-20:2020, testo della norma, letto il 2026-10-06, pp. 38–39; UNI EN 81-1:2008, testo della norma, letto il 2026-10-06, p. 52</t>
        </is>
      </c>
      <c r="G92" s="10" t="inlineStr">
        <is>
          <t>confermato</t>
        </is>
      </c>
      <c r="H92" s="10" t="inlineStr">
        <is>
          <t>spazio di rifugio sul tetto di cabina; spazio di rifugio in testata</t>
        </is>
      </c>
      <c r="I92" s="11" t="n"/>
      <c r="J92" s="11" t="n"/>
      <c r="K92" s="11" t="n"/>
      <c r="L92" s="11" t="n"/>
      <c r="M92" s="11" t="n"/>
      <c r="N92" s="11" t="n"/>
    </row>
    <row r="93" ht="212" customHeight="1">
      <c r="A93" s="10" t="n">
        <v>91</v>
      </c>
      <c r="B93" s="10" t="inlineStr">
        <is>
          <t>Vano: sezione, spazi di rifugio e ammortizzatori</t>
        </is>
      </c>
      <c r="C93" s="10" t="inlineStr">
        <is>
          <t>Altezza libera degli accessi e della cabina — negli impianti esistenti (DPR 1497/1963, artt. 24, 27 e 29, non riletto) le porte possono essere alte 1,90 m e la cabina 2,00 m; con la sola sostituzione della macchina le altezze restano (parti esistenti); la UNI 10411-1:2024 ammette porte di piano nuove non più basse delle esistenti (19.1), una cabina nuova sotto 2 m se non più bassa dell'esistente e mai sotto 1,90 m (22 m)) e accessi di cabina mai sotto 1,80 m (22 n)), con avvertimenti: il software non conosce le esistenti e segnala ogni porta sotto 2000 mm</t>
        </is>
      </c>
      <c r="D93" s="10" t="inlineStr">
        <is>
          <t>luce netta in altezza delle porte di piano e di cabina ≥ 2000 mm; altezza libera interna della cabina ≥ 2000 mm</t>
        </is>
      </c>
      <c r="E93" s="10" t="inlineStr">
        <is>
          <t>UNI EN 81-20:2020, 5.3.2.1 e 5.4.1</t>
        </is>
      </c>
      <c r="F93" s="10" t="inlineStr">
        <is>
          <t>UNI EN 81-20:2020, testo della norma, letto il 2026-10-06, pp. 49, 63; 2 m anche in DM 587/1987 (UNI EN 81-1), 7.3.1, 8.1.1 e 8.1.2</t>
        </is>
      </c>
      <c r="G93" s="10" t="inlineStr">
        <is>
          <t>confermato</t>
        </is>
      </c>
      <c r="H93" s="10" t="inlineStr">
        <is>
          <t>altezza libera degli accessi; altezza libera interna della cabina</t>
        </is>
      </c>
      <c r="I93" s="11" t="n"/>
      <c r="J93" s="11" t="n"/>
      <c r="K93" s="11" t="n"/>
      <c r="L93" s="11" t="n"/>
      <c r="M93" s="11" t="n"/>
      <c r="N93" s="11" t="n"/>
    </row>
    <row r="94" ht="160" customHeight="1">
      <c r="A94" s="10" t="n">
        <v>92</v>
      </c>
      <c r="B94" s="10" t="inlineStr">
        <is>
          <t>Vano: sezione, spazi di rifugio e ammortizzatori</t>
        </is>
      </c>
      <c r="C94" s="10" t="inlineStr">
        <is>
          <t>Corsa guidata in testata (contrappeso e cabina)</t>
        </is>
      </c>
      <c r="D94" s="10" t="inlineStr">
        <is>
          <t>con la cabina sugli ammortizzatori completamente compressi le guide del contrappeso lo guidano ancora per almeno 0,1 + 0,035·v² m (v velocità nominale): dalla sommità del contrappeso, salito della corsa sotto la cabina (extracorsa e corsa degli ammortizzatori), alla sommità delle guide, che il software pone 50 mm sotto la soletta (voce foglio.stime); la cabina nella sua posizione più alta (salto compreso) ha ancora almeno 0,1 m di guida sopra la sommità dell'arcata, dove il software mette i pattini superiori (avviso: l'altezza reale dei pattini è del fornitore)</t>
        </is>
      </c>
      <c r="E94" s="10" t="inlineStr">
        <is>
          <t>UNI EN 81-20:2020, 5.2.5.6.2 e 5.2.5.6.1.1 (Prospetto 2: cabina sugli ammortizzatori compressi più 0,035·v²); stesso valore in UNI EN 81-1 (1999, 2008), 5.7.1.2</t>
        </is>
      </c>
      <c r="F94" s="10" t="inlineStr">
        <is>
          <t>UNI EN 81-20:2020, testo della norma, letto il 2026-10-06, p. 36; UNI EN 81-1:2008, testo della norma, letto il 2026-10-06, p. 27</t>
        </is>
      </c>
      <c r="G94" s="10" t="inlineStr">
        <is>
          <t>confermato</t>
        </is>
      </c>
      <c r="H94" s="10" t="inlineStr">
        <is>
          <t>corsa guidata del contrappeso in testata; corsa guidata della cabina in testata</t>
        </is>
      </c>
      <c r="I94" s="11" t="n"/>
      <c r="J94" s="11" t="n"/>
      <c r="K94" s="11" t="n"/>
      <c r="L94" s="11" t="n"/>
      <c r="M94" s="11" t="n"/>
      <c r="N94" s="11" t="n"/>
    </row>
    <row r="95" ht="95" customHeight="1">
      <c r="A95" s="10" t="n">
        <v>93</v>
      </c>
      <c r="B95" s="10" t="inlineStr">
        <is>
          <t>Vano: sezione, spazi di rifugio e ammortizzatori</t>
        </is>
      </c>
      <c r="C95" s="10" t="inlineStr">
        <is>
          <t>Schermo del contrappeso in fossa — non verificati: il bordo inferiore dello schermo a non più di 300 mm dal fondo della fossa (5.2.5.5.1 c)) e la protezione dello spazio oltre 300 mm tra guide del contrappeso e parete (e))</t>
        </is>
      </c>
      <c r="D95" s="10" t="inlineStr">
        <is>
          <t>dal punto più basso del contrappeso sugli ammortizzatori compressi fino ad almeno 2000 mm sopra il pavimento della fossa (altezza dello schermo modificabile sul progetto, mai sotto questo valore)</t>
        </is>
      </c>
      <c r="E95" s="10" t="inlineStr">
        <is>
          <t>UNI EN 81-20:2020, 5.2.5.5.1 b)</t>
        </is>
      </c>
      <c r="F95" s="10" t="inlineStr">
        <is>
          <t>UNI EN 81-20:2020, testo della norma, letto il 2026-10-06, p. 35</t>
        </is>
      </c>
      <c r="G95" s="10" t="inlineStr">
        <is>
          <t>confermato</t>
        </is>
      </c>
      <c r="H95" s="10" t="inlineStr">
        <is>
          <t>protezione del contrappeso in fossa</t>
        </is>
      </c>
      <c r="I95" s="11" t="n"/>
      <c r="J95" s="11" t="n"/>
      <c r="K95" s="11" t="n"/>
      <c r="L95" s="11" t="n"/>
      <c r="M95" s="11" t="n"/>
      <c r="N95" s="11" t="n"/>
    </row>
    <row r="96" ht="95" customHeight="1">
      <c r="A96" s="10" t="n">
        <v>94</v>
      </c>
      <c r="B96" s="10" t="inlineStr">
        <is>
          <t>Vano: sezione, spazi di rifugio e ammortizzatori</t>
        </is>
      </c>
      <c r="C96" s="10" t="inlineStr">
        <is>
          <t>Ammortizzatori ad accumulo di energia lineari (molle)</t>
        </is>
      </c>
      <c r="D96" s="10" t="inlineStr">
        <is>
          <t>ammessi fino a 1 m/s; corsa ≥ 0,135·v² m e comunque ≥ 65 mm; extracorsa della cabina e del contrappeso ≥ 0 (nessun minimo nella norma)</t>
        </is>
      </c>
      <c r="E96" s="10" t="inlineStr">
        <is>
          <t>UNI EN 81-20:2020, 5.8.1.5 (fino a 1 m/s) e 5.8.2.1.1.1 (corsa); nessuna extracorsa minima in metri: l'interruttore di extracorsa interviene prima che la cabina o il contrappeso tocchino gli ammortizzatori (5.12.2.1)</t>
        </is>
      </c>
      <c r="F96" s="10" t="inlineStr">
        <is>
          <t>UNI EN 81-20:2020, testo della norma, letto il 2026-10-06, pp. 98, 131</t>
        </is>
      </c>
      <c r="G96" s="10" t="inlineStr">
        <is>
          <t>confermato</t>
        </is>
      </c>
      <c r="H96" s="10" t="inlineStr">
        <is>
          <t>tipo di ammortizzatori per la velocità; corsa degli ammortizzatori di cabina; corsa dell'ammortizzatore del contrappeso; extracorsa di cabina e contrappeso</t>
        </is>
      </c>
      <c r="I96" s="11" t="n"/>
      <c r="J96" s="11" t="n"/>
      <c r="K96" s="11" t="n"/>
      <c r="L96" s="11" t="n"/>
      <c r="M96" s="11" t="n"/>
      <c r="N96" s="11" t="n"/>
    </row>
    <row r="97" ht="121" customHeight="1">
      <c r="A97" s="10" t="n">
        <v>95</v>
      </c>
      <c r="B97" s="10" t="inlineStr">
        <is>
          <t>Vano: sezione, spazi di rifugio e ammortizzatori</t>
        </is>
      </c>
      <c r="C97" s="10" t="inlineStr">
        <is>
          <t>Ammortizzatori ad accumulo di energia non lineari (tamponi in poliuretano) — il tampone tipico alto 80 mm è un dato di catalogo, non della norma: va sostituito con quello montato</t>
        </is>
      </c>
      <c r="D97" s="10" t="inlineStr">
        <is>
          <t>ammessi fino a 1 m/s come le molle; nessuna corsa minima da formula: il campo di masse del certificato di esame di tipo per la velocità deve comprendere, per ogni tampone, la cabina vuota e a pieno carico (o il contrappeso); «completamente compresso» vuol dire compresso del 90 % dell'altezza, quindi la corsa è 0,9·H negli spazi in fossa e in testata; tampone tipico alti 80 mm (P+S Diepocell D, Ø da 80 a 220 mm; ACLA AUTAN XL)</t>
        </is>
      </c>
      <c r="E97" s="10" t="inlineStr">
        <is>
          <t>UNI EN 81-20:2020, 5.8.1.5, 5.8.1.7, 5.8.2.1.2.1 e 5.8.2.1.2.2 (compresso al 90 %); UNI EN 81-50:2020, 5.5.4 (esame di tipo)</t>
        </is>
      </c>
      <c r="F97" s="10" t="inlineStr">
        <is>
          <t>UNI EN 81-20:2020, testo della norma, letto il 2026-10-06, pp. 98–99; UNI EN 81-50:2020, testo della norma, letto il 2026-10-06, p. 24; il tampone tipico dai cataloghi P+S Diepocell (wwlift.de) e ACLA AUTAN XL (acla.de), estratti di ricerca del 1° ottobre 2026</t>
        </is>
      </c>
      <c r="G97" s="10" t="inlineStr">
        <is>
          <t>confermato</t>
        </is>
      </c>
      <c r="H97" s="10" t="inlineStr">
        <is>
          <t>tipo di ammortizzatori per la velocità; corsa degli ammortizzatori di cabina; corsa dell'ammortizzatore del contrappeso</t>
        </is>
      </c>
      <c r="I97" s="11" t="n"/>
      <c r="J97" s="11" t="n"/>
      <c r="K97" s="11" t="n"/>
      <c r="L97" s="11" t="n"/>
      <c r="M97" s="11" t="n"/>
      <c r="N97" s="11" t="n"/>
    </row>
    <row r="98" ht="95" customHeight="1">
      <c r="A98" s="10" t="n">
        <v>96</v>
      </c>
      <c r="B98" s="10" t="inlineStr">
        <is>
          <t>Vano: sezione, spazi di rifugio e ammortizzatori</t>
        </is>
      </c>
      <c r="C98" s="10" t="inlineStr">
        <is>
          <t>Ammortizzatori a dissipazione di energia (idraulici) — gli ammortizzatori Oleo sono dati di catalogo, non della norma: vanno sostituiti con quelli montati</t>
        </is>
      </c>
      <c r="D98" s="10" t="inlineStr">
        <is>
          <t>a ogni velocità; corsa ≥ 0,0674·v² m (arresto per gravità al 115 % della velocità nominale); la corsa ridotta con il controllo del rallentamento non è considerata; ammortizzatori tipici: Oleo LSB10 fino a 1 m/s, alto 222,2 mm con corsa 73,4 mm; LSB16 fino a 1,6 m/s, alto 485,5 mm con corsa 173,5 mm</t>
        </is>
      </c>
      <c r="E98" s="10" t="inlineStr">
        <is>
          <t>UNI EN 81-20:2020, 5.8.1.6 e 5.8.2.2.1 (corsa); la corsa ridotta di 5.8.2.2.2 non è usata</t>
        </is>
      </c>
      <c r="F98" s="10" t="inlineStr">
        <is>
          <t>UNI EN 81-20:2020, testo della norma, letto il 2026-10-06, p. 99; gli ammortizzatori tipici dal catalogo Oleo LSB e SEB (oleo.co.uk), estratti di ricerca del 1° ottobre 2026</t>
        </is>
      </c>
      <c r="G98" s="10" t="inlineStr">
        <is>
          <t>confermato</t>
        </is>
      </c>
      <c r="H98" s="10" t="inlineStr">
        <is>
          <t>tipo di ammortizzatori per la velocità; corsa degli ammortizzatori di cabina; corsa dell'ammortizzatore del contrappeso</t>
        </is>
      </c>
      <c r="I98" s="11" t="n"/>
      <c r="J98" s="11" t="n"/>
      <c r="K98" s="11" t="n"/>
      <c r="L98" s="11" t="n"/>
      <c r="M98" s="11" t="n"/>
      <c r="N98" s="11" t="n"/>
    </row>
    <row r="99" ht="134" customHeight="1">
      <c r="A99" s="10" t="n">
        <v>97</v>
      </c>
      <c r="B99" s="10" t="inlineStr">
        <is>
          <t>Locale del macchinario</t>
        </is>
      </c>
      <c r="C99" s="10" t="inlineStr">
        <is>
          <t>Locale del macchinario — davanti al quadro il software verifica la profondità libera e che la parete sia lunga almeno quanto il maggiore tra 500 mm e il quadro; non verificati: la macchina o altro dentro quella superficie, i percorsi larghi almeno 0,50 m (5.2.6.3.2.2) e lo spazio di 0,30 m sopra le parti rotanti (5.2.6.3.2.3)</t>
        </is>
      </c>
      <c r="D99" s="10" t="inlineStr">
        <is>
          <t>altezza libera delle zone di lavoro ≥ 2100 mm (1800 mm sui percorsi); davanti al quadro una superficie libera profonda ≥ 700 mm e larga ≥ 500 mm o quanto il quadro; per la manutenzione delle parti in movimento e la manovra di emergenza una superficie libera di almeno 500 × 600 mm (il software la cerca accanto all'argano, sul lato più libero, fino a muri e quadro); porta di accesso ≥ 600 × 2000 mm</t>
        </is>
      </c>
      <c r="E99" s="10" t="inlineStr">
        <is>
          <t>UNI EN 81-20:2020, 5.2.6.3.2.1 (2,10 m e superfici libere), 5.2.6.3.2.2 (1,80 m sui percorsi) e 5.2.3.2 a) (porta)</t>
        </is>
      </c>
      <c r="F99" s="10" t="inlineStr">
        <is>
          <t>UNI EN 81-20:2020, testo della norma, letto il 2026-10-06, pp. 29, 43; le superfici libere anche in UNI EN 81-1:1999, 6.3.2.1 (edizione 2008: 6.3.3.1)</t>
        </is>
      </c>
      <c r="G99" s="10" t="inlineStr">
        <is>
          <t>confermato</t>
        </is>
      </c>
      <c r="H99" s="10" t="inlineStr">
        <is>
          <t>altezza del locale macchina; superficie libera davanti al quadro; superficie libera accanto all'argano; porta del locale macchina</t>
        </is>
      </c>
      <c r="I99" s="11" t="n"/>
      <c r="J99" s="11" t="n"/>
      <c r="K99" s="11" t="n"/>
      <c r="L99" s="11" t="n"/>
      <c r="M99" s="11" t="n"/>
      <c r="N99" s="11" t="n"/>
    </row>
    <row r="100" ht="69" customHeight="1">
      <c r="A100" s="10" t="n">
        <v>98</v>
      </c>
      <c r="B100" s="10" t="inlineStr">
        <is>
          <t>Locale del macchinario</t>
        </is>
      </c>
      <c r="C100" s="10" t="inlineStr">
        <is>
          <t>Illuminazione del vano e del locale del macchinario</t>
        </is>
      </c>
      <c r="D100" s="10" t="inlineStr">
        <is>
          <t>vano: luce fissa, almeno 50 lux a un metro dal tetto di cabina e dal fondo della fossa, 20 lux nel resto; locale del macchinario: almeno 200 lux al pavimento dove si lavora e 50 lux sui percorsi; 50 lux anche sull'accesso al macchinario</t>
        </is>
      </c>
      <c r="E100" s="10" t="inlineStr">
        <is>
          <t>UNI EN 81-20:2020, 5.2.1.4.1 a)–c), 5.2.1.4.2 e 5.2.2.2</t>
        </is>
      </c>
      <c r="F100" s="10" t="inlineStr">
        <is>
          <t>UNI EN 81-20:2020, testo della norma, letto il 2026-10-06, p. 25</t>
        </is>
      </c>
      <c r="G100" s="10" t="inlineStr">
        <is>
          <t>confermato</t>
        </is>
      </c>
      <c r="H100" s="10" t="inlineStr">
        <is>
          <t>—</t>
        </is>
      </c>
      <c r="I100" s="11" t="n"/>
      <c r="J100" s="11" t="n"/>
      <c r="K100" s="11" t="n"/>
      <c r="L100" s="11" t="n"/>
      <c r="M100" s="11" t="n"/>
      <c r="N100" s="11" t="n"/>
    </row>
    <row r="101" ht="43" customHeight="1">
      <c r="A101" s="10" t="n">
        <v>99</v>
      </c>
      <c r="B101" s="10" t="inlineStr">
        <is>
          <t>Locale del macchinario</t>
        </is>
      </c>
      <c r="C101" s="10" t="inlineStr">
        <is>
          <t>Temperatura dei locali del macchinario e degli armadi</t>
        </is>
      </c>
      <c r="D101" s="10" t="inlineStr">
        <is>
          <t>temperatura ambiente mantenuta tra +5 °C e +40 °C: ipotesi della norma, da garantire nell'edificio</t>
        </is>
      </c>
      <c r="E101" s="10" t="inlineStr">
        <is>
          <t>UNI EN 81-20:2020, 0.4.16 (ipotesi della norma, vale anche per il vano)</t>
        </is>
      </c>
      <c r="F101" s="10" t="inlineStr">
        <is>
          <t>UNI EN 81-20:2020, testo della norma, letto il 2026-10-06, p. 14</t>
        </is>
      </c>
      <c r="G101" s="10" t="inlineStr">
        <is>
          <t>confermato</t>
        </is>
      </c>
      <c r="H101" s="10" t="inlineStr">
        <is>
          <t>—</t>
        </is>
      </c>
      <c r="I101" s="11" t="n"/>
      <c r="J101" s="11" t="n"/>
      <c r="K101" s="11" t="n"/>
      <c r="L101" s="11" t="n"/>
      <c r="M101" s="11" t="n"/>
      <c r="N101" s="11" t="n"/>
    </row>
    <row r="102" ht="225" customHeight="1">
      <c r="A102" s="10" t="n">
        <v>100</v>
      </c>
      <c r="B102" s="10" t="inlineStr">
        <is>
          <t>Locale del macchinario</t>
        </is>
      </c>
      <c r="C102" s="10" t="inlineStr">
        <is>
          <t>Basamento dell'argano</t>
        </is>
      </c>
      <c r="D102" s="10" t="inlineStr">
        <is>
          <t>su spessori di livellamento sotto gli appoggi (l'asse della puleggia dove lo mette il software), su telaio di due profilati sul pavimento (tipico UPN 200, alto quanto il profilato come i telai bassi universali), su due putrelle da muro a muro che possono stare sollevate dal pavimento (tipiche IPE 200, appoggio nei muri 150 mm), su piastre d'acciaio sotto gli appoggi (tipiche 20 mm) o su plinto in calcestruzzo (tipico 250 mm), o — con un rinvio — sul telaio con rinvio (locale.rinvio); tamponi antivibranti di 30 mm sotto gli appoggi, salvo sugli spessori e sul telaio con rinvio (antivibranti sotto le gambe); telaio e plinto 100 mm oltre il telaio dell'argano a ogni estremità; l'altezza del basamento porta l'asse della puleggia, che il calcolo (tratto di fune oltre la corsa) e il 3D seguono</t>
        </is>
      </c>
      <c r="E102" s="10" t="inlineStr">
        <is>
          <t>UNI EN 81-20:2020, 5.2.1.8 (carichi sull'edificio); scelta del costruttore</t>
        </is>
      </c>
      <c r="F102" s="10" t="inlineStr">
        <is>
          <t>telaio basso universale per argano alto 200 mm (lift-store.it); tamponi antivibranti 25–30 mm (catalogo Donati); piastre di 20 mm e plinto di 250–300 mm nella pratica di installazione (fonti estere, da confermare); estratti di ricerca del 1° ottobre 2026</t>
        </is>
      </c>
      <c r="G102" s="10" t="inlineStr">
        <is>
          <t>scelta del software</t>
        </is>
      </c>
      <c r="H102" s="10" t="inlineStr">
        <is>
          <t>—</t>
        </is>
      </c>
      <c r="I102" s="11" t="n"/>
      <c r="J102" s="11" t="n"/>
      <c r="K102" s="11" t="n"/>
      <c r="L102" s="11" t="n"/>
      <c r="M102" s="11" t="n"/>
      <c r="N102" s="11" t="n"/>
    </row>
    <row r="103" ht="147" customHeight="1">
      <c r="A103" s="10" t="n">
        <v>101</v>
      </c>
      <c r="B103" s="10" t="inlineStr">
        <is>
          <t>Locale del macchinario</t>
        </is>
      </c>
      <c r="C103" s="10" t="inlineStr">
        <is>
          <t>Telaio sotto l'argano di un costruttore</t>
        </is>
      </c>
      <c r="D103" s="10" t="inlineStr">
        <is>
          <t>l'argano di catalogo poggia con i suoi piedi su un telaio di due travi sotto le file di fori, con antivibranti alle estremità e 40 mm oltre l'argano a ogni estremità; il telaio è alto quanto serve per tenere l'asse della puleggia dove lo tiene l'argano generico del software, almeno 80 mm e con il bordo della puleggia 30 mm sopra il suo piano d'appoggio (gli argani compatti hanno la puleggia a sbalzo, sotto il piano dei piedi); se l'argano non lo permette l'asse sale e il calcolo segue</t>
        </is>
      </c>
      <c r="E103" s="10" t="inlineStr">
        <is>
          <t>—</t>
        </is>
      </c>
      <c r="F103" s="10" t="inlineStr">
        <is>
          <t>quote dei piedi, dei fori e dell'asse della puleggia dalle schede tecniche del costruttore; altezza del telaio scelta dal software, da adattare al telaio fornito</t>
        </is>
      </c>
      <c r="G103" s="10" t="inlineStr">
        <is>
          <t>scelta del software</t>
        </is>
      </c>
      <c r="H103" s="10" t="inlineStr">
        <is>
          <t>—</t>
        </is>
      </c>
      <c r="I103" s="11" t="n"/>
      <c r="J103" s="11" t="n"/>
      <c r="K103" s="11" t="n"/>
      <c r="L103" s="11" t="n"/>
      <c r="M103" s="11" t="n"/>
      <c r="N103" s="11" t="n"/>
    </row>
    <row r="104" ht="303" customHeight="1">
      <c r="A104" s="10" t="n">
        <v>102</v>
      </c>
      <c r="B104" s="10" t="inlineStr">
        <is>
          <t>Locale del macchinario</t>
        </is>
      </c>
      <c r="C104" s="10" t="inlineStr">
        <is>
          <t>Puleggia di rinvio nel locale del macchinario</t>
        </is>
      </c>
      <c r="D104" s="10" t="inlineStr">
        <is>
          <t>con l'argano in alto il rinvio sta sempre nel locale del macchinario, mai nel vano: nel telaio dell'argano (il basamento che il software prende quando c'è un rinvio), con l'asse del rinvio a 320 mm dal pavimento (il bordo almeno 60 mm sopra il pavimento: Dp/2 + 60 oltre Ø 520), il piano del telaio a 736 mm (almeno 176 mm sopra il rinvio), gambe di tubo quadro da 80 mm su antivibranti da 28 mm, travi UPN 160, 100 mm oltre l'argano e il rinvio a ogni estremità, largo almeno 655 mm; con un argano SICOR che ha il suo telaio a catalogo (SV110 e SH110B XTE0517/XTE0516, SH130 e SH130G XTE3022/XTE3023, SH140 XTE6026/XTE6027, SH160 XTE5708, SH190 XTE3988) le quote del costruttore: asse del rinvio, asse della puleggia (A), piano del telaio (A − B), calata del contrappeso entro L max dall'asse della puleggia (verifica di avvertimento: oltre, telaio su misura); h del calcolo = asse della puleggia − asse del rinvio, dx dalla pianta; con un altro basamento scelto il rinvio sta su un supporto proprio sul pavimento, alla stessa altezza; una h inserita a mano che porta il rinvio sotto il pavimento è segnalata</t>
        </is>
      </c>
      <c r="E104" s="10" t="inlineStr">
        <is>
          <t>regola del committente (Panev): il rinvio sta nel telaio del locale macchina, mai nel vano; UNI EN 81-20:2020, 5.2.1.8 (carichi sull'edificio)</t>
        </is>
      </c>
      <c r="F104" s="10" t="inlineStr">
        <is>
          <t>brochure Geared SICOR, aprile 2026, pp. 16, 23, 41, 47, 58, 68 e 80 (telai «top machine with diverting pulley for CSW wrapping»), letta il 2 ottobre 2026; i telai «corti» MR21, MR26 e MR35 portano il rinvio sotto il pavimento (Hmin = Dt/2 + 75) e non sono usati; le quote del telaio del software sono quelle dei telai SICOR, da adattare al telaio fornito</t>
        </is>
      </c>
      <c r="G104" s="10" t="inlineStr">
        <is>
          <t>scelta del software</t>
        </is>
      </c>
      <c r="H104" s="10" t="inlineStr">
        <is>
          <t>calata del contrappeso nel telaio con rinvio del costruttore</t>
        </is>
      </c>
      <c r="I104" s="11" t="n"/>
      <c r="J104" s="11" t="n"/>
      <c r="K104" s="11" t="n"/>
      <c r="L104" s="11" t="n"/>
      <c r="M104" s="11" t="n"/>
      <c r="N104" s="11" t="n"/>
    </row>
    <row r="105" ht="134" customHeight="1">
      <c r="A105" s="10" t="n">
        <v>103</v>
      </c>
      <c r="B105" s="10" t="inlineStr">
        <is>
          <t>Locale del macchinario</t>
        </is>
      </c>
      <c r="C105" s="10" t="inlineStr">
        <is>
          <t>L'argano dentro il locale del macchinario</t>
        </is>
      </c>
      <c r="D105" s="10" t="inlineStr">
        <is>
          <t>l'argano sul suo basamento — con il telaio del rinvio o con il supporto del rinvio — sta dentro il locale in pianta e sotto il soffitto: la distanza minima dai muri e dal soffitto non è negativa; ingombri dalle quote del costruttore per gli argani disegnati com'è, dall'argano generico del software (scalato alla puleggia) per gli altri; la puleggia di rinvio sul suo supporto sotto l'argano libera il basamento dell'argano sopra di essa (solo le putrelle sollevate la scavalcano)</t>
        </is>
      </c>
      <c r="E105" s="10" t="inlineStr">
        <is>
          <t>—</t>
        </is>
      </c>
      <c r="F105" s="10" t="inlineStr">
        <is>
          <t>geometria del progetto: la pianta e l'altezza del locale inserite, gli ingombri dell'argano e del basamento</t>
        </is>
      </c>
      <c r="G105" s="10" t="inlineStr">
        <is>
          <t>derivazione</t>
        </is>
      </c>
      <c r="H105" s="10" t="inlineStr">
        <is>
          <t>argano dentro il locale (muri e soffitto); puleggia di rinvio sul suo supporto sotto l'argano</t>
        </is>
      </c>
      <c r="I105" s="11" t="n"/>
      <c r="J105" s="11" t="n"/>
      <c r="K105" s="11" t="n"/>
      <c r="L105" s="11" t="n"/>
      <c r="M105" s="11" t="n"/>
      <c r="N105" s="11" t="n"/>
    </row>
    <row r="106" ht="134" customHeight="1">
      <c r="A106" s="10" t="n">
        <v>104</v>
      </c>
      <c r="B106" s="10" t="inlineStr">
        <is>
          <t>Locale del macchinario</t>
        </is>
      </c>
      <c r="C106" s="10" t="inlineStr">
        <is>
          <t>Verifica delle putrelle sotto l'argano — verifica semplice a carico concentrato in mezzeria su trave appoggiata; gli appoggi nei muri e la muratura vanno verificati dal progettista</t>
        </is>
      </c>
      <c r="D106" s="10" t="inlineStr">
        <is>
          <t>ognuna delle due putrelle porta metà del carico dell'argano (il suo peso più il carico statico sull'asse per il coefficiente dinamico) come forza concentrata in mezzeria, più il proprio peso, sulla luce tra i centri degli appoggi nei muri (luce libera più 150 mm): σ = M/Wel,y ≤ fyk/γM0 con acciaio S275 (fyk 275 MPa) e γM0 = 1,05; freccia elastica f = F·L³/(48·E·I) + 5·q·L⁴/(384·E·I) ≤ 1/1500 della luce libera con E = 210000 MPa; proprietà dei profili EN 10365</t>
        </is>
      </c>
      <c r="E106" s="10" t="inlineStr">
        <is>
          <t>NTC 2018, §4.2.4.1.1 (γM0), Tab. 11.3.IX (S275), §11.3.4.1 (E), §3.1.4 (carichi del macchinario); DPR 1497/1963, art. 5.1–5.2 (carichi fissi più 1,5 volte il carico statico delle funi, sicurezza ≥ 6, freccia ≤ 1/1500 della luce libera: regola storica degli impianti esistenti, letta su Normattiva)</t>
        </is>
      </c>
      <c r="F106" s="10" t="inlineStr">
        <is>
          <t>NTC 2018 (DM 17/01/2018); catalogo dei profilati ArcelorMittal (EN 10365) confrontato con due tabelle indipendenti; DPR 1497/1963 letto per intero (research/argano-geared, cap. 15, §1.1)</t>
        </is>
      </c>
      <c r="G106" s="10" t="inlineStr">
        <is>
          <t>da verificare</t>
        </is>
      </c>
      <c r="H106" s="10" t="inlineStr">
        <is>
          <t>tensione nelle putrelle sotto l'argano; freccia delle putrelle sotto l'argano</t>
        </is>
      </c>
      <c r="I106" s="11" t="n"/>
      <c r="J106" s="11" t="n"/>
      <c r="K106" s="11" t="n"/>
      <c r="L106" s="11" t="n"/>
      <c r="M106" s="11" t="n"/>
      <c r="N106" s="11" t="n"/>
    </row>
    <row r="107" ht="147" customHeight="1">
      <c r="A107" s="10" t="n">
        <v>105</v>
      </c>
      <c r="B107" s="10" t="inlineStr">
        <is>
          <t>Locale del macchinario</t>
        </is>
      </c>
      <c r="C107" s="10" t="inlineStr">
        <is>
          <t>Sostituzione dell'argano: calate esistenti e calate della nuova macchina</t>
        </is>
      </c>
      <c r="D107" s="10" t="inlineStr">
        <is>
          <t>nella sola sostituzione dell'argano la cabina e il contrappeso restano dove sono: le funi della nuova macchina devono scendere sulle calate esistenti, rilevate nel locale dall'angolo interno del vano. La distanza tra le calate data dal calcolo (rinvio: D/2 + dx ± Dp/2, più Dp in taglia 2:1; tiro diretto: il diametro della puleggia esistente, se inserita, altrimenti della nuova, più Dp in taglia 2:1) e quella misurata differiscono al più di 10 mm; oltre, il calcolo va ripetuto con la geometria misurata (dx, puleggia esistente)</t>
        </is>
      </c>
      <c r="E107" s="10" t="inlineStr">
        <is>
          <t>—</t>
        </is>
      </c>
      <c r="F107" s="10" t="inlineStr">
        <is>
          <t>tolleranza scelta dal software per il rilievo in sito (le funi a qualche metro dal basamento): da confermare con l'installatore</t>
        </is>
      </c>
      <c r="G107" s="10" t="inlineStr">
        <is>
          <t>scelta del software</t>
        </is>
      </c>
      <c r="H107" s="10" t="inlineStr">
        <is>
          <t>sostituzione: calate della nuova macchina sulle calate esistenti</t>
        </is>
      </c>
      <c r="I107" s="11" t="n"/>
      <c r="J107" s="11" t="n"/>
      <c r="K107" s="11" t="n"/>
      <c r="L107" s="11" t="n"/>
      <c r="M107" s="11" t="n"/>
      <c r="N107" s="11" t="n"/>
    </row>
    <row r="108" ht="147" customHeight="1">
      <c r="A108" s="10" t="n">
        <v>106</v>
      </c>
      <c r="B108" s="10" t="inlineStr">
        <is>
          <t>Carichi sull'edificio e spinte sulle guide</t>
        </is>
      </c>
      <c r="C108" s="10" t="inlineStr">
        <is>
          <t>Carichi sul pavimento della fossa — non calcolato: con spazi accessibili sotto il vano (5.2.5.4) il contrappeso ha il paracadute, sotto le sue guide va anche k1·g·M_cw/n e il fondo della fossa regge almeno 5000 N/m². In P il software conta anche il cavo flessibile (metà corsa + 3 m, come sull'asse della macchina), come vuole la 5.2.1.8.5; la compensazione, se c'è, la aggiunge l'ingegnere</t>
        </is>
      </c>
      <c r="D108" s="10" t="inlineStr">
        <is>
          <t>sotto ogni ammortizzatore 4 volte il carico statico: 4·g·(P+Q) per la cabina, 4·g·M_cw per il contrappeso, divisi tra gli ammortizzatori; sotto ogni guida di cabina la massa della guida più la reazione all'intervento del paracadute k1·g·(P+Q)/2 (k1 = 2 progressivo, 3 istantaneo a rulli, 5 istantaneo); sotto ogni guida del contrappeso la massa della guida</t>
        </is>
      </c>
      <c r="E108" s="10" t="inlineStr">
        <is>
          <t>UNI EN 81-20:2020, 5.2.1.8.4–5.2.1.8.6, 5.7.2.3.5 e Prospetto 14 (k1)</t>
        </is>
      </c>
      <c r="F108" s="10" t="inlineStr">
        <is>
          <t>UNI EN 81-20:2020, testo della norma, letto il 2026-10-06, pp. 27, 94–96</t>
        </is>
      </c>
      <c r="G108" s="10" t="inlineStr">
        <is>
          <t>confermato</t>
        </is>
      </c>
      <c r="H108" s="10" t="inlineStr">
        <is>
          <t>—</t>
        </is>
      </c>
      <c r="I108" s="11" t="n"/>
      <c r="J108" s="11" t="n"/>
      <c r="K108" s="11" t="n"/>
      <c r="L108" s="11" t="n"/>
      <c r="M108" s="11" t="n"/>
      <c r="N108" s="11" t="n"/>
    </row>
    <row r="109" ht="108" customHeight="1">
      <c r="A109" s="10" t="n">
        <v>107</v>
      </c>
      <c r="B109" s="10" t="inlineStr">
        <is>
          <t>Carichi sull'edificio e spinte sulle guide</t>
        </is>
      </c>
      <c r="C109" s="10" t="inlineStr">
        <is>
          <t>Spinte sulle guide di cabina — h, la distanza tra i pattini, è una stima del software (l'ingombro verticale dell'arcata)</t>
        </is>
      </c>
      <c r="D109" s="10" t="inlineStr">
        <is>
          <t>portata spostata di 1/8 della cabina dal centro, più lo scostamento della cabina dalle guide (arcata a zaino); intervento del paracadute: Fx = k1·g·(Q·xQ + P·xP)/(n·h) sulle facce delle lame, Fy = k1·g·(Q·yQ + P·yP)/((n/2)·h) sulle punte; marcia: k2 = 1,2; n = 2 guide, h = distanza tra i pattini, presa pari all'ingombro verticale dell'arcata; si riporta il caso più gravoso</t>
        </is>
      </c>
      <c r="E109" s="10" t="inlineStr">
        <is>
          <t>UNI EN 81-50:2020, appendice C (informativa), C.2.1.1 e C.2.2.1; UNI EN 81-20:2020, 5.7.2.3.4 (portata su 3/4 della superficie: 1/8) e Prospetto 14 (k1; k2 = 1,2)</t>
        </is>
      </c>
      <c r="F109" s="10" t="inlineStr">
        <is>
          <t>UNI EN 81-50:2020, testo della norma, letto il 2026-10-06, pp. 77–79; UNI EN 81-20:2020, testo della norma, letto il 2026-10-06, pp. 94–96</t>
        </is>
      </c>
      <c r="G109" s="10" t="inlineStr">
        <is>
          <t>confermato</t>
        </is>
      </c>
      <c r="H109" s="10" t="inlineStr">
        <is>
          <t>—</t>
        </is>
      </c>
      <c r="I109" s="11" t="n"/>
      <c r="J109" s="11" t="n"/>
      <c r="K109" s="11" t="n"/>
      <c r="L109" s="11" t="n"/>
      <c r="M109" s="11" t="n"/>
      <c r="N109" s="11" t="n"/>
    </row>
    <row r="110" ht="82" customHeight="1">
      <c r="A110" s="10" t="n">
        <v>108</v>
      </c>
      <c r="B110" s="10" t="inlineStr">
        <is>
          <t>Carichi sull'edificio e spinte sulle guide</t>
        </is>
      </c>
      <c r="C110" s="10" t="inlineStr">
        <is>
          <t>Carico della macchina sulla soletta</t>
        </is>
      </c>
      <c r="D110" s="10" t="inlineStr">
        <is>
          <t>carico statico sull'asse (cabina, portata, contrappeso, funi, cavi; in taglia 2:1 la metà di cabina, portata e contrappeso) × 1,5 come coefficiente dinamico, modificabile nei dati dell'impianto; sulla soletta anche la massa di macchina e telaio</t>
        </is>
      </c>
      <c r="E110" s="10" t="inlineStr">
        <is>
          <t>—</t>
        </is>
      </c>
      <c r="F110" s="10" t="inlineStr">
        <is>
          <t>prassi di progetto: la EN 81 non fissa un coefficiente dinamico per gli appoggi della macchina (in altre prassi 2,0)</t>
        </is>
      </c>
      <c r="G110" s="10" t="inlineStr">
        <is>
          <t>prassi di cantiere</t>
        </is>
      </c>
      <c r="H110" s="10" t="inlineStr">
        <is>
          <t>—</t>
        </is>
      </c>
      <c r="I110" s="11" t="n"/>
      <c r="J110" s="11" t="n"/>
      <c r="K110" s="11" t="n"/>
      <c r="L110" s="11" t="n"/>
      <c r="M110" s="11" t="n"/>
      <c r="N110" s="11" t="n"/>
    </row>
    <row r="111" ht="43" customHeight="1">
      <c r="A111" s="10" t="n">
        <v>109</v>
      </c>
      <c r="B111" s="10" t="inlineStr">
        <is>
          <t>Carichi sull'edificio e spinte sulle guide</t>
        </is>
      </c>
      <c r="C111" s="10" t="inlineStr">
        <is>
          <t>Massa dei cavi flessibili</t>
        </is>
      </c>
      <c r="D111" s="10" t="inlineStr">
        <is>
          <t>0,5 kg/m per metà della corsa più 3 m, se non data nei dati dell'impianto (cavo piatto 24G0,75)</t>
        </is>
      </c>
      <c r="E111" s="10" t="inlineStr">
        <is>
          <t>—</t>
        </is>
      </c>
      <c r="F111" s="10" t="inlineStr">
        <is>
          <t>schede dei costruttori di cavi piatti (0,48–0,57 kg/m)</t>
        </is>
      </c>
      <c r="G111" s="10" t="inlineStr">
        <is>
          <t>stima</t>
        </is>
      </c>
      <c r="H111" s="10" t="inlineStr">
        <is>
          <t>—</t>
        </is>
      </c>
      <c r="I111" s="11" t="n"/>
      <c r="J111" s="11" t="n"/>
      <c r="K111" s="11" t="n"/>
      <c r="L111" s="11" t="n"/>
      <c r="M111" s="11" t="n"/>
      <c r="N111" s="11" t="n"/>
    </row>
    <row r="112" ht="121" customHeight="1">
      <c r="A112" s="10" t="n">
        <v>110</v>
      </c>
      <c r="B112" s="10" t="inlineStr">
        <is>
          <t>Carichi sull'edificio e spinte sulle guide</t>
        </is>
      </c>
      <c r="C112" s="10" t="inlineStr">
        <is>
          <t>Numero e posizione delle staffe delle guide — il passo delle staffe va confermato con la verifica delle guide (UNI EN 81-50:2020, 5.10), che usa la distanza tra le staffe</t>
        </is>
      </c>
      <c r="D112" s="10" t="inlineStr">
        <is>
          <t>una staffa ogni 2000 mm di guida, più una all'inizio e una alla fine: per guida ⌊L / 2000⌋ + 2 (L la lunghezza della guida); la prima a 600 mm dal piede della guida, l'ultima a 200 mm dalla sua sommità, le altre a passo uguale tra le due; una staffa che cadrebbe sulla piastra di una giunzione (guide da 5 m dal fondo della fossa) si sposta appena oltre la piastra. Il passo inserito nei dati dell'impianto sostituisce i 2000 mm</t>
        </is>
      </c>
      <c r="E112" s="10" t="inlineStr">
        <is>
          <t>regola di montaggio indicata dal committente</t>
        </is>
      </c>
      <c r="F112" s="10" t="inlineStr">
        <is>
          <t>scelta del committente</t>
        </is>
      </c>
      <c r="G112" s="10" t="inlineStr">
        <is>
          <t>scelta del software</t>
        </is>
      </c>
      <c r="H112" s="10" t="inlineStr">
        <is>
          <t>—</t>
        </is>
      </c>
      <c r="I112" s="11" t="n"/>
      <c r="J112" s="11" t="n"/>
      <c r="K112" s="11" t="n"/>
      <c r="L112" s="11" t="n"/>
      <c r="M112" s="11" t="n"/>
      <c r="N112" s="11" t="n"/>
    </row>
    <row r="113" ht="82" customHeight="1">
      <c r="A113" s="10" t="n">
        <v>111</v>
      </c>
      <c r="B113" s="10" t="inlineStr">
        <is>
          <t>Carichi sull'edificio e spinte sulle guide</t>
        </is>
      </c>
      <c r="C113" s="10" t="inlineStr">
        <is>
          <t>Lunghezze stimate nel foglio dei dati</t>
        </is>
      </c>
      <c r="D113" s="10" t="inlineStr">
        <is>
          <t>guide dal pavimento della fossa fino a 50 mm sotto la soletta del vano; fune del limitatore: due volte l'altezza dalla fossa al limitatore, posto 800 mm sopra il pavimento del locale; funi di sospensione: taglia × (corsa + 2 × tratto oltre la corsa), più deviazione o rinvii</t>
        </is>
      </c>
      <c r="E113" s="10" t="inlineStr">
        <is>
          <t>—</t>
        </is>
      </c>
      <c r="F113" s="10" t="inlineStr">
        <is>
          <t>stima del software, da sostituire con le misure di cantiere</t>
        </is>
      </c>
      <c r="G113" s="10" t="inlineStr">
        <is>
          <t>stima</t>
        </is>
      </c>
      <c r="H113" s="10" t="inlineStr">
        <is>
          <t>—</t>
        </is>
      </c>
      <c r="I113" s="11" t="n"/>
      <c r="J113" s="11" t="n"/>
      <c r="K113" s="11" t="n"/>
      <c r="L113" s="11" t="n"/>
      <c r="M113" s="11" t="n"/>
      <c r="N113" s="11" t="n"/>
    </row>
    <row r="114" ht="329" customHeight="1">
      <c r="A114" s="10" t="n">
        <v>112</v>
      </c>
      <c r="B114" s="10" t="inlineStr">
        <is>
          <t>Carichi sull'edificio e spinte sulle guide</t>
        </is>
      </c>
      <c r="C114" s="10" t="inlineStr">
        <is>
          <t>Verifica delle guide di cabina — Confermati sul testo i coefficienti, le formule e i limiti, e il carico al piano per uso (UNI EN 81-20:2020, 5.7.2.3.6). Senza l'uso nei dati dell'impianto vale la regola per portata della UNI EN 81-1:2008 (G.2.5), che per un ascensore per persone da 2500 kg in su è dal lato della sicurezza. La formula di ω per Rm 370 è data da λ 20 a 250: sotto 20 il software usa ω di λ 20 (dal lato della sicurezza). Non contate: la spinta di scorrimento delle staffe (assestamento dell'edificio), le apparecchiature appese alle guide, le frecce di staffe ed edificio (la norma vuole la somma entro il limite) e le guide del contrappeso. La flessione della suola è quella dei pattini a rotelle (5.10.5 ha una formula a parte per quelli a scorrimento; il tipo di pattino non è un dato del software).</t>
        </is>
      </c>
      <c r="D114" s="10" t="inlineStr">
        <is>
          <t>tra due staffe (l = distanza massima tra le staffe della guida) con le spinte della voce guide.spinte, portata spostata di 1/8 della cabina in un senso e poi nell'altro: flessione M = 3·F·l/16, σm = σx + σy; intervento del paracadute: forza verticale Fv = k1·g·(P+Q)/n più il peso della guida, carico di punta con il metodo omega (λ = l/i con il raggio d'inerzia minore √(I/A), λ ≤ 250; acciaio Rm 370: ω = 0,0001292·λ^1,89 + 1 fino a λ 60, 0,00004627·λ^2,14 + 1 fino a 85, 0,00001711·λ^2,35 + 1,04 fino a 115, 0,00016887·λ^2 fino a 250), σ = σm + Fv/A e σc = σk + 0,9·σm; marcia: k2 = 1,2 e il peso della guida; carico al piano: cabina vuota e Fs al centro della soglia di cabina, a ogni accesso, secondo l'uso indicato nei dati dell'impianto: persone 0,4·g·Q, merci accompagnate 0,6·g·Q, con mezzi di carico pesanti fuori portata 0,85·g·Q (senza l'uso: secondo la portata, 0,6·g·Q da 2500 kg); flessione della suola σF = 1,85·Fx/c² (pattini a rotelle); frecce δx = 0,7·Fx·l³/(48·E·Iy) e δy = 0,7·Fy·l³/(48·E·Ix) ≤ 5 mm. Tensione ammissibile Rm/St con St = 2,25 in marcia e al carico, 1,8 all'intervento del paracadute (allungamento A5 &gt; 12 %): con Rm 370 N/mm², 164,4 e 205,6 N/mm²</t>
        </is>
      </c>
      <c r="E114" s="10" t="inlineStr">
        <is>
          <t>UNI EN 81-50:2020, 5.10.2–5.10.6; UNI EN 81-20:2020, 5.7.2.3.5, 5.7.2.3.6, 5.7.4.5 (Prospetto 15), 5.7.4.6 e Prospetto 14; UNI EN 81-1:2008, G.2.5 (l'uso non indicato)</t>
        </is>
      </c>
      <c r="F114" s="10" t="inlineStr">
        <is>
          <t>UNI EN 81-50:2020, testo della norma, letto il 2026-10-06, pp. 35–39; UNI EN 81-20:2020, testo della norma, letto il 2026-10-06, pp. 94–97; Rm 370 è scelta del software (il valore più basso)</t>
        </is>
      </c>
      <c r="G114" s="10" t="inlineStr">
        <is>
          <t>confermato</t>
        </is>
      </c>
      <c r="H114" s="10" t="inlineStr">
        <is>
          <t>tensioni nelle guide di cabina; flessione della suola delle guide di cabina; frecce delle guide di cabina</t>
        </is>
      </c>
      <c r="I114" s="11" t="n"/>
      <c r="J114" s="11" t="n"/>
      <c r="K114" s="11" t="n"/>
      <c r="L114" s="11" t="n"/>
      <c r="M114" s="11" t="n"/>
      <c r="N114" s="11" t="n"/>
    </row>
    <row r="115" ht="147" customHeight="1">
      <c r="A115" s="10" t="n">
        <v>113</v>
      </c>
      <c r="B115" s="10" t="inlineStr">
        <is>
          <t>Carichi sull'edificio e spinte sulle guide</t>
        </is>
      </c>
      <c r="C115" s="10" t="inlineStr">
        <is>
          <t>Sezioni delle guide di cabina</t>
        </is>
      </c>
      <c r="D115" s="10" t="inlineStr">
        <is>
          <t>area, momenti d'inerzia e moduli di resistenza minimi attorno all'asse parallelo alla suola (x) e all'asse di simmetria (y), spessore c del collo tra lama e suola, per ogni profilo del software; raggi d'inerzia calcolati come √(I/A)</t>
        </is>
      </c>
      <c r="E115" s="10" t="inlineStr">
        <is>
          <t>ISO 7465:2007 (ora ISO 8100-33:2022); EN 10055:1995 per il T 70×70×8 laminato</t>
        </is>
      </c>
      <c r="F115" s="10" t="inlineStr">
        <is>
          <t>tabella ISO 7465:2007 stampata da Savera (Standard Savera Guide, Rev 03/10; assi e c dalla Rev 08.26), anteprime ISO 7465:1997 e ISO 8100-33:2022 (correzione dei raggi del T127-1/B, stampati nel 2007 uguali ai moduli), EN 10055:1995, Tabella 1. La EN 10055 non ha il T 45: al T 45×45×5 il software dà la sezione del T45/A, delle stesse misure</t>
        </is>
      </c>
      <c r="G115" s="10" t="inlineStr">
        <is>
          <t>da verificare</t>
        </is>
      </c>
      <c r="H115" s="10" t="inlineStr">
        <is>
          <t>—</t>
        </is>
      </c>
      <c r="I115" s="11" t="n"/>
      <c r="J115" s="11" t="n"/>
      <c r="K115" s="11" t="n"/>
      <c r="L115" s="11" t="n"/>
      <c r="M115" s="11" t="n"/>
      <c r="N115" s="11" t="n"/>
    </row>
    <row r="116" ht="69" customHeight="1">
      <c r="A116" s="10" t="n">
        <v>114</v>
      </c>
      <c r="B116" s="10" t="inlineStr">
        <is>
          <t>Carichi sull'edificio e spinte sulle guide</t>
        </is>
      </c>
      <c r="C116" s="10" t="inlineStr">
        <is>
          <t>Tipo di paracadute per la velocità nominale</t>
        </is>
      </c>
      <c r="D116" s="10" t="inlineStr">
        <is>
          <t>istantaneo (anche a rulli imprigionati) fino a 0,63 m/s; oltre, progressivo (la UNI EN 81-20 non ha più l'istantaneo con effetto ammortizzato fino a 1 m/s); il tipo viene dai dati dell'impianto (se manca: progressivo, con la nota sul foglio)</t>
        </is>
      </c>
      <c r="E116" s="10" t="inlineStr">
        <is>
          <t>UNI EN 81-20:2020, 5.6.2.1.2.1; la regola precedente in UNI EN 81-1 (1999, 2008), 9.8.2.1</t>
        </is>
      </c>
      <c r="F116" s="10" t="inlineStr">
        <is>
          <t>UNI EN 81-20:2020, testo della norma, letto il 2026-10-06, p. 81; UNI EN 81-1:2008, testo della norma, letto il 2026-10-06, p. 58</t>
        </is>
      </c>
      <c r="G116" s="10" t="inlineStr">
        <is>
          <t>confermato</t>
        </is>
      </c>
      <c r="H116" s="10" t="inlineStr">
        <is>
          <t>tipo di paracadute per la velocità</t>
        </is>
      </c>
      <c r="I116" s="11" t="n"/>
      <c r="J116" s="11" t="n"/>
      <c r="K116" s="11" t="n"/>
      <c r="L116" s="11" t="n"/>
      <c r="M116" s="11" t="n"/>
      <c r="N116" s="11" t="n"/>
    </row>
    <row r="117" ht="43" customHeight="1">
      <c r="A117" s="10" t="n">
        <v>115</v>
      </c>
      <c r="B117" s="10" t="inlineStr">
        <is>
          <t>Vano: limiti del progetto</t>
        </is>
      </c>
      <c r="C117" s="10" t="inlineStr">
        <is>
          <t>Dimensioni proposte della cabina</t>
        </is>
      </c>
      <c r="D117" s="10" t="inlineStr">
        <is>
          <t>la cabina più grande che entra nel vano, a passi di 10 mm, con superficie entro il limite della portata; a parità di superficie, la più profonda</t>
        </is>
      </c>
      <c r="E117" s="10" t="inlineStr">
        <is>
          <t>—</t>
        </is>
      </c>
      <c r="F117" s="10" t="inlineStr">
        <is>
          <t>scelta del software</t>
        </is>
      </c>
      <c r="G117" s="10" t="inlineStr">
        <is>
          <t>scelta del software</t>
        </is>
      </c>
      <c r="H117" s="10" t="inlineStr">
        <is>
          <t>—</t>
        </is>
      </c>
      <c r="I117" s="11" t="n"/>
      <c r="J117" s="11" t="n"/>
      <c r="K117" s="11" t="n"/>
      <c r="L117" s="11" t="n"/>
      <c r="M117" s="11" t="n"/>
      <c r="N117" s="11" t="n"/>
    </row>
    <row r="118" ht="225" customHeight="1">
      <c r="A118" s="10" t="n">
        <v>116</v>
      </c>
      <c r="B118" s="10" t="inlineStr">
        <is>
          <t>Vano: limiti del progetto</t>
        </is>
      </c>
      <c r="C118" s="10" t="inlineStr">
        <is>
          <t>Quote della pianta fissate a mano</t>
        </is>
      </c>
      <c r="D118" s="10" t="inlineStr">
        <is>
          <t>ogni quota della pianta (cabina, porte, operatore della porta di cabina, guide, contrappeso) si può fissare a mano al posto di quella proposta; la cabina resta fuori dalle zone di porte, guide e contrappeso, le guide del contrappeso nel loro spazio (laterale: fuori dalle zone delle porte che ha di fronte più il gioco d'estremità; arcata a zaino: tra i piedi delle guide di cabina meno il gioco delle staffe) e la luce di ogni porta dentro la cabina; altrimenti «Non conforme». Anche gli ammortizzatori si possono spostare: quelli di cabina restano con il piatto sotto la piattaforma e fuori dalla pianta dello spazio di rifugio in fossa (UNI EN 81-20, 5.2.5.8.1), quello del contrappeso dentro la lunghezza del contrappeso (la stessa verifica vale per quelli messi dal software: ammortizzatori.posizione)</t>
        </is>
      </c>
      <c r="E118" s="10" t="inlineStr">
        <is>
          <t>—</t>
        </is>
      </c>
      <c r="F118" s="10" t="inlineStr">
        <is>
          <t>scelta del software</t>
        </is>
      </c>
      <c r="G118" s="10" t="inlineStr">
        <is>
          <t>scelta del software</t>
        </is>
      </c>
      <c r="H118" s="10" t="inlineStr">
        <is>
          <t>quote fissate a mano: ingombri al loro posto; quote fissate a mano: porte dentro la cabina; ammortizzatori fissati a mano: sotto cabina e contrappeso, fuori dal rifugio</t>
        </is>
      </c>
      <c r="I118" s="11" t="n"/>
      <c r="J118" s="11" t="n"/>
      <c r="K118" s="11" t="n"/>
      <c r="L118" s="11" t="n"/>
      <c r="M118" s="11" t="n"/>
      <c r="N118" s="11" t="n"/>
    </row>
    <row r="119" ht="82" customHeight="1">
      <c r="A119" s="10" t="n">
        <v>117</v>
      </c>
      <c r="B119" s="10" t="inlineStr">
        <is>
          <t>Vano: limiti del progetto</t>
        </is>
      </c>
      <c r="C119" s="10" t="inlineStr">
        <is>
          <t>Limiti del modello del vano</t>
        </is>
      </c>
      <c r="D119" s="10" t="inlineStr">
        <is>
          <t>pianta, sezione A-A e locale macchina da un modello semplificato: arcata, operatori delle porte, ammortizzatori e macchina hanno posizioni e ingombri tipici, da sostituire con i dati dei fornitori; il rilievo dal disegno CAD va controllato in cantiere</t>
        </is>
      </c>
      <c r="E119" s="10" t="inlineStr">
        <is>
          <t>—</t>
        </is>
      </c>
      <c r="F119" s="10" t="inlineStr">
        <is>
          <t>limite del modello attuale</t>
        </is>
      </c>
      <c r="G119" s="10" t="inlineStr">
        <is>
          <t>scelta del software</t>
        </is>
      </c>
      <c r="H119" s="10" t="inlineStr">
        <is>
          <t>—</t>
        </is>
      </c>
      <c r="I119" s="11" t="n"/>
      <c r="J119" s="11" t="n"/>
      <c r="K119" s="11" t="n"/>
      <c r="L119" s="11" t="n"/>
      <c r="M119" s="11" t="n"/>
      <c r="N119" s="11" t="n"/>
    </row>
    <row r="120" ht="238" customHeight="1">
      <c r="A120" s="10" t="n">
        <v>118</v>
      </c>
      <c r="B120" s="10" t="inlineStr">
        <is>
          <t>Vano: limiti del progetto</t>
        </is>
      </c>
      <c r="C120" s="10" t="inlineStr">
        <is>
          <t>Verifiche che il software non calcola</t>
        </is>
      </c>
      <c r="D120" s="10" t="inlineStr">
        <is>
          <t>da fare a parte, con i dati dei fornitori: sollecitazioni e frecce delle staffe e delle guide del contrappeso (UNI EN 81-50:2020, 5.10: il software verifica le guide di cabina, sul foglio 1 delle tavole); puleggia del contrappeso in taglia 2:1 sotto il soffitto; paracadute del contrappeso con spazi accessibili sotto il vano; distanza tra le parti fisse più alte della fossa e quelle più basse della cabina sugli ammortizzatori; sporgenze nel vano oltre 150 mm senza balaustra; locale della macchina in basso (dimensioni e spazi di manovra: il software non lo disegna); movimento incontrollato della cabina (UCM) e velocità eccessiva in salita con la nuova macchina; muro sotto la soglia di piano (5.2.5.3.2 a)); le soluzioni della UNI EN 81-21:2022 per testata, fossa, locale e porte ridotti (le verifiche in sezione seguono solo la UNI EN 81-20:2020)</t>
        </is>
      </c>
      <c r="E120" s="10" t="inlineStr">
        <is>
          <t>UNI EN 81-20:2020: guide e staffe 5.7.2–5.7.4 (con UNI EN 81-50:2020, 5.10); distanze in testata 5.2.5.7.2; spazi accessibili sotto il vano 5.2.5.4; parti fisse in fossa 5.2.5.8.2; sporgenze oltre 0,15 m 5.2.5.2.2.2; locale del macchinario 5.2.6.3; velocità eccessiva in salita 5.6.6; movimento incontrollato 5.6.7</t>
        </is>
      </c>
      <c r="F120" s="10" t="inlineStr">
        <is>
          <t>UNI EN 81-20:2020, testo della norma, letto il 2026-10-06, pp. 31–43, 89–97; analisi delle lacune del 2026-10-03</t>
        </is>
      </c>
      <c r="G120" s="10" t="inlineStr">
        <is>
          <t>scelta del software</t>
        </is>
      </c>
      <c r="H120" s="10" t="inlineStr">
        <is>
          <t>—</t>
        </is>
      </c>
      <c r="I120" s="11" t="n"/>
      <c r="J120" s="11" t="n"/>
      <c r="K120" s="11" t="n"/>
      <c r="L120" s="11" t="n"/>
      <c r="M120" s="11" t="n"/>
      <c r="N120" s="11" t="n"/>
    </row>
    <row r="121" ht="56" customHeight="1">
      <c r="A121" s="10" t="n">
        <v>119</v>
      </c>
      <c r="B121" s="10" t="inlineStr">
        <is>
          <t>Impianto: valori calcolati dai dati inseriti una volta</t>
        </is>
      </c>
      <c r="C121" s="10" t="inlineStr">
        <is>
          <t>Corsa</t>
        </is>
      </c>
      <c r="D121" s="10" t="inlineStr">
        <is>
          <t>somma delle altezze tra i piani, dal più basso al più alto</t>
        </is>
      </c>
      <c r="E121" s="10" t="inlineStr">
        <is>
          <t>—</t>
        </is>
      </c>
      <c r="F121" s="10" t="inlineStr">
        <is>
          <t>dati dei piani inseriti</t>
        </is>
      </c>
      <c r="G121" s="10" t="inlineStr">
        <is>
          <t>derivazione</t>
        </is>
      </c>
      <c r="H121" s="10" t="inlineStr">
        <is>
          <t>—</t>
        </is>
      </c>
      <c r="I121" s="11" t="n"/>
      <c r="J121" s="11" t="n"/>
      <c r="K121" s="11" t="n"/>
      <c r="L121" s="11" t="n"/>
      <c r="M121" s="11" t="n"/>
      <c r="N121" s="11" t="n"/>
    </row>
    <row r="122" ht="56" customHeight="1">
      <c r="A122" s="10" t="n">
        <v>120</v>
      </c>
      <c r="B122" s="10" t="inlineStr">
        <is>
          <t>Impianto: valori calcolati dai dati inseriti una volta</t>
        </is>
      </c>
      <c r="C122" s="10" t="inlineStr">
        <is>
          <t>Portata e velocità — In una modifica il confronto con i carichi documentati è nella voce impianto.variazione.carico.</t>
        </is>
      </c>
      <c r="D122" s="10" t="inlineStr">
        <is>
          <t>la portata inserita, oppure quella della cabina più grande che entra nel vano (Tabella 6); la velocità è una sola per il vano e per la macchina</t>
        </is>
      </c>
      <c r="E122" s="10" t="inlineStr">
        <is>
          <t>UNI EN 81-20:2020, 5.4.2.1</t>
        </is>
      </c>
      <c r="F122" s="10" t="inlineStr">
        <is>
          <t>progetto del vano</t>
        </is>
      </c>
      <c r="G122" s="10" t="inlineStr">
        <is>
          <t>derivazione</t>
        </is>
      </c>
      <c r="H122" s="10" t="inlineStr">
        <is>
          <t>—</t>
        </is>
      </c>
      <c r="I122" s="11" t="n"/>
      <c r="J122" s="11" t="n"/>
      <c r="K122" s="11" t="n"/>
      <c r="L122" s="11" t="n"/>
      <c r="M122" s="11" t="n"/>
      <c r="N122" s="11" t="n"/>
    </row>
    <row r="123" ht="212" customHeight="1">
      <c r="A123" s="10" t="n">
        <v>121</v>
      </c>
      <c r="B123" s="10" t="inlineStr">
        <is>
          <t>Impianto: valori calcolati dai dati inseriti una volta</t>
        </is>
      </c>
      <c r="C123" s="10" t="inlineStr">
        <is>
          <t>Modifica: variazione dei carichi rispetto allo stato documentato — T* della norma non comprende funi e cavi: P del calcolo comprende la quota del cavo flessibile, che si annulla nel confronto se resta la stessa. Quale portata decide la riga del prospetto non è detto nel testo (scelta prudente del software); con la -11 il 10 % si somma alle modifiche precedenti: lo stato documentato è quello dell'impianto originale</t>
        </is>
      </c>
      <c r="D123" s="10" t="inlineStr">
        <is>
          <t>con i carichi dell'ultimo verbale (collaudo o verifica straordinaria) — portata, cabina vuota completa P, contrappeso — e quelli del progetto, T* = P + Q: con la UNI 10411-1 le verifiche del carico entrano nell'esito se la portata cresce oltre il 10 % o T* oltre il 15 % (portata fino a 500 kg; oltre: 5 % e 10 %, prospetto 1) o se il contrappeso cresce oltre il 25 % della portata (oltre 500 kg: 10 %, prospetto 2); con la UNI 10411-11 a ogni aumento, e oltre il 10 % anche le strutture (punto 5, escluse fino a lì dal 6.2); un carico che diminuisce le porta anch'esso (ammortizzatori, paracadute progressivo). Con le due portate a cavallo di 500 kg vale la riga più severa, e la quota del contrappeso si misura sulla portata minore</t>
        </is>
      </c>
      <c r="E123" s="10" t="inlineStr">
        <is>
          <t>UNI 10411-1:2024, 6.1 (prospetti 1 e 2); UNI 10411-11:2024, 6.1 e 6.2</t>
        </is>
      </c>
      <c r="F123" s="10" t="inlineStr">
        <is>
          <t>UNI 10411-1:2024, testo della norma, letto il 2026-10-06, p. 7; UNI 10411-11:2024, testo della norma, letto il 2026-10-06, pp. 7–8</t>
        </is>
      </c>
      <c r="G123" s="10" t="inlineStr">
        <is>
          <t>confermato</t>
        </is>
      </c>
      <c r="H123" s="10" t="inlineStr">
        <is>
          <t>—</t>
        </is>
      </c>
      <c r="I123" s="11" t="n"/>
      <c r="J123" s="11" t="n"/>
      <c r="K123" s="11" t="n"/>
      <c r="L123" s="11" t="n"/>
      <c r="M123" s="11" t="n"/>
      <c r="N123" s="11" t="n"/>
    </row>
    <row r="124" ht="108" customHeight="1">
      <c r="A124" s="10" t="n">
        <v>122</v>
      </c>
      <c r="B124" s="10" t="inlineStr">
        <is>
          <t>Impianto: valori calcolati dai dati inseriti una volta</t>
        </is>
      </c>
      <c r="C124" s="10" t="inlineStr">
        <is>
          <t>Modifica: UNI 10411-1 o UNI 10411-11 — la data dal DPR 162/1999 è una lettura dell'articolo 19 (messa in servizio secondo le regole precedenti fino al 30 giugno 1999)</t>
        </is>
      </c>
      <c r="D124" s="10" t="inlineStr">
        <is>
          <t>dalla marcatura CE dell'impianto — dichiarazione di conformità CE/UE nel libretto e marcatura nella cabina —: presente UNI 10411-11, assente UNI 10411-1; non nota, dalla data di messa in servizio: fino al 30 giugno 1999 UNI 10411-1, dal 01/07/1999 UNI 10411-11, da confermare con il libretto (la relazione lo riporta). La targa dell'impianto non lo dice</t>
        </is>
      </c>
      <c r="E124" s="10" t="inlineStr">
        <is>
          <t>UNI 10411-11:2024, 1 e 3.3–3.4; UNI 10411-1:2024, 1; DPR 162/1999, art. 7 c.2, art. 16 c.1 e c.3, art. 19 c.1</t>
        </is>
      </c>
      <c r="F124" s="10" t="inlineStr">
        <is>
          <t>UNI 10411-1:2024, testo della norma, letto il 2026-10-06, p. 5; UNI 10411-11:2024, testo della norma, letto il 2026-10-06, pp. 5–6; DPR 162/1999 (testo su Normattiva)</t>
        </is>
      </c>
      <c r="G124" s="10" t="inlineStr">
        <is>
          <t>confermato</t>
        </is>
      </c>
      <c r="H124" s="10" t="inlineStr">
        <is>
          <t>—</t>
        </is>
      </c>
      <c r="I124" s="11" t="n"/>
      <c r="J124" s="11" t="n"/>
      <c r="K124" s="11" t="n"/>
      <c r="L124" s="11" t="n"/>
      <c r="M124" s="11" t="n"/>
      <c r="N124" s="11" t="n"/>
    </row>
    <row r="125" ht="316" customHeight="1">
      <c r="A125" s="10" t="n">
        <v>123</v>
      </c>
      <c r="B125" s="10" t="inlineStr">
        <is>
          <t>Impianto: valori calcolati dai dati inseriti una volta</t>
        </is>
      </c>
      <c r="C125" s="10" t="inlineStr">
        <is>
          <t>Normativa di collaudo e parti sostituite o modificate — lo scopo delle due UNI 10411 e i requisiti per la sostituzione del macchinario (punto 14) sono letti sul testo (voce sostituzione.adeguamenti); quali verifiche riguardano ciascuna parte e la matrice delle norme compatibili sono una lettura del software, da approvare dall'ingegnere</t>
        </is>
      </c>
      <c r="D125" s="10" t="inlineStr">
        <is>
          <t>impianto nuovo: UNI EN 81-20:2020 e UNI EN 81-50:2020, ogni verifica entra nell'esito; modifica di un impianto esistente: UNI 10411-1:2024 (ascensore elettrico a frizione non conforme alla Direttiva Ascensori) o UNI 10411-11:2024 (a frizione, conforme alla 95/16/CE o alla 2014/33/UE), a scelta dell'utente: entrano nell'esito le verifiche che riguardano le parti sostituite o modificate (comprese le variazioni di velocità, portata e corsa), le altre sono riportate come «esistente» con il valore calcolato. Quali parti riguarda ciascuna verifica è una lettura del software. Alla norma base si aggiungono le norme compatibili (matrice della ricerca, cap. 16 §5.2): sull'impianto nuovo le EN 81 supplementari (21, 28, 58, 70, 71, 72, 73, 76, 77), sulla modifica la EN 81-20/50 intera, le EN 81-28, 58, 73 e il miglioramento (80, 82, 83), su entrambi DM 236/1989, antincendio (DM 15/09/2005 o Codice V.3) e NTC 2018 (con le verifiche delle putrelle). Ogni norma ha il suo esito («non calcolata» se il software non ne calcola verifiche) e i suoi punti da verificare in sito nella relazione, con gli adempimenti del DPR 162/1999</t>
        </is>
      </c>
      <c r="E125" s="10" t="inlineStr">
        <is>
          <t>DPR 162/1999 e s.m.i.; UNI 10411-1:2024; UNI 10411-11:2024; UNI EN 81-20:2020; UNI EN 81-50:2020</t>
        </is>
      </c>
      <c r="F125" s="10" t="inlineStr">
        <is>
          <t>UNI 10411-1:2024, testo della norma, letto il 2026-10-06, pp. 5, 13–14; UNI 10411-11:2024, testo della norma, letto il 2026-10-06, pp. 5, 12; schema ICIM delle verifiche (la verifica straordinaria si limita di norma alle modifiche); ricerca, capitoli 2.4 e 6.6</t>
        </is>
      </c>
      <c r="G125" s="10" t="inlineStr">
        <is>
          <t>scelta del software</t>
        </is>
      </c>
      <c r="H125" s="10" t="inlineStr">
        <is>
          <t>—</t>
        </is>
      </c>
      <c r="I125" s="11" t="n"/>
      <c r="J125" s="11" t="n"/>
      <c r="K125" s="11" t="n"/>
      <c r="L125" s="11" t="n"/>
      <c r="M125" s="11" t="n"/>
      <c r="N125" s="11" t="n"/>
    </row>
    <row r="126" ht="264" customHeight="1">
      <c r="A126" s="10" t="n">
        <v>124</v>
      </c>
      <c r="B126" s="10" t="inlineStr">
        <is>
          <t>Impianto: valori calcolati dai dati inseriti una volta</t>
        </is>
      </c>
      <c r="C126" s="10" t="inlineStr">
        <is>
          <t>Rifacimento con l'arcata esistente — il DPR 162/1999 elenca le modifiche costruttive senza dire quando l'insieme diventa una sostituzione completa; la UNI 10411-1/-11:2024 (21.1) chiama modifica sostanziale il cambio insieme di quadro, macchina, almeno una porta di piano, cabina e arcata, con il risultato secondo la UNI EN 81-20:2020: tenendo l'arcata il 21.1 non si applica. Una cabina nuova nell'arcata esistente segue la UNI EN 81-20 5.4.1–5.4.10 (UNI 10411-1:2024, 22; con porte di cabina a battente fino a +0,10 m² di superficie senza cambiare la portata, 22 f)). La qualificazione dell'intervento la conferma il tecnico incaricato con il soggetto che esegue la verifica straordinaria</t>
        </is>
      </c>
      <c r="D126" s="10" t="inlineStr">
        <is>
          <t>si sostituiscono tutte le parti tranne l'arcata, che resta: le sostituzioni sono modifiche costruttive dell'impianto esistente, che si collauda secondo UNI 10411-1:2024 o UNI 10411-11:2024 e non come impianto nuovo; le verifiche che riguardano solo l'arcata (il tipo di paracadute, se la velocità non cambia) sono riportate come «esistente». La sostituzione completa dell'ascensore, arcata compresa, si collauda come impianto nuovo (UNI EN 81-20:2020 e UNI EN 81-50:2020; negli edifici esistenti anche la UNI EN 81-21:2022, supplementare)</t>
        </is>
      </c>
      <c r="E126" s="10" t="inlineStr">
        <is>
          <t>DPR 162/1999 e s.m.i., art. 2 c.1 lett. cc), art. 12 c.4, art. 14 c.3; UNI 10411-1:2024; UNI 10411-11:2024; UNI EN 81-21:2022 (scopo)</t>
        </is>
      </c>
      <c r="F126" s="10" t="inlineStr">
        <is>
          <t>indicazione del cliente (5 ottobre 2026): prassi di lasciare l'arcata; ricerca, capitolo 16 §3.2 e §5.3</t>
        </is>
      </c>
      <c r="G126" s="10" t="inlineStr">
        <is>
          <t>prassi di cantiere</t>
        </is>
      </c>
      <c r="H126" s="10" t="inlineStr">
        <is>
          <t>—</t>
        </is>
      </c>
      <c r="I126" s="11" t="n"/>
      <c r="J126" s="11" t="n"/>
      <c r="K126" s="11" t="n"/>
      <c r="L126" s="11" t="n"/>
      <c r="M126" s="11" t="n"/>
      <c r="N126" s="11" t="n"/>
    </row>
    <row r="127" ht="69" customHeight="1">
      <c r="A127" s="10" t="n">
        <v>125</v>
      </c>
      <c r="B127" s="10" t="inlineStr">
        <is>
          <t>Impianto: valori calcolati dai dati inseriti una volta</t>
        </is>
      </c>
      <c r="C127" s="10" t="inlineStr">
        <is>
          <t>Massa della cabina non inserita — va sostituita con la massa del libretto o con quella ricavata dalla prova di bilanciamento; la sensibilità ±10% ne mostra l'effetto</t>
        </is>
      </c>
      <c r="D127" s="10" t="inlineStr">
        <is>
          <t>P = 1,1·Q arrotondata per eccesso a 10 kg: valore di partenza per far girare il calcolo</t>
        </is>
      </c>
      <c r="E127" s="10" t="inlineStr">
        <is>
          <t>ricerca, capitoli 3 e 6 (origine della massa della cabina)</t>
        </is>
      </c>
      <c r="F127" s="10" t="inlineStr">
        <is>
          <t>scelta del software, senza fonte</t>
        </is>
      </c>
      <c r="G127" s="10" t="inlineStr">
        <is>
          <t>stima</t>
        </is>
      </c>
      <c r="H127" s="10" t="inlineStr">
        <is>
          <t>—</t>
        </is>
      </c>
      <c r="I127" s="11" t="n"/>
      <c r="J127" s="11" t="n"/>
      <c r="K127" s="11" t="n"/>
      <c r="L127" s="11" t="n"/>
      <c r="M127" s="11" t="n"/>
      <c r="N127" s="11" t="n"/>
    </row>
    <row r="128" ht="108" customHeight="1">
      <c r="A128" s="10" t="n">
        <v>126</v>
      </c>
      <c r="B128" s="10" t="inlineStr">
        <is>
          <t>Impianto: valori calcolati dai dati inseriti una volta</t>
        </is>
      </c>
      <c r="C128" s="10" t="inlineStr">
        <is>
          <t>Fune oltre la corsa (L0)</t>
        </is>
      </c>
      <c r="D128" s="10" t="inlineStr">
        <is>
          <t>dalla sommità dell'arcata con la cabina all'ultimo piano fino all'asse della puleggia: testata − sommità dell'arcata + soletta del locale + asse della puleggia a 0,9·D sul pavimento del locale; con la puleggia di rinvio, l'asse sul basamento o sul telaio che la porta (voce locale.rinvio); macchina in basso o senza locale: fino al soffitto del vano</t>
        </is>
      </c>
      <c r="E128" s="10" t="inlineStr">
        <is>
          <t>—</t>
        </is>
      </c>
      <c r="F128" s="10" t="inlineStr">
        <is>
          <t>dati verticali del vano; altezza dell'asse scelta dal software</t>
        </is>
      </c>
      <c r="G128" s="10" t="inlineStr">
        <is>
          <t>scelta del software</t>
        </is>
      </c>
      <c r="H128" s="10" t="inlineStr">
        <is>
          <t>—</t>
        </is>
      </c>
      <c r="I128" s="11" t="n"/>
      <c r="J128" s="11" t="n"/>
      <c r="K128" s="11" t="n"/>
      <c r="L128" s="11" t="n"/>
      <c r="M128" s="11" t="n"/>
      <c r="N128" s="11" t="n"/>
    </row>
    <row r="129" ht="147" customHeight="1">
      <c r="A129" s="10" t="n">
        <v>127</v>
      </c>
      <c r="B129" s="10" t="inlineStr">
        <is>
          <t>Impianto: valori calcolati dai dati inseriti una volta</t>
        </is>
      </c>
      <c r="C129" s="10" t="inlineStr">
        <is>
          <t>Distanza orizzontale della puleggia di rinvio (dx)</t>
        </is>
      </c>
      <c r="D129" s="10" t="inlineStr">
        <is>
          <t>calata tra la fune di cabina e quella del contrappeso in pianta − D/2 − Dp/2 (rinvio semplice: la fune scende dal lato esterno della puleggia di rinvio); se la fune deve rientrare, − D/2 + Dp/2 (rinvio inverso: dal lato interno); con taglia 2:1 la calata è minore di Dp, perché le funi salgono dal lato interno delle pulegge di cabina e di contrappeso. La puleggia di frizione sopra la cabina, il rinvio sopra il contrappeso; se nessuna delle due geometrie torna con l'angolo di avvolgimento, la distanza va misurata sull'impianto</t>
        </is>
      </c>
      <c r="E129" s="10" t="inlineStr">
        <is>
          <t>ricerca, capitolo 5.3</t>
        </is>
      </c>
      <c r="F129" s="10" t="inlineStr">
        <is>
          <t>pianta del vano</t>
        </is>
      </c>
      <c r="G129" s="10" t="inlineStr">
        <is>
          <t>derivazione</t>
        </is>
      </c>
      <c r="H129" s="10" t="inlineStr">
        <is>
          <t>—</t>
        </is>
      </c>
      <c r="I129" s="11" t="n"/>
      <c r="J129" s="11" t="n"/>
      <c r="K129" s="11" t="n"/>
      <c r="L129" s="11" t="n"/>
      <c r="M129" s="11" t="n"/>
      <c r="N129" s="11" t="n"/>
    </row>
    <row r="130" ht="160" customHeight="1">
      <c r="A130" s="10" t="n">
        <v>128</v>
      </c>
      <c r="B130" s="10" t="inlineStr">
        <is>
          <t>Impianto: valori calcolati dai dati inseriti una volta</t>
        </is>
      </c>
      <c r="C130" s="10" t="inlineStr">
        <is>
          <t>Tiro diretto (senza rinvio): calata uguale al diametro della puleggia — con un diametro diverso dalla calata le funi si inclinano verso gli attacchi: nella sostituzione con il confronto il calcolo ne tiene conto per la nuova puleggia; oltre pochi millimetri servono una puleggia di rinvio o il contrappeso spostato (quota «Calata» in pianta)</t>
        </is>
      </c>
      <c r="D130" s="10" t="inlineStr">
        <is>
          <t>senza rinvio le due calate scendono dai due lati della puleggia di frizione: la loro distanza in pianta (dall'asse della cabina a quello del contrappeso, meno Dp con la taglia 2:1) è il diametro primitivo D. La macchina proposta ha la puleggia di diametro uguale alla calata della pianta, se è nella gamma del calcolo (da 320 a 800 mm); una macchina inserita a mano, o nella sostituzione con il confronto la macchina esistente (i suoi attacchi restano), con un diametro che si scosta dalla calata più di 1 mm è segnalata e il progetto non si salva</t>
        </is>
      </c>
      <c r="E130" s="10" t="inlineStr">
        <is>
          <t>ricerca, capitolo 5.3 (angolo di avvolgimento del tiro diretto)</t>
        </is>
      </c>
      <c r="F130" s="10" t="inlineStr">
        <is>
          <t>geometria delle funi</t>
        </is>
      </c>
      <c r="G130" s="10" t="inlineStr">
        <is>
          <t>derivazione</t>
        </is>
      </c>
      <c r="H130" s="10" t="inlineStr">
        <is>
          <t>—</t>
        </is>
      </c>
      <c r="I130" s="11" t="n"/>
      <c r="J130" s="11" t="n"/>
      <c r="K130" s="11" t="n"/>
      <c r="L130" s="11" t="n"/>
      <c r="M130" s="11" t="n"/>
      <c r="N130" s="11" t="n"/>
    </row>
    <row r="131" ht="56" customHeight="1">
      <c r="A131" s="10" t="n">
        <v>129</v>
      </c>
      <c r="B131" s="10" t="inlineStr">
        <is>
          <t>Impianto: valori calcolati dai dati inseriti una volta</t>
        </is>
      </c>
      <c r="C131" s="10" t="inlineStr">
        <is>
          <t>Macchina in basso: altezza fino alle pulegge in alto (Hv)</t>
        </is>
      </c>
      <c r="D131" s="10" t="inlineStr">
        <is>
          <t>dall'asse dei rinvii in testata all'asse della puleggia di frizione, secondo lo schema delle funi (impianto.basso.schema); la puleggia ha l'asse a 0,9·D sul pavimento del suo locale</t>
        </is>
      </c>
      <c r="E131" s="10" t="inlineStr">
        <is>
          <t>ricerca, capitolo 5; funi con la macchina in basso, capitolo 2.6</t>
        </is>
      </c>
      <c r="F131" s="10" t="inlineStr">
        <is>
          <t>dati verticali del vano</t>
        </is>
      </c>
      <c r="G131" s="10" t="inlineStr">
        <is>
          <t>derivazione</t>
        </is>
      </c>
      <c r="H131" s="10" t="inlineStr">
        <is>
          <t>—</t>
        </is>
      </c>
      <c r="I131" s="11" t="n"/>
      <c r="J131" s="11" t="n"/>
      <c r="K131" s="11" t="n"/>
      <c r="L131" s="11" t="n"/>
      <c r="M131" s="11" t="n"/>
      <c r="N131" s="11" t="n"/>
    </row>
    <row r="132" ht="316" customHeight="1">
      <c r="A132" s="10" t="n">
        <v>130</v>
      </c>
      <c r="B132" s="10" t="inlineStr">
        <is>
          <t>Impianto: valori calcolati dai dati inseriti una volta</t>
        </is>
      </c>
      <c r="C132" s="10" t="inlineStr">
        <is>
          <t>Macchina in basso: schema delle funi — lo schema reale va rilevato sull'impianto; con la macchina sotto il vano lo spazio sotto la fossa è accessibile: paracadute del contrappeso — la EN 81-20 non ammette più il pilastro pieno fino al terreno — (UNI EN 81-20:2020, 5.2.5.4) e fondo della fossa per le reazioni degli ammortizzatori; in una modifica la UNI 10411-1:2024 (6.14) accetta al posto del paracadute un pilastro esistente fino al terreno, verificato per i nuovi carichi</t>
        </is>
      </c>
      <c r="D132" s="10" t="inlineStr">
        <is>
          <t>tre schemi: rinvii appesi sotto la soletta del vano (assi a Dp/2 + 120 mm sotto il soffitto), macchina nel locale al piano più basso oltre la parete del contrappeso con la puleggia nel vano; locale pulegge sopra la soletta (assi a 450 mm sul pavimento del locale, soletta di 250 mm se il locale non è progettato), macchina come sopra; macchina sotto il vano, in un locale alto 2400 mm sotto la soletta della fossa di 300 mm, rinvii sotto la soletta. Il locale della macchina accanto al vano è lungo 2200 mm oltre la parete, largo 2600 mm e alto 2400 mm, con la porta sul fianco e il quadro sulla parete di fondo; quello sotto il vano è grande quanto il vano. Tutti e due si allargano dove la macchina ne esce, fino a 500 mm oltre il suo ingombro. I due rami alla macchina salgono dietro il contrappeso a 50 mm dalla parete e dal contrappeso, la puleggia con il piano parallelo alla parete; per lato un rinvio a 180° se il ramo dista dalla calata in pianta non più di Dp, altrimenti due rinvii a 90° con un tratto orizzontale. Il calcolo conta due rinvii per la macchina in basso: gli altri entrano come flessioni semplici aggiuntive (nps)</t>
        </is>
      </c>
      <c r="E132" s="10" t="inlineStr">
        <is>
          <t>ricerca, funi con la macchina in basso, capitoli 2–5; DPR 1497/1963 artt. 5–9, 33</t>
        </is>
      </c>
      <c r="F132" s="10" t="inlineStr">
        <is>
          <t>geometria ricostruita dal software</t>
        </is>
      </c>
      <c r="G132" s="10" t="inlineStr">
        <is>
          <t>scelta del software</t>
        </is>
      </c>
      <c r="H132" s="10" t="inlineStr">
        <is>
          <t>—</t>
        </is>
      </c>
      <c r="I132" s="11" t="n"/>
      <c r="J132" s="11" t="n"/>
      <c r="K132" s="11" t="n"/>
      <c r="L132" s="11" t="n"/>
      <c r="M132" s="11" t="n"/>
      <c r="N132" s="11" t="n"/>
    </row>
    <row r="133" ht="251" customHeight="1">
      <c r="A133" s="10" t="n">
        <v>131</v>
      </c>
      <c r="B133" s="10" t="inlineStr">
        <is>
          <t>Impianto: valori calcolati dai dati inseriti una volta</t>
        </is>
      </c>
      <c r="C133" s="10" t="inlineStr">
        <is>
          <t>Macchina proposta dal catalogo di un costruttore — la tolleranza sul rapporto è una scelta del software: la velocità reale con l'inverter deve restare entro il 5 % sopra la nominale (UNI EN 81-20:2020, 5.9.2.4; buona pratica non oltre l'8 % sotto); i dati di Sassi, Montanari, GEM e FAER vengono da estratti dei motori di ricerca, non dai documenti; tutti vanno confermati sulla scheda del costruttore prima dell'ordine; per Montanari la massa è quella del riduttore (senza motore, puleggia e volano) e le pulegge sono quelle delle configurazioni tipiche; GEAT Elevators distribuisce argani Montanari, Sassi e FAER (P58F, P58S) e non ne costruisce</t>
        </is>
      </c>
      <c r="D133" s="10" t="inlineStr">
        <is>
          <t>tra le opzioni del dimensionamento solo quelle che un argano del costruttore scelto accetta: puleggia nella gamma del modello, carico statico sull'albero non oltre quello del catalogo, motore non oltre il più grande del catalogo, portata dichiarata; il rapporto è quello del catalogo più vicino al rapporto ideale, se la velocità che dà non si scosta da quella nominale più del 10 % (l'inverter adatta la frequenza); il calcolo usa quel rapporto, il carico statico ammesso e la massa del catalogo; i disegni e il 3D mostrano l'argano SICOR com'è (ingombri, piedi e fori, asse della puleggia, P ed E della scheda), sul telaio del software</t>
        </is>
      </c>
      <c r="E133" s="10" t="inlineStr">
        <is>
          <t>ricerca, capitolo 12 (catalogo degli argani)</t>
        </is>
      </c>
      <c r="F133" s="10" t="inlineStr">
        <is>
          <t>SICOR: schede tecniche 2025 e modelli CAD scaricati da sicoritaly.com il 2 ottobre 2026 (solo le quote); Sassi, Montanari, GEM, FAER: estratti delle pagine dei costruttori e dei rivenditori, 1° ottobre 2026</t>
        </is>
      </c>
      <c r="G133" s="10" t="inlineStr">
        <is>
          <t>scelta del software</t>
        </is>
      </c>
      <c r="H133" s="10" t="inlineStr">
        <is>
          <t>—</t>
        </is>
      </c>
      <c r="I133" s="11" t="n"/>
      <c r="J133" s="11" t="n"/>
      <c r="K133" s="11" t="n"/>
      <c r="L133" s="11" t="n"/>
      <c r="M133" s="11" t="n"/>
      <c r="N133" s="11" t="n"/>
    </row>
    <row r="134" ht="134" customHeight="1">
      <c r="A134" s="10" t="n">
        <v>132</v>
      </c>
      <c r="B134" s="10" t="inlineStr">
        <is>
          <t>Impianto: valori calcolati dai dati inseriti una volta</t>
        </is>
      </c>
      <c r="C134" s="10" t="inlineStr">
        <is>
          <t>Macchina proposta — una griglia di calcolo, non un catalogo: il modello reale va scelto dal costruttore con questi valori. La puleggia cambia la geometria delle funi (fune oltre la corsa, distanza del rinvio): ogni puleggia della griglia è dimensionata con la propria, e con il rinvio dalla pianta solo le pulegge per cui la pianta sa posizionare il rinvio</t>
        </is>
      </c>
      <c r="D134" s="10" t="inlineStr">
        <is>
          <t>la prima opzione del dimensionamento (capitolo 8): puleggia, funi, rapporto, gola, motore e freno che passano ogni verifica; con le ipotesi del gruppo (poli, giri, rendimenti, inerzie) inserite</t>
        </is>
      </c>
      <c r="E134" s="10" t="inlineStr">
        <is>
          <t>ricerca, capitolo 8</t>
        </is>
      </c>
      <c r="F134" s="10" t="inlineStr">
        <is>
          <t>motore di calcolo</t>
        </is>
      </c>
      <c r="G134" s="10" t="inlineStr">
        <is>
          <t>scelta del software</t>
        </is>
      </c>
      <c r="H134" s="10" t="inlineStr">
        <is>
          <t>—</t>
        </is>
      </c>
      <c r="I134" s="11" t="n"/>
      <c r="J134" s="11" t="n"/>
      <c r="K134" s="11" t="n"/>
      <c r="L134" s="11" t="n"/>
      <c r="M134" s="11" t="n"/>
      <c r="N134" s="11" t="n"/>
    </row>
    <row r="135" ht="69" customHeight="1">
      <c r="A135" s="10" t="n">
        <v>133</v>
      </c>
      <c r="B135" s="10" t="inlineStr">
        <is>
          <t>Simulazione nel tempo (3D e grafici)</t>
        </is>
      </c>
      <c r="C135" s="10" t="inlineStr">
        <is>
          <t>Forze nella simulazione — agli estremi della corsa e alle accelerazioni della verifica i valori coincidono con quelli della verifica (test automatico)</t>
        </is>
      </c>
      <c r="D135" s="10" t="inlineStr">
        <is>
          <t>tiri delle funi, T1/T2, e^(f·α), coppie e decelerazione del freno con le stesse funzioni della verifica (modello delle funi del motore di calcolo), valutate istante per istante con la posizione e l'accelerazione della cabina</t>
        </is>
      </c>
      <c r="E135" s="10" t="inlineStr">
        <is>
          <t>UNI EN 81-50:2020, 5.11 (aderenza); ricerca, capitolo 4</t>
        </is>
      </c>
      <c r="F135" s="10" t="inlineStr">
        <is>
          <t>motore di calcolo (src/calc/model.ts)</t>
        </is>
      </c>
      <c r="G135" s="10" t="inlineStr">
        <is>
          <t>derivazione</t>
        </is>
      </c>
      <c r="H135" s="10" t="inlineStr">
        <is>
          <t>—</t>
        </is>
      </c>
      <c r="I135" s="11" t="n"/>
      <c r="J135" s="11" t="n"/>
      <c r="K135" s="11" t="n"/>
      <c r="L135" s="11" t="n"/>
      <c r="M135" s="11" t="n"/>
      <c r="N135" s="11" t="n"/>
    </row>
    <row r="136" ht="56" customHeight="1">
      <c r="A136" s="10" t="n">
        <v>134</v>
      </c>
      <c r="B136" s="10" t="inlineStr">
        <is>
          <t>Simulazione nel tempo (3D e grafici)</t>
        </is>
      </c>
      <c r="C136" s="10" t="inlineStr">
        <is>
          <t>Profilo del moto tra i piani — accelerazione e strappo sono dati di progetto dell'azionamento, non limiti normativi</t>
        </is>
      </c>
      <c r="D136" s="10" t="inlineStr">
        <is>
          <t>profilo a strappo limitato: velocità nominale, accelerazione di progetto e strappo 1 m/s³; se il tragitto è corto, la velocità più alta che ci sta</t>
        </is>
      </c>
      <c r="E136" s="10" t="inlineStr">
        <is>
          <t>ISO 18738-1:2012 (misura della qualità di marcia, nessun limite)</t>
        </is>
      </c>
      <c r="F136" s="10" t="inlineStr">
        <is>
          <t>scelta del software</t>
        </is>
      </c>
      <c r="G136" s="10" t="inlineStr">
        <is>
          <t>scelta del software</t>
        </is>
      </c>
      <c r="H136" s="10" t="inlineStr">
        <is>
          <t>—</t>
        </is>
      </c>
      <c r="I136" s="11" t="n"/>
      <c r="J136" s="11" t="n"/>
      <c r="K136" s="11" t="n"/>
      <c r="L136" s="11" t="n"/>
      <c r="M136" s="11" t="n"/>
      <c r="N136" s="11" t="n"/>
    </row>
    <row r="137" ht="69" customHeight="1">
      <c r="A137" s="10" t="n">
        <v>135</v>
      </c>
      <c r="B137" s="10" t="inlineStr">
        <is>
          <t>Simulazione nel tempo (3D e grafici)</t>
        </is>
      </c>
      <c r="C137" s="10" t="inlineStr">
        <is>
          <t>Limite di aderenza mostrato durante la marcia</t>
        </is>
      </c>
      <c r="D137" s="10" t="inlineStr">
        <is>
          <t>e^(f·α) con il coefficiente d'attrito della frenatura (μ ridotto con la velocità delle funi): il confronto è indicativo (oltre il limite: avviso, non verifica fallita), la verifica resta quella dei casi della norma</t>
        </is>
      </c>
      <c r="E137" s="10" t="inlineStr">
        <is>
          <t>UNI EN 81-50:2020, 5.11.1 e 5.11.2.3.2 (μ della frenatura)</t>
        </is>
      </c>
      <c r="F137" s="10" t="inlineStr">
        <is>
          <t>scelta del software</t>
        </is>
      </c>
      <c r="G137" s="10" t="inlineStr">
        <is>
          <t>scelta del software</t>
        </is>
      </c>
      <c r="H137" s="10" t="inlineStr">
        <is>
          <t>—</t>
        </is>
      </c>
      <c r="I137" s="11" t="n"/>
      <c r="J137" s="11" t="n"/>
      <c r="K137" s="11" t="n"/>
      <c r="L137" s="11" t="n"/>
      <c r="M137" s="11" t="n"/>
      <c r="N137" s="11" t="n"/>
    </row>
    <row r="138" ht="108" customHeight="1">
      <c r="A138" s="10" t="n">
        <v>136</v>
      </c>
      <c r="B138" s="10" t="inlineStr">
        <is>
          <t>Simulazione nel tempo (3D e grafici)</t>
        </is>
      </c>
      <c r="C138" s="10" t="inlineStr">
        <is>
          <t>Tempi delle porte — La norma non dà tempi: per le porte automatiche orizzontali dà l'energia cinetica (≤ 10 J, ≤ 4 J con il dispositivo di protezione escluso) e la forza contro la chiusura (≤ 150 N) (UNI EN 81-20:2020, 5.3.6.2.2.1), dati del fornitore delle porte.</t>
        </is>
      </c>
      <c r="D138" s="10" t="inlineStr">
        <is>
          <t>apertura 2,5 s, chiusura 3 s, sosta a porte aperte 3 s, partenza 0,5 s dopo la chiusura</t>
        </is>
      </c>
      <c r="E138" s="10" t="inlineStr">
        <is>
          <t>—</t>
        </is>
      </c>
      <c r="F138" s="10" t="inlineStr">
        <is>
          <t>scelta del software (solo animazione)</t>
        </is>
      </c>
      <c r="G138" s="10" t="inlineStr">
        <is>
          <t>scelta del software</t>
        </is>
      </c>
      <c r="H138" s="10" t="inlineStr">
        <is>
          <t>—</t>
        </is>
      </c>
      <c r="I138" s="11" t="n"/>
      <c r="J138" s="11" t="n"/>
      <c r="K138" s="11" t="n"/>
      <c r="L138" s="11" t="n"/>
      <c r="M138" s="11" t="n"/>
      <c r="N138" s="11" t="n"/>
    </row>
    <row r="139" ht="212" customHeight="1">
      <c r="A139" s="10" t="n">
        <v>137</v>
      </c>
      <c r="B139" s="10" t="inlineStr">
        <is>
          <t>Simulazione nel tempo (3D e grafici)</t>
        </is>
      </c>
      <c r="C139" s="10" t="inlineStr">
        <is>
          <t>Urto sugli ammortizzatori — la rigidezza è una scelta del software coerente con i carichi sulla fossa (il tampone in poliuretano reale non è lineare: valori indicativi); la verifica della corsa resta quella della sezione. Le decelerazioni mostrate non sono una verifica: per i tamponi non lineari la norma vuole media ≤ 1 gn, oltre 2,5 gn per non più di 0,04 s, picco ≤ 6 gn e rimbalzo ≤ 1 m/s (5.8.2.1.2.1), per gli idraulici media ≤ 1 gn e oltre 2,5 gn per non più di 0,04 s (5.8.2.2.3); si provano per tipo (certificato del fornitore)</t>
        </is>
      </c>
      <c r="D139" s="10" t="inlineStr">
        <is>
          <t>velocità d'urto 1,15 volte la nominale; molle e tamponi in poliuretano come ammortizzatori lineari con la corsa piena a 4 volte il carico statico (lo stesso valore dei carichi sulla fossa; per i tamponi la corsa utile è 0,9·H); ammortizzatori idraulici con decelerazione costante v₀²/(2·corsa) su tutta la corsa; la cabina e il contrappeso si separano all'urto</t>
        </is>
      </c>
      <c r="E139" s="10" t="inlineStr">
        <is>
          <t>UNI EN 81-20:2020, 5.8.2.1.1.1–5.8.2.1.1.2 (urto al 115 %; corsa piena con un carico statico tra 2,5 e 4 volte: il software prende 4), 5.8.2.1.2.2 (90 %), 5.8.2.2.1 e 5.8.2.2.3 a)</t>
        </is>
      </c>
      <c r="F139" s="10" t="inlineStr">
        <is>
          <t>UNI EN 81-20:2020, testo della norma, letto il 2026-10-06, pp. 98–99</t>
        </is>
      </c>
      <c r="G139" s="10" t="inlineStr">
        <is>
          <t>scelta del software</t>
        </is>
      </c>
      <c r="H139" s="10" t="inlineStr">
        <is>
          <t>—</t>
        </is>
      </c>
      <c r="I139" s="11" t="n"/>
      <c r="J139" s="11" t="n"/>
      <c r="K139" s="11" t="n"/>
      <c r="L139" s="11" t="n"/>
      <c r="M139" s="11" t="n"/>
      <c r="N139" s="11" t="n"/>
    </row>
    <row r="140" ht="82" customHeight="1">
      <c r="A140" s="10" t="n">
        <v>138</v>
      </c>
      <c r="B140" s="10" t="inlineStr">
        <is>
          <t>Simulazione nel tempo (3D e grafici)</t>
        </is>
      </c>
      <c r="C140" s="10" t="inlineStr">
        <is>
          <t>Cabina bloccata: rotazione in salita — La simulazione mostra il contrappeso sugli ammortizzatori con la cabina in alto; la norma chiede anche la cabina vuota in basso, che il calcolo verifica (tr_stall).</t>
        </is>
      </c>
      <c r="D140" s="10" t="inlineStr">
        <is>
          <t>la macchina gira in salita a 0,3 m/s finché il contrappeso poggia sui suoi ammortizzatori; poi le funi devono slittare (T1/T2 ≥ e^(f·α), μ della cabina bloccata)</t>
        </is>
      </c>
      <c r="E140" s="10" t="inlineStr">
        <is>
          <t>UNI EN 81-50:2020, 5.11.2.2.3</t>
        </is>
      </c>
      <c r="F140" s="10" t="inlineStr">
        <is>
          <t>motore di calcolo; velocità scelta dal software</t>
        </is>
      </c>
      <c r="G140" s="10" t="inlineStr">
        <is>
          <t>scelta del software</t>
        </is>
      </c>
      <c r="H140" s="10" t="inlineStr">
        <is>
          <t>—</t>
        </is>
      </c>
      <c r="I140" s="11" t="n"/>
      <c r="J140" s="11" t="n"/>
      <c r="K140" s="11" t="n"/>
      <c r="L140" s="11" t="n"/>
      <c r="M140" s="11" t="n"/>
      <c r="N140" s="11" t="n"/>
    </row>
    <row r="141" ht="43" customHeight="1">
      <c r="A141" s="10" t="n">
        <v>139</v>
      </c>
      <c r="B141" s="10" t="inlineStr">
        <is>
          <t>Simulazione nel tempo (3D e grafici)</t>
        </is>
      </c>
      <c r="C141" s="10" t="inlineStr">
        <is>
          <t>Passo di campionamento</t>
        </is>
      </c>
      <c r="D141" s="10" t="inlineStr">
        <is>
          <t>0,02 s; tra due campioni i valori sono interpolati linearmente</t>
        </is>
      </c>
      <c r="E141" s="10" t="inlineStr">
        <is>
          <t>—</t>
        </is>
      </c>
      <c r="F141" s="10" t="inlineStr">
        <is>
          <t>scelta del software</t>
        </is>
      </c>
      <c r="G141" s="10" t="inlineStr">
        <is>
          <t>scelta del software</t>
        </is>
      </c>
      <c r="H141" s="10" t="inlineStr">
        <is>
          <t>—</t>
        </is>
      </c>
      <c r="I141" s="11" t="n"/>
      <c r="J141" s="11" t="n"/>
      <c r="K141" s="11" t="n"/>
      <c r="L141" s="11" t="n"/>
      <c r="M141" s="11" t="n"/>
      <c r="N141" s="11" t="n"/>
    </row>
    <row r="142" ht="56" customHeight="1">
      <c r="A142" s="10" t="n">
        <v>140</v>
      </c>
      <c r="B142" s="10" t="inlineStr">
        <is>
          <t>Collaudo: adempimenti del DPR 162/1999 (impianto nuovo)</t>
        </is>
      </c>
      <c r="C142" s="10" t="inlineStr">
        <is>
          <t>DPR 162/1999, art. 4-bis</t>
        </is>
      </c>
      <c r="D142" s="10" t="inlineStr">
        <is>
          <t>progetto, fabbricazione, installazione e prove conformi all'All. I; documentazione tecnica e dichiarazione di conformità conservate per 10 anni</t>
        </is>
      </c>
      <c r="E142" s="10" t="inlineStr">
        <is>
          <t>DPR 162/1999, art. 4-bis</t>
        </is>
      </c>
      <c r="F142" s="10" t="inlineStr">
        <is>
          <t>ricerca, cap. 16 (testi ufficiali e schede UNI, 2026-10-02)</t>
        </is>
      </c>
      <c r="G142" s="10" t="inlineStr">
        <is>
          <t>confermato</t>
        </is>
      </c>
      <c r="H142" s="10" t="inlineStr">
        <is>
          <t>—</t>
        </is>
      </c>
      <c r="I142" s="11" t="n"/>
      <c r="J142" s="11" t="n"/>
      <c r="K142" s="11" t="n"/>
      <c r="L142" s="11" t="n"/>
      <c r="M142" s="11" t="n"/>
      <c r="N142" s="11" t="n"/>
    </row>
    <row r="143" ht="56" customHeight="1">
      <c r="A143" s="10" t="n">
        <v>141</v>
      </c>
      <c r="B143" s="10" t="inlineStr">
        <is>
          <t>Collaudo: adempimenti del DPR 162/1999 (impianto nuovo)</t>
        </is>
      </c>
      <c r="C143" s="10" t="inlineStr">
        <is>
          <t>DPR 162/1999 e s.m.i., artt. 6-bis e 7 c.3</t>
        </is>
      </c>
      <c r="D143" s="10" t="inlineStr">
        <is>
          <t>procedura con un organismo notificato (ascensore modello con esame UE del tipo, All. IV B, più All. V, X o XII; oppure All. VIII o XI); marcatura CE in cabina con il numero dell'organismo</t>
        </is>
      </c>
      <c r="E143" s="10" t="inlineStr">
        <is>
          <t>DPR 162/1999 e s.m.i., artt. 6-bis e 7 c.3</t>
        </is>
      </c>
      <c r="F143" s="10" t="inlineStr">
        <is>
          <t>ricerca, cap. 16 (testi ufficiali e schede UNI, 2026-10-02)</t>
        </is>
      </c>
      <c r="G143" s="10" t="inlineStr">
        <is>
          <t>confermato</t>
        </is>
      </c>
      <c r="H143" s="10" t="inlineStr">
        <is>
          <t>—</t>
        </is>
      </c>
      <c r="I143" s="11" t="n"/>
      <c r="J143" s="11" t="n"/>
      <c r="K143" s="11" t="n"/>
      <c r="L143" s="11" t="n"/>
      <c r="M143" s="11" t="n"/>
      <c r="N143" s="11" t="n"/>
    </row>
    <row r="144" ht="56" customHeight="1">
      <c r="A144" s="10" t="n">
        <v>142</v>
      </c>
      <c r="B144" s="10" t="inlineStr">
        <is>
          <t>Collaudo: adempimenti del DPR 162/1999 (impianto nuovo)</t>
        </is>
      </c>
      <c r="C144" s="10" t="inlineStr">
        <is>
          <t>DPR 162/1999 e s.m.i., art. 12 c.1–3</t>
        </is>
      </c>
      <c r="D144" s="10" t="inlineStr">
        <is>
          <t>comunicazione al Comune entro 60 giorni dalla dichiarazione di conformità (oltre: con il verbale di una verifica straordinaria di attivazione); matricola entro 30 giorni</t>
        </is>
      </c>
      <c r="E144" s="10" t="inlineStr">
        <is>
          <t>DPR 162/1999 e s.m.i., art. 12 c.1–3</t>
        </is>
      </c>
      <c r="F144" s="10" t="inlineStr">
        <is>
          <t>ricerca, cap. 16 (testi ufficiali e schede UNI, 2026-10-02)</t>
        </is>
      </c>
      <c r="G144" s="10" t="inlineStr">
        <is>
          <t>confermato</t>
        </is>
      </c>
      <c r="H144" s="10" t="inlineStr">
        <is>
          <t>—</t>
        </is>
      </c>
      <c r="I144" s="11" t="n"/>
      <c r="J144" s="11" t="n"/>
      <c r="K144" s="11" t="n"/>
      <c r="L144" s="11" t="n"/>
      <c r="M144" s="11" t="n"/>
      <c r="N144" s="11" t="n"/>
    </row>
    <row r="145" ht="56" customHeight="1">
      <c r="A145" s="10" t="n">
        <v>143</v>
      </c>
      <c r="B145" s="10" t="inlineStr">
        <is>
          <t>Collaudo: adempimenti del DPR 162/1999 (impianto nuovo)</t>
        </is>
      </c>
      <c r="C145" s="10" t="inlineStr">
        <is>
          <t>DPR 162/1999, artt. 13, 15 c.4 e 16 c.3</t>
        </is>
      </c>
      <c r="D145" s="10" t="inlineStr">
        <is>
          <t>verifiche periodiche ogni 2 anni; controllo dei dispositivi di sicurezza, delle funi e dell'isolamento almeno ogni 6 mesi; targa in cabina</t>
        </is>
      </c>
      <c r="E145" s="10" t="inlineStr">
        <is>
          <t>DPR 162/1999, artt. 13, 15 c.4 e 16 c.3</t>
        </is>
      </c>
      <c r="F145" s="10" t="inlineStr">
        <is>
          <t>ricerca, cap. 16 (testi ufficiali e schede UNI, 2026-10-02)</t>
        </is>
      </c>
      <c r="G145" s="10" t="inlineStr">
        <is>
          <t>confermato</t>
        </is>
      </c>
      <c r="H145" s="10" t="inlineStr">
        <is>
          <t>—</t>
        </is>
      </c>
      <c r="I145" s="11" t="n"/>
      <c r="J145" s="11" t="n"/>
      <c r="K145" s="11" t="n"/>
      <c r="L145" s="11" t="n"/>
      <c r="M145" s="11" t="n"/>
      <c r="N145" s="11" t="n"/>
    </row>
    <row r="146" ht="43" customHeight="1">
      <c r="A146" s="10" t="n">
        <v>144</v>
      </c>
      <c r="B146" s="10" t="inlineStr">
        <is>
          <t>Collaudo: adempimenti del DPR 162/1999 (modifica)</t>
        </is>
      </c>
      <c r="C146" s="10" t="inlineStr">
        <is>
          <t>DPR 162/1999, art. 2 c.1 lett. cc)</t>
        </is>
      </c>
      <c r="D146" s="10" t="inlineStr">
        <is>
          <t>la modifica è costruttiva: la sostituzione del macchinario ne è il caso n. 5)</t>
        </is>
      </c>
      <c r="E146" s="10" t="inlineStr">
        <is>
          <t>DPR 162/1999, art. 2 c.1 lett. cc)</t>
        </is>
      </c>
      <c r="F146" s="10" t="inlineStr">
        <is>
          <t>ricerca, cap. 16 (testi ufficiali e schede UNI, 2026-10-02)</t>
        </is>
      </c>
      <c r="G146" s="10" t="inlineStr">
        <is>
          <t>confermato</t>
        </is>
      </c>
      <c r="H146" s="10" t="inlineStr">
        <is>
          <t>—</t>
        </is>
      </c>
      <c r="I146" s="11" t="n"/>
      <c r="J146" s="11" t="n"/>
      <c r="K146" s="11" t="n"/>
      <c r="L146" s="11" t="n"/>
      <c r="M146" s="11" t="n"/>
      <c r="N146" s="11" t="n"/>
    </row>
    <row r="147" ht="43" customHeight="1">
      <c r="A147" s="10" t="n">
        <v>145</v>
      </c>
      <c r="B147" s="10" t="inlineStr">
        <is>
          <t>Collaudo: adempimenti del DPR 162/1999 (modifica)</t>
        </is>
      </c>
      <c r="C147" s="10" t="inlineStr">
        <is>
          <t>DPR 162/1999, art. 12 c.4</t>
        </is>
      </c>
      <c r="D147" s="10" t="inlineStr">
        <is>
          <t>prima della comunicazione, adeguamento della parte modificata o sostituita e delle altre parti interessate</t>
        </is>
      </c>
      <c r="E147" s="10" t="inlineStr">
        <is>
          <t>DPR 162/1999, art. 12 c.4</t>
        </is>
      </c>
      <c r="F147" s="10" t="inlineStr">
        <is>
          <t>ricerca, cap. 16 (testi ufficiali e schede UNI, 2026-10-02)</t>
        </is>
      </c>
      <c r="G147" s="10" t="inlineStr">
        <is>
          <t>confermato</t>
        </is>
      </c>
      <c r="H147" s="10" t="inlineStr">
        <is>
          <t>—</t>
        </is>
      </c>
      <c r="I147" s="11" t="n"/>
      <c r="J147" s="11" t="n"/>
      <c r="K147" s="11" t="n"/>
      <c r="L147" s="11" t="n"/>
      <c r="M147" s="11" t="n"/>
      <c r="N147" s="11" t="n"/>
    </row>
    <row r="148" ht="43" customHeight="1">
      <c r="A148" s="10" t="n">
        <v>146</v>
      </c>
      <c r="B148" s="10" t="inlineStr">
        <is>
          <t>Collaudo: adempimenti del DPR 162/1999 (modifica)</t>
        </is>
      </c>
      <c r="C148" s="10" t="inlineStr">
        <is>
          <t>DPR 162/1999, art. 12 c.4–5</t>
        </is>
      </c>
      <c r="D148" s="10" t="inlineStr">
        <is>
          <t>comunicazione al Comune e al soggetto delle verifiche periodiche; l'impianto non resta in esercizio senza le comunicazioni aggiornate</t>
        </is>
      </c>
      <c r="E148" s="10" t="inlineStr">
        <is>
          <t>DPR 162/1999, art. 12 c.4–5</t>
        </is>
      </c>
      <c r="F148" s="10" t="inlineStr">
        <is>
          <t>ricerca, cap. 16 (testi ufficiali e schede UNI, 2026-10-02)</t>
        </is>
      </c>
      <c r="G148" s="10" t="inlineStr">
        <is>
          <t>confermato</t>
        </is>
      </c>
      <c r="H148" s="10" t="inlineStr">
        <is>
          <t>—</t>
        </is>
      </c>
      <c r="I148" s="11" t="n"/>
      <c r="J148" s="11" t="n"/>
      <c r="K148" s="11" t="n"/>
      <c r="L148" s="11" t="n"/>
      <c r="M148" s="11" t="n"/>
      <c r="N148" s="11" t="n"/>
    </row>
    <row r="149" ht="69" customHeight="1">
      <c r="A149" s="10" t="n">
        <v>147</v>
      </c>
      <c r="B149" s="10" t="inlineStr">
        <is>
          <t>Collaudo: adempimenti del DPR 162/1999 (modifica)</t>
        </is>
      </c>
      <c r="C149" s="10" t="inlineStr">
        <is>
          <t>DPR 162/1999 e s.m.i., art. 14 c.3; schema ICIM SCI 162 rev. 02</t>
        </is>
      </c>
      <c r="D149" s="10" t="inlineStr">
        <is>
          <t>verifica straordinaria da uno dei soggetti dell'art. 13 c.1 (la legge); secondo lo schema ICIM è di norma limitata ai controlli sulle modifiche, con la documentazione delle modifiche e dei componenti sostituiti</t>
        </is>
      </c>
      <c r="E149" s="10" t="inlineStr">
        <is>
          <t>DPR 162/1999 e s.m.i., art. 14 c.3; schema ICIM SCI 162 rev. 02</t>
        </is>
      </c>
      <c r="F149" s="10" t="inlineStr">
        <is>
          <t>ricerca, cap. 16 (testi ufficiali e schede UNI, 2026-10-02)</t>
        </is>
      </c>
      <c r="G149" s="10" t="inlineStr">
        <is>
          <t>confermato</t>
        </is>
      </c>
      <c r="H149" s="10" t="inlineStr">
        <is>
          <t>—</t>
        </is>
      </c>
      <c r="I149" s="11" t="n"/>
      <c r="J149" s="11" t="n"/>
      <c r="K149" s="11" t="n"/>
      <c r="L149" s="11" t="n"/>
      <c r="M149" s="11" t="n"/>
      <c r="N149" s="11" t="n"/>
    </row>
    <row r="150" ht="82" customHeight="1">
      <c r="A150" s="10" t="n">
        <v>148</v>
      </c>
      <c r="B150" s="10" t="inlineStr">
        <is>
          <t>Collaudo: adempimenti del DPR 162/1999 (modifica)</t>
        </is>
      </c>
      <c r="C150" s="10" t="inlineStr">
        <is>
          <t>UNI 10411-1:2024 e UNI 10411-11:2024, 25</t>
        </is>
      </c>
      <c r="D150" s="10" t="inlineStr">
        <is>
          <t>documentazione della modifica (App. C della -1, App. A della -11): il proprietario la tiene per chi esegue la verifica straordinaria e la allega alla dichiarazione di conformità (DM 37/2008); manuali della macchina, del quadro e dei nuovi componenti di sicurezza consegnati al proprietario</t>
        </is>
      </c>
      <c r="E150" s="10" t="inlineStr">
        <is>
          <t>UNI 10411-1:2024 e UNI 10411-11:2024, 25</t>
        </is>
      </c>
      <c r="F150" s="10" t="inlineStr">
        <is>
          <t>testo della norma, letto il 2026-10-06 (punti e valori con parole nostre)</t>
        </is>
      </c>
      <c r="G150" s="10" t="inlineStr">
        <is>
          <t>confermato</t>
        </is>
      </c>
      <c r="H150" s="10" t="inlineStr">
        <is>
          <t>—</t>
        </is>
      </c>
      <c r="I150" s="11" t="n"/>
      <c r="J150" s="11" t="n"/>
      <c r="K150" s="11" t="n"/>
      <c r="L150" s="11" t="n"/>
      <c r="M150" s="11" t="n"/>
      <c r="N150" s="11" t="n"/>
    </row>
    <row r="151" ht="56" customHeight="1">
      <c r="A151" s="10" t="n">
        <v>149</v>
      </c>
      <c r="B151" s="10" t="inlineStr">
        <is>
          <t>Collaudo: UNI EN 81-20:2020 e UNI EN 81-50:2020</t>
        </is>
      </c>
      <c r="C151" s="10" t="inlineStr">
        <is>
          <t>DPR 162/1999, All. V 3.3 (All. VIII 4)</t>
        </is>
      </c>
      <c r="D151" s="10" t="inlineStr">
        <is>
          <t>prove dell'organismo notificato: funzionamento a vuoto e a pieno carico, in mancanza di energia, prova statica a 1,25 volte la portata e controllo che non restino deformazioni</t>
        </is>
      </c>
      <c r="E151" s="10" t="inlineStr">
        <is>
          <t>DPR 162/1999, All. V 3.3 (All. VIII 4)</t>
        </is>
      </c>
      <c r="F151" s="10" t="inlineStr">
        <is>
          <t>ricerca, cap. 16 (testi ufficiali e schede UNI, 2026-10-02)</t>
        </is>
      </c>
      <c r="G151" s="10" t="inlineStr">
        <is>
          <t>confermato</t>
        </is>
      </c>
      <c r="H151" s="10" t="inlineStr">
        <is>
          <t>—</t>
        </is>
      </c>
      <c r="I151" s="11" t="n"/>
      <c r="J151" s="11" t="n"/>
      <c r="K151" s="11" t="n"/>
      <c r="L151" s="11" t="n"/>
      <c r="M151" s="11" t="n"/>
      <c r="N151" s="11" t="n"/>
    </row>
    <row r="152" ht="56" customHeight="1">
      <c r="A152" s="10" t="n">
        <v>150</v>
      </c>
      <c r="B152" s="10" t="inlineStr">
        <is>
          <t>Collaudo: UNI EN 81-20:2020 e UNI EN 81-50:2020</t>
        </is>
      </c>
      <c r="C152" s="10" t="inlineStr">
        <is>
          <t>DPR 162/1999, All. VIII 3 e), g), h)</t>
        </is>
      </c>
      <c r="D152" s="10" t="inlineStr">
        <is>
          <t>documentazione tecnica con i risultati dei calcoli di progetto, le relazioni sulle prove e l'elenco delle norme armonizzate applicate, anche in parte</t>
        </is>
      </c>
      <c r="E152" s="10" t="inlineStr">
        <is>
          <t>DPR 162/1999, All. VIII 3 e), g), h)</t>
        </is>
      </c>
      <c r="F152" s="10" t="inlineStr">
        <is>
          <t>ricerca, cap. 16 (testi ufficiali e schede UNI, 2026-10-02)</t>
        </is>
      </c>
      <c r="G152" s="10" t="inlineStr">
        <is>
          <t>confermato</t>
        </is>
      </c>
      <c r="H152" s="10" t="inlineStr">
        <is>
          <t>—</t>
        </is>
      </c>
      <c r="I152" s="11" t="n"/>
      <c r="J152" s="11" t="n"/>
      <c r="K152" s="11" t="n"/>
      <c r="L152" s="11" t="n"/>
      <c r="M152" s="11" t="n"/>
      <c r="N152" s="11" t="n"/>
    </row>
    <row r="153" ht="56" customHeight="1">
      <c r="A153" s="10" t="n">
        <v>151</v>
      </c>
      <c r="B153" s="10" t="inlineStr">
        <is>
          <t>Collaudo: UNI EN 81-20:2020 e UNI EN 81-50:2020</t>
        </is>
      </c>
      <c r="C153" s="10" t="inlineStr">
        <is>
          <t>Regolamento (UE) 2023/1230, art. 51 par. 2</t>
        </is>
      </c>
      <c r="D153" s="10" t="inlineStr">
        <is>
          <t>per gli ascensori dichiarati conformi dal 20/01/2027: requisiti dell'All. III del Regolamento macchine (tra cui 1.1.9 e 1.2.1), con una valutazione aggiuntiva per i requisiti nuovi o cambiati</t>
        </is>
      </c>
      <c r="E153" s="10" t="inlineStr">
        <is>
          <t>Regolamento (UE) 2023/1230, art. 51 par. 2</t>
        </is>
      </c>
      <c r="F153" s="10" t="inlineStr">
        <is>
          <t>ricerca, cap. 16 (testi ufficiali e schede UNI, 2026-10-02)</t>
        </is>
      </c>
      <c r="G153" s="10" t="inlineStr">
        <is>
          <t>confermato</t>
        </is>
      </c>
      <c r="H153" s="10" t="inlineStr">
        <is>
          <t>—</t>
        </is>
      </c>
      <c r="I153" s="11" t="n"/>
      <c r="J153" s="11" t="n"/>
      <c r="K153" s="11" t="n"/>
      <c r="L153" s="11" t="n"/>
      <c r="M153" s="11" t="n"/>
      <c r="N153" s="11" t="n"/>
    </row>
    <row r="154" ht="82" customHeight="1">
      <c r="A154" s="10" t="n">
        <v>152</v>
      </c>
      <c r="B154" s="10" t="inlineStr">
        <is>
          <t>Collaudo: UNI EN 81-20:2020 e UNI EN 81-50:2020</t>
        </is>
      </c>
      <c r="C154" s="10" t="inlineStr">
        <is>
          <t>UNI EN 81-50:2020, 5.12.1 e 5.12.2.1</t>
        </is>
      </c>
      <c r="D154" s="10" t="inlineStr">
        <is>
          <t>il metodo del coefficiente di sicurezza delle funi vale solo per pulegge di acciaio o ghisa e funi d'acciaio secondo EN 12385-5; la flessione è semplice se il raggio della gola non supera 0,53 volte il diametro della fune: rilevare il materiale della puleggia e il raggio delle gole</t>
        </is>
      </c>
      <c r="E154" s="10" t="inlineStr">
        <is>
          <t>UNI EN 81-50:2020, 5.12.1 e 5.12.2.1</t>
        </is>
      </c>
      <c r="F154" s="10" t="inlineStr">
        <is>
          <t>testo della norma, letto il 2026-10-06 (punti e valori con parole nostre)</t>
        </is>
      </c>
      <c r="G154" s="10" t="inlineStr">
        <is>
          <t>confermato</t>
        </is>
      </c>
      <c r="H154" s="10" t="inlineStr">
        <is>
          <t>—</t>
        </is>
      </c>
      <c r="I154" s="11" t="n"/>
      <c r="J154" s="11" t="n"/>
      <c r="K154" s="11" t="n"/>
      <c r="L154" s="11" t="n"/>
      <c r="M154" s="11" t="n"/>
      <c r="N154" s="11" t="n"/>
    </row>
    <row r="155" ht="43" customHeight="1">
      <c r="A155" s="10" t="n">
        <v>153</v>
      </c>
      <c r="B155" s="10" t="inlineStr">
        <is>
          <t>Collaudo: UNI EN 81-20:2020 e UNI EN 81-50:2020</t>
        </is>
      </c>
      <c r="C155" s="10" t="inlineStr">
        <is>
          <t>UNI EN 81-20:2020, 5.6.2.2.1.2</t>
        </is>
      </c>
      <c r="D155" s="10" t="inlineStr">
        <is>
          <t>tempo di risposta del limitatore di velocità: i suoi punti d'intervento distano al massimo 250 mm di corsa della fune del limitatore</t>
        </is>
      </c>
      <c r="E155" s="10" t="inlineStr">
        <is>
          <t>UNI EN 81-20:2020, 5.6.2.2.1.2</t>
        </is>
      </c>
      <c r="F155" s="10" t="inlineStr">
        <is>
          <t>testo della norma, letto il 2026-10-06 (punti e valori con parole nostre)</t>
        </is>
      </c>
      <c r="G155" s="10" t="inlineStr">
        <is>
          <t>confermato</t>
        </is>
      </c>
      <c r="H155" s="10" t="inlineStr">
        <is>
          <t>—</t>
        </is>
      </c>
      <c r="I155" s="11" t="n"/>
      <c r="J155" s="11" t="n"/>
      <c r="K155" s="11" t="n"/>
      <c r="L155" s="11" t="n"/>
      <c r="M155" s="11" t="n"/>
      <c r="N155" s="11" t="n"/>
    </row>
    <row r="156" ht="56" customHeight="1">
      <c r="A156" s="10" t="n">
        <v>154</v>
      </c>
      <c r="B156" s="10" t="inlineStr">
        <is>
          <t>Collaudo: UNI EN 81-20:2020 e UNI EN 81-50:2020</t>
        </is>
      </c>
      <c r="C156" s="10" t="inlineStr">
        <is>
          <t>UNI EN 81-20:2020, 5.8.2.1.2.1 e 5.8.2.2.3</t>
        </is>
      </c>
      <c r="D156" s="10" t="inlineStr">
        <is>
          <t>ammortizzatori (dato del fornitore): decelerazione non oltre 1 gn, sopra 2,5 gn al massimo per 0,04 s; per quelli ad accumulo non lineari anche picco non oltre 6 gn e rimbalzo non oltre 1 m/s</t>
        </is>
      </c>
      <c r="E156" s="10" t="inlineStr">
        <is>
          <t>UNI EN 81-20:2020, 5.8.2.1.2.1 e 5.8.2.2.3</t>
        </is>
      </c>
      <c r="F156" s="10" t="inlineStr">
        <is>
          <t>testo della norma, letto il 2026-10-06 (punti e valori con parole nostre)</t>
        </is>
      </c>
      <c r="G156" s="10" t="inlineStr">
        <is>
          <t>confermato</t>
        </is>
      </c>
      <c r="H156" s="10" t="inlineStr">
        <is>
          <t>—</t>
        </is>
      </c>
      <c r="I156" s="11" t="n"/>
      <c r="J156" s="11" t="n"/>
      <c r="K156" s="11" t="n"/>
      <c r="L156" s="11" t="n"/>
      <c r="M156" s="11" t="n"/>
      <c r="N156" s="11" t="n"/>
    </row>
    <row r="157" ht="69" customHeight="1">
      <c r="A157" s="10" t="n">
        <v>155</v>
      </c>
      <c r="B157" s="10" t="inlineStr">
        <is>
          <t>Collaudo: UNI EN 81-20:2020 e UNI EN 81-50:2020</t>
        </is>
      </c>
      <c r="C157" s="10" t="inlineStr">
        <is>
          <t>UNI EN 81-20:2020, 5.2.5.7.1</t>
        </is>
      </c>
      <c r="D157" s="10" t="inlineStr">
        <is>
          <t>cartello sopra o accanto allo schermo del contrappeso (5.2.5.5.1) con il gioco massimo ammesso tra contrappeso e ammortizzatore con la cabina al piano più alto, per conservare gli spazi in testata</t>
        </is>
      </c>
      <c r="E157" s="10" t="inlineStr">
        <is>
          <t>UNI EN 81-20:2020, 5.2.5.7.1</t>
        </is>
      </c>
      <c r="F157" s="10" t="inlineStr">
        <is>
          <t>testo della norma, letto il 2026-10-06 (punti e valori con parole nostre)</t>
        </is>
      </c>
      <c r="G157" s="10" t="inlineStr">
        <is>
          <t>confermato</t>
        </is>
      </c>
      <c r="H157" s="10" t="inlineStr">
        <is>
          <t>—</t>
        </is>
      </c>
      <c r="I157" s="11" t="n"/>
      <c r="J157" s="11" t="n"/>
      <c r="K157" s="11" t="n"/>
      <c r="L157" s="11" t="n"/>
      <c r="M157" s="11" t="n"/>
      <c r="N157" s="11" t="n"/>
    </row>
    <row r="158" ht="43" customHeight="1">
      <c r="A158" s="10" t="n">
        <v>156</v>
      </c>
      <c r="B158" s="10" t="inlineStr">
        <is>
          <t>Collaudo: UNI EN 81-20:2020 e UNI EN 81-50:2020</t>
        </is>
      </c>
      <c r="C158" s="10" t="inlineStr">
        <is>
          <t>UNI EN 81-20:2020, 5.2.2.4</t>
        </is>
      </c>
      <c r="D158" s="10" t="inlineStr">
        <is>
          <t>fossa più profonda di 2,50 m: porta di accesso; fino a 2,50 m porta di accesso oppure scala dentro il vano (appendice F)</t>
        </is>
      </c>
      <c r="E158" s="10" t="inlineStr">
        <is>
          <t>UNI EN 81-20:2020, 5.2.2.4</t>
        </is>
      </c>
      <c r="F158" s="10" t="inlineStr">
        <is>
          <t>testo della norma, letto il 2026-10-06 (punti e valori con parole nostre)</t>
        </is>
      </c>
      <c r="G158" s="10" t="inlineStr">
        <is>
          <t>confermato</t>
        </is>
      </c>
      <c r="H158" s="10" t="inlineStr">
        <is>
          <t>—</t>
        </is>
      </c>
      <c r="I158" s="11" t="n"/>
      <c r="J158" s="11" t="n"/>
      <c r="K158" s="11" t="n"/>
      <c r="L158" s="11" t="n"/>
      <c r="M158" s="11" t="n"/>
      <c r="N158" s="11" t="n"/>
    </row>
    <row r="159" ht="43" customHeight="1">
      <c r="A159" s="10" t="n">
        <v>157</v>
      </c>
      <c r="B159" s="10" t="inlineStr">
        <is>
          <t>Collaudo: UNI EN 81-20:2020 e UNI EN 81-50:2020</t>
        </is>
      </c>
      <c r="C159" s="10" t="inlineStr">
        <is>
          <t>UNI EN 81-20:2020, 5.2.1.5.1 b)</t>
        </is>
      </c>
      <c r="D159" s="10" t="inlineStr">
        <is>
          <t>in fossa un commutatore di ispezione fisso, manovrabile da non oltre 0,30 m da uno spazio di rifugio</t>
        </is>
      </c>
      <c r="E159" s="10" t="inlineStr">
        <is>
          <t>UNI EN 81-20:2020, 5.2.1.5.1 b)</t>
        </is>
      </c>
      <c r="F159" s="10" t="inlineStr">
        <is>
          <t>testo della norma, letto il 2026-10-06 (punti e valori con parole nostre)</t>
        </is>
      </c>
      <c r="G159" s="10" t="inlineStr">
        <is>
          <t>confermato</t>
        </is>
      </c>
      <c r="H159" s="10" t="inlineStr">
        <is>
          <t>—</t>
        </is>
      </c>
      <c r="I159" s="11" t="n"/>
      <c r="J159" s="11" t="n"/>
      <c r="K159" s="11" t="n"/>
      <c r="L159" s="11" t="n"/>
      <c r="M159" s="11" t="n"/>
      <c r="N159" s="11" t="n"/>
    </row>
    <row r="160" ht="43" customHeight="1">
      <c r="A160" s="10" t="n">
        <v>158</v>
      </c>
      <c r="B160" s="10" t="inlineStr">
        <is>
          <t>Collaudo: UNI EN 81-20:2020 e UNI EN 81-50:2020</t>
        </is>
      </c>
      <c r="C160" s="10" t="inlineStr">
        <is>
          <t>UNI EN 81-20:2020, 5.2.5.7.1 e 5.2.5.8.1</t>
        </is>
      </c>
      <c r="D160" s="10" t="inlineStr">
        <is>
          <t>uno spazio di rifugio per ogni persona, tutti dello stesso tipo e senza sovrapposizioni; cartello con il numero di persone ammesse e la postura</t>
        </is>
      </c>
      <c r="E160" s="10" t="inlineStr">
        <is>
          <t>UNI EN 81-20:2020, 5.2.5.7.1 e 5.2.5.8.1</t>
        </is>
      </c>
      <c r="F160" s="10" t="inlineStr">
        <is>
          <t>testo della norma, letto il 2026-10-06 (punti e valori con parole nostre)</t>
        </is>
      </c>
      <c r="G160" s="10" t="inlineStr">
        <is>
          <t>confermato</t>
        </is>
      </c>
      <c r="H160" s="10" t="inlineStr">
        <is>
          <t>—</t>
        </is>
      </c>
      <c r="I160" s="11" t="n"/>
      <c r="J160" s="11" t="n"/>
      <c r="K160" s="11" t="n"/>
      <c r="L160" s="11" t="n"/>
      <c r="M160" s="11" t="n"/>
      <c r="N160" s="11" t="n"/>
    </row>
    <row r="161" ht="69" customHeight="1">
      <c r="A161" s="10" t="n">
        <v>159</v>
      </c>
      <c r="B161" s="10" t="inlineStr">
        <is>
          <t>Collaudo: UNI EN 81-20:2020 e UNI EN 81-50:2020</t>
        </is>
      </c>
      <c r="C161" s="10" t="inlineStr">
        <is>
          <t>UNI EN 81-20:2020, 5.2.1.4.1</t>
        </is>
      </c>
      <c r="D161" s="10" t="inlineStr">
        <is>
          <t>illuminazione del vano: almeno 50 lux a 1 m sopra il tetto della cabina nella sua proiezione e a 1 m sopra il fondo della fossa dove si sta, si lavora o si passa tra le zone di lavoro; almeno 20 lux altrove</t>
        </is>
      </c>
      <c r="E161" s="10" t="inlineStr">
        <is>
          <t>UNI EN 81-20:2020, 5.2.1.4.1</t>
        </is>
      </c>
      <c r="F161" s="10" t="inlineStr">
        <is>
          <t>testo della norma, letto il 2026-10-06 (punti e valori con parole nostre)</t>
        </is>
      </c>
      <c r="G161" s="10" t="inlineStr">
        <is>
          <t>confermato</t>
        </is>
      </c>
      <c r="H161" s="10" t="inlineStr">
        <is>
          <t>—</t>
        </is>
      </c>
      <c r="I161" s="11" t="n"/>
      <c r="J161" s="11" t="n"/>
      <c r="K161" s="11" t="n"/>
      <c r="L161" s="11" t="n"/>
      <c r="M161" s="11" t="n"/>
      <c r="N161" s="11" t="n"/>
    </row>
    <row r="162" ht="56" customHeight="1">
      <c r="A162" s="10" t="n">
        <v>160</v>
      </c>
      <c r="B162" s="10" t="inlineStr">
        <is>
          <t>Collaudo: UNI EN 81-20:2020 e UNI EN 81-50:2020</t>
        </is>
      </c>
      <c r="C162" s="10" t="inlineStr">
        <is>
          <t>UNI EN 81-20:2020, 5.4.10.1 e 5.4.10.4</t>
        </is>
      </c>
      <c r="D162" s="10" t="inlineStr">
        <is>
          <t>luce in cabina almeno 100 lux sui comandi e a 1 m dal pavimento; luce di emergenza di almeno 5 lux per un'ora presso gli allarmi in cabina e sul tetto e al centro di cabina e tetto, a 1 m</t>
        </is>
      </c>
      <c r="E162" s="10" t="inlineStr">
        <is>
          <t>UNI EN 81-20:2020, 5.4.10.1 e 5.4.10.4</t>
        </is>
      </c>
      <c r="F162" s="10" t="inlineStr">
        <is>
          <t>testo della norma, letto il 2026-10-06 (punti e valori con parole nostre)</t>
        </is>
      </c>
      <c r="G162" s="10" t="inlineStr">
        <is>
          <t>confermato</t>
        </is>
      </c>
      <c r="H162" s="10" t="inlineStr">
        <is>
          <t>—</t>
        </is>
      </c>
      <c r="I162" s="11" t="n"/>
      <c r="J162" s="11" t="n"/>
      <c r="K162" s="11" t="n"/>
      <c r="L162" s="11" t="n"/>
      <c r="M162" s="11" t="n"/>
      <c r="N162" s="11" t="n"/>
    </row>
    <row r="163" ht="43" customHeight="1">
      <c r="A163" s="10" t="n">
        <v>161</v>
      </c>
      <c r="B163" s="10" t="inlineStr">
        <is>
          <t>Collaudo: UNI EN 81-20:2020 e UNI EN 81-50:2020</t>
        </is>
      </c>
      <c r="C163" s="10" t="inlineStr">
        <is>
          <t>UNI EN 81-20:2020, 5.4.4</t>
        </is>
      </c>
      <c r="D163" s="10" t="inlineStr">
        <is>
          <t>materiali della cabina secondo EN 13501-1: pavimento Cfl-s2, pareti C-s2,d1, soffitto C-s2,d0</t>
        </is>
      </c>
      <c r="E163" s="10" t="inlineStr">
        <is>
          <t>UNI EN 81-20:2020, 5.4.4</t>
        </is>
      </c>
      <c r="F163" s="10" t="inlineStr">
        <is>
          <t>testo della norma, letto il 2026-10-06 (punti e valori con parole nostre)</t>
        </is>
      </c>
      <c r="G163" s="10" t="inlineStr">
        <is>
          <t>confermato</t>
        </is>
      </c>
      <c r="H163" s="10" t="inlineStr">
        <is>
          <t>—</t>
        </is>
      </c>
      <c r="I163" s="11" t="n"/>
      <c r="J163" s="11" t="n"/>
      <c r="K163" s="11" t="n"/>
      <c r="L163" s="11" t="n"/>
      <c r="M163" s="11" t="n"/>
      <c r="N163" s="11" t="n"/>
    </row>
    <row r="164" ht="95" customHeight="1">
      <c r="A164" s="10" t="n">
        <v>162</v>
      </c>
      <c r="B164" s="10" t="inlineStr">
        <is>
          <t>Collaudo: UNI EN 81-20:2020 e UNI EN 81-50:2020</t>
        </is>
      </c>
      <c r="C164" s="10" t="inlineStr">
        <is>
          <t>UNI EN 81-20:2020, 6.3.1</t>
        </is>
      </c>
      <c r="D164" s="10" t="inlineStr">
        <is>
          <t>prova del freno: da solo ferma la cabina che scende a velocità nominale con il 125 % della portata; con un gruppo fuori servizio rallenta la cabina con la portata in discesa; con il carico tra (q − 0,1)·Q e (q + 0,1)·Q lo sblocco manuale fa partire la cabina da sola, altrimenti servono i mezzi della 5.9.2.2.2.9 b)</t>
        </is>
      </c>
      <c r="E164" s="10" t="inlineStr">
        <is>
          <t>UNI EN 81-20:2020, 6.3.1</t>
        </is>
      </c>
      <c r="F164" s="10" t="inlineStr">
        <is>
          <t>testo della norma, letto il 2026-10-06 (punti e valori con parole nostre)</t>
        </is>
      </c>
      <c r="G164" s="10" t="inlineStr">
        <is>
          <t>confermato</t>
        </is>
      </c>
      <c r="H164" s="10" t="inlineStr">
        <is>
          <t>—</t>
        </is>
      </c>
      <c r="I164" s="11" t="n"/>
      <c r="J164" s="11" t="n"/>
      <c r="K164" s="11" t="n"/>
      <c r="L164" s="11" t="n"/>
      <c r="M164" s="11" t="n"/>
      <c r="N164" s="11" t="n"/>
    </row>
    <row r="165" ht="69" customHeight="1">
      <c r="A165" s="10" t="n">
        <v>163</v>
      </c>
      <c r="B165" s="10" t="inlineStr">
        <is>
          <t>Collaudo: UNI EN 81-20:2020 e UNI EN 81-50:2020</t>
        </is>
      </c>
      <c r="C165" s="10" t="inlineStr">
        <is>
          <t>UNI EN 81-20:2020, 6.3.2</t>
        </is>
      </c>
      <c r="D165" s="10" t="inlineStr">
        <is>
          <t>impianto elettrico: esame a vista, continuità dei conduttori di protezione, isolamento circuito per circuito con l'elettronica scollegata, efficacia dell'interruzione automatica in caso di guasto</t>
        </is>
      </c>
      <c r="E165" s="10" t="inlineStr">
        <is>
          <t>UNI EN 81-20:2020, 6.3.2</t>
        </is>
      </c>
      <c r="F165" s="10" t="inlineStr">
        <is>
          <t>testo della norma, letto il 2026-10-06 (punti e valori con parole nostre)</t>
        </is>
      </c>
      <c r="G165" s="10" t="inlineStr">
        <is>
          <t>confermato</t>
        </is>
      </c>
      <c r="H165" s="10" t="inlineStr">
        <is>
          <t>—</t>
        </is>
      </c>
      <c r="I165" s="11" t="n"/>
      <c r="J165" s="11" t="n"/>
      <c r="K165" s="11" t="n"/>
      <c r="L165" s="11" t="n"/>
      <c r="M165" s="11" t="n"/>
      <c r="N165" s="11" t="n"/>
    </row>
    <row r="166" ht="82" customHeight="1">
      <c r="A166" s="10" t="n">
        <v>164</v>
      </c>
      <c r="B166" s="10" t="inlineStr">
        <is>
          <t>Collaudo: UNI EN 81-20:2020 e UNI EN 81-50:2020</t>
        </is>
      </c>
      <c r="C166" s="10" t="inlineStr">
        <is>
          <t>UNI EN 81-20:2020, 6.3.3</t>
        </is>
      </c>
      <c r="D166" s="10" t="inlineStr">
        <is>
          <t>aderenza: arresti con la frenatura più severa, in salita a cabina vuota nella parte alta e in discesa con il 125 % della portata verso il basso; con il contrappeso sugli ammortizzatori e la macchina in moto le funi slittano oppure la cabina non sale; bilanciamento come dichiarato</t>
        </is>
      </c>
      <c r="E166" s="10" t="inlineStr">
        <is>
          <t>UNI EN 81-20:2020, 6.3.3</t>
        </is>
      </c>
      <c r="F166" s="10" t="inlineStr">
        <is>
          <t>testo della norma, letto il 2026-10-06 (punti e valori con parole nostre)</t>
        </is>
      </c>
      <c r="G166" s="10" t="inlineStr">
        <is>
          <t>confermato</t>
        </is>
      </c>
      <c r="H166" s="10" t="inlineStr">
        <is>
          <t>—</t>
        </is>
      </c>
      <c r="I166" s="11" t="n"/>
      <c r="J166" s="11" t="n"/>
      <c r="K166" s="11" t="n"/>
      <c r="L166" s="11" t="n"/>
      <c r="M166" s="11" t="n"/>
      <c r="N166" s="11" t="n"/>
    </row>
    <row r="167" ht="121" customHeight="1">
      <c r="A167" s="10" t="n">
        <v>165</v>
      </c>
      <c r="B167" s="10" t="inlineStr">
        <is>
          <t>Collaudo: UNI EN 81-20:2020 e UNI EN 81-50:2020</t>
        </is>
      </c>
      <c r="C167" s="10" t="inlineStr">
        <is>
          <t>UNI EN 81-20:2020, 6.3.4, 6.3.5 e 6.3.7</t>
        </is>
      </c>
      <c r="D167" s="10" t="inlineStr">
        <is>
          <t>paracadute di cabina in discesa (istantaneo con la portata a velocità nominale; progressivo, negli impianti a frizione, con il 125 % della portata a velocità nominale o inferiore), del contrappeso a cabina vuota; ammortizzatori ad accumulo compressi dalla cabina con la portata, a dissipazione provati alla velocità nominale (o a quella usata per la corsa ridotta); dopo, nessun danno all'esame a vista</t>
        </is>
      </c>
      <c r="E167" s="10" t="inlineStr">
        <is>
          <t>UNI EN 81-20:2020, 6.3.4, 6.3.5 e 6.3.7</t>
        </is>
      </c>
      <c r="F167" s="10" t="inlineStr">
        <is>
          <t>testo della norma, letto il 2026-10-06 (punti e valori con parole nostre)</t>
        </is>
      </c>
      <c r="G167" s="10" t="inlineStr">
        <is>
          <t>confermato</t>
        </is>
      </c>
      <c r="H167" s="10" t="inlineStr">
        <is>
          <t>—</t>
        </is>
      </c>
      <c r="I167" s="11" t="n"/>
      <c r="J167" s="11" t="n"/>
      <c r="K167" s="11" t="n"/>
      <c r="L167" s="11" t="n"/>
      <c r="M167" s="11" t="n"/>
      <c r="N167" s="11" t="n"/>
    </row>
    <row r="168" ht="108" customHeight="1">
      <c r="A168" s="10" t="n">
        <v>166</v>
      </c>
      <c r="B168" s="10" t="inlineStr">
        <is>
          <t>Collaudo: UNI EN 81-20:2020 e UNI EN 81-50:2020</t>
        </is>
      </c>
      <c r="C168" s="10" t="inlineStr">
        <is>
          <t>UNI EN 81-20:2020, 6.3.11, 6.3.12 e 6.3.13</t>
        </is>
      </c>
      <c r="D168" s="10" t="inlineStr">
        <is>
          <t>ACOP: cabina vuota in salita a velocità non inferiore alla nominale, frenata solo dal dispositivo; livellamento verificato a ogni fermata e, al piano più sfavorevole, durante carico e scarico; UCM: cabina vuota verso l'alto e piena verso il basso a una velocità prestabilita, con il movimento entro il limite della 5.6.7.5 e l'autosorveglianza dove richiesta</t>
        </is>
      </c>
      <c r="E168" s="10" t="inlineStr">
        <is>
          <t>UNI EN 81-20:2020, 6.3.11, 6.3.12 e 6.3.13</t>
        </is>
      </c>
      <c r="F168" s="10" t="inlineStr">
        <is>
          <t>testo della norma, letto il 2026-10-06 (punti e valori con parole nostre)</t>
        </is>
      </c>
      <c r="G168" s="10" t="inlineStr">
        <is>
          <t>confermato</t>
        </is>
      </c>
      <c r="H168" s="10" t="inlineStr">
        <is>
          <t>—</t>
        </is>
      </c>
      <c r="I168" s="11" t="n"/>
      <c r="J168" s="11" t="n"/>
      <c r="K168" s="11" t="n"/>
      <c r="L168" s="11" t="n"/>
      <c r="M168" s="11" t="n"/>
      <c r="N168" s="11" t="n"/>
    </row>
    <row r="169" ht="43" customHeight="1">
      <c r="A169" s="10" t="n">
        <v>167</v>
      </c>
      <c r="B169" s="10" t="inlineStr">
        <is>
          <t>Collaudo: UNI EN 81-20:2020 e UNI EN 81-50:2020</t>
        </is>
      </c>
      <c r="C169" s="10" t="inlineStr">
        <is>
          <t>UNI EN 81-20:2020, 6.3.14</t>
        </is>
      </c>
      <c r="D169" s="10" t="inlineStr">
        <is>
          <t>cabina fuori dalla zona di sbloccaggio e porta di piano tenuta aperta di 100 mm: lasciata, la porta si richiude e si blocca</t>
        </is>
      </c>
      <c r="E169" s="10" t="inlineStr">
        <is>
          <t>UNI EN 81-20:2020, 6.3.14</t>
        </is>
      </c>
      <c r="F169" s="10" t="inlineStr">
        <is>
          <t>testo della norma, letto il 2026-10-06 (punti e valori con parole nostre)</t>
        </is>
      </c>
      <c r="G169" s="10" t="inlineStr">
        <is>
          <t>confermato</t>
        </is>
      </c>
      <c r="H169" s="10" t="inlineStr">
        <is>
          <t>—</t>
        </is>
      </c>
      <c r="I169" s="11" t="n"/>
      <c r="J169" s="11" t="n"/>
      <c r="K169" s="11" t="n"/>
      <c r="L169" s="11" t="n"/>
      <c r="M169" s="11" t="n"/>
      <c r="N169" s="11" t="n"/>
    </row>
    <row r="170" ht="43" customHeight="1">
      <c r="A170" s="10" t="n">
        <v>168</v>
      </c>
      <c r="B170" s="10" t="inlineStr">
        <is>
          <t>Collaudo: UNI EN 81-20:2020 e UNI EN 81-50:2020</t>
        </is>
      </c>
      <c r="C170" s="10" t="inlineStr">
        <is>
          <t>UNI EN 81-20:2020, C.2 e 7.3.2</t>
        </is>
      </c>
      <c r="D170" s="10" t="inlineStr">
        <is>
          <t>la sostituzione della macchina o della puleggia di frizione è una trasformazione importante: si annota nel registro dell'impianto, da aggiornare</t>
        </is>
      </c>
      <c r="E170" s="10" t="inlineStr">
        <is>
          <t>UNI EN 81-20:2020, C.2 e 7.3.2</t>
        </is>
      </c>
      <c r="F170" s="10" t="inlineStr">
        <is>
          <t>testo della norma, letto il 2026-10-06 (punti e valori con parole nostre)</t>
        </is>
      </c>
      <c r="G170" s="10" t="inlineStr">
        <is>
          <t>confermato</t>
        </is>
      </c>
      <c r="H170" s="10" t="inlineStr">
        <is>
          <t>—</t>
        </is>
      </c>
      <c r="I170" s="11" t="n"/>
      <c r="J170" s="11" t="n"/>
      <c r="K170" s="11" t="n"/>
      <c r="L170" s="11" t="n"/>
      <c r="M170" s="11" t="n"/>
      <c r="N170" s="11" t="n"/>
    </row>
    <row r="171" ht="108" customHeight="1">
      <c r="A171" s="10" t="n">
        <v>169</v>
      </c>
      <c r="B171" s="10" t="inlineStr">
        <is>
          <t>Collaudo: UNI EN 81-20:2020 e UNI EN 81-50:2020</t>
        </is>
      </c>
      <c r="C171" s="10" t="inlineStr">
        <is>
          <t>UNI EN 81-20:2020, 5.3.5.3.2, 5.3.5.3.4, 5.3.6.2.2.1 b) e 5.3.15.2 b)</t>
        </is>
      </c>
      <c r="D171" s="10" t="inlineStr">
        <is>
          <t>pannelli delle porte con i dispositivi di ritenuta e le prove a pendolo (morbido da 800 mm; rigido da 500 mm sui pannelli in vetro); sulle porte automatiche un dispositivo di protezione che copre da 25 a 1600 mm sopra la soglia e rileva ostacoli di 50 mm; fuori dalla zona di sbloccaggio la porta di cabina, spinta con 1000 N, non si apre più di 50 mm</t>
        </is>
      </c>
      <c r="E171" s="10" t="inlineStr">
        <is>
          <t>UNI EN 81-20:2020, 5.3.5.3.2, 5.3.5.3.4, 5.3.6.2.2.1 b) e 5.3.15.2 b)</t>
        </is>
      </c>
      <c r="F171" s="10" t="inlineStr">
        <is>
          <t>testo della norma, letto il 2026-10-06 (punti e valori con parole nostre)</t>
        </is>
      </c>
      <c r="G171" s="10" t="inlineStr">
        <is>
          <t>confermato</t>
        </is>
      </c>
      <c r="H171" s="10" t="inlineStr">
        <is>
          <t>—</t>
        </is>
      </c>
      <c r="I171" s="11" t="n"/>
      <c r="J171" s="11" t="n"/>
      <c r="K171" s="11" t="n"/>
      <c r="L171" s="11" t="n"/>
      <c r="M171" s="11" t="n"/>
      <c r="N171" s="11" t="n"/>
    </row>
    <row r="172" ht="121" customHeight="1">
      <c r="A172" s="10" t="n">
        <v>170</v>
      </c>
      <c r="B172" s="10" t="inlineStr">
        <is>
          <t>Collaudo: UNI EN 81-20:2020 e UNI EN 81-50:2020</t>
        </is>
      </c>
      <c r="C172" s="10" t="inlineStr">
        <is>
          <t>UNI EN 81-20:2020, 5.3.6.2.2.1 a)–d)</t>
        </is>
      </c>
      <c r="D172" s="10" t="inlineStr">
        <is>
          <t>porte scorrevoli automatiche: energia cinetica in chiusura non oltre 10 J alla velocità media (corsa senza 25 mm per estremità sulle porte centrali, 50 mm sulle laterali); con il dispositivo di protezione guasto o escluso e l'impianto in servizio non oltre 4 J, con un segnale acustico a ogni chiusura; forza per trattenere la porta in chiusura non oltre 150 N fuori dal primo terzo della corsa, e la porta trattenuta si riapre</t>
        </is>
      </c>
      <c r="E172" s="10" t="inlineStr">
        <is>
          <t>UNI EN 81-20:2020, 5.3.6.2.2.1 a)–d)</t>
        </is>
      </c>
      <c r="F172" s="10" t="inlineStr">
        <is>
          <t>testo della norma, letto il 2026-10-06 (punti e valori con parole nostre)</t>
        </is>
      </c>
      <c r="G172" s="10" t="inlineStr">
        <is>
          <t>confermato</t>
        </is>
      </c>
      <c r="H172" s="10" t="inlineStr">
        <is>
          <t>—</t>
        </is>
      </c>
      <c r="I172" s="11" t="n"/>
      <c r="J172" s="11" t="n"/>
      <c r="K172" s="11" t="n"/>
      <c r="L172" s="11" t="n"/>
      <c r="M172" s="11" t="n"/>
      <c r="N172" s="11" t="n"/>
    </row>
    <row r="173" ht="56" customHeight="1">
      <c r="A173" s="10" t="n">
        <v>171</v>
      </c>
      <c r="B173" s="10" t="inlineStr">
        <is>
          <t>Collaudo: UNI 10411-1:2024</t>
        </is>
      </c>
      <c r="C173" s="10" t="inlineStr">
        <is>
          <t>UNI 10411-1:2024, scopo</t>
        </is>
      </c>
      <c r="D173" s="10" t="inlineStr">
        <is>
          <t>impianti elettrici a frizione fuori dalla 95/16/CE e dalla 2014/33/UE; esclude le modifiche che cambiano le misure antincendio (per queste, a nostro giudizio, il DM 15/09/2005 o il Codice V.3)</t>
        </is>
      </c>
      <c r="E173" s="10" t="inlineStr">
        <is>
          <t>UNI 10411-1:2024, scopo</t>
        </is>
      </c>
      <c r="F173" s="10" t="inlineStr">
        <is>
          <t>testo della norma, letto il 2026-10-06 (punti e valori con parole nostre)</t>
        </is>
      </c>
      <c r="G173" s="10" t="inlineStr">
        <is>
          <t>confermato</t>
        </is>
      </c>
      <c r="H173" s="10" t="inlineStr">
        <is>
          <t>—</t>
        </is>
      </c>
      <c r="I173" s="11" t="n"/>
      <c r="J173" s="11" t="n"/>
      <c r="K173" s="11" t="n"/>
      <c r="L173" s="11" t="n"/>
      <c r="M173" s="11" t="n"/>
      <c r="N173" s="11" t="n"/>
    </row>
    <row r="174" ht="121" customHeight="1">
      <c r="A174" s="10" t="n">
        <v>172</v>
      </c>
      <c r="B174" s="10" t="inlineStr">
        <is>
          <t>Collaudo: UNI 10411-1:2024</t>
        </is>
      </c>
      <c r="C174" s="10" t="inlineStr">
        <is>
          <t>UNI 10411-1:2024, 14.4 a)–g)</t>
        </is>
      </c>
      <c r="D174" s="10" t="inlineStr">
        <is>
          <t>con la macchina nuova: temporizzatore del motore (EN 81-20 5.9.2.7); arresto in salita prima della velocità d'intervento del limitatore; protezioni ACOP e UCM esistenti che continuano a funzionare; dispositivo d'arresto presso la macchina (5.12.1.11.1 e)); pulegge nel locale secondo la 5.5.7; senza UCM e con la regolazione di velocità, macchinario senza alimentazione se il freno non si apre, con ripristino solo manuale</t>
        </is>
      </c>
      <c r="E174" s="10" t="inlineStr">
        <is>
          <t>UNI 10411-1:2024, 14.4 a)–g)</t>
        </is>
      </c>
      <c r="F174" s="10" t="inlineStr">
        <is>
          <t>testo della norma, letto il 2026-10-06 (punti e valori con parole nostre)</t>
        </is>
      </c>
      <c r="G174" s="10" t="inlineStr">
        <is>
          <t>confermato</t>
        </is>
      </c>
      <c r="H174" s="10" t="inlineStr">
        <is>
          <t>—</t>
        </is>
      </c>
      <c r="I174" s="11" t="n"/>
      <c r="J174" s="11" t="n"/>
      <c r="K174" s="11" t="n"/>
      <c r="L174" s="11" t="n"/>
      <c r="M174" s="11" t="n"/>
      <c r="N174" s="11" t="n"/>
    </row>
    <row r="175" ht="56" customHeight="1">
      <c r="A175" s="10" t="n">
        <v>173</v>
      </c>
      <c r="B175" s="10" t="inlineStr">
        <is>
          <t>Collaudo: UNI 10411-11:2024</t>
        </is>
      </c>
      <c r="C175" s="10" t="inlineStr">
        <is>
          <t>UNI 10411-11:2024, scopo</t>
        </is>
      </c>
      <c r="D175" s="10" t="inlineStr">
        <is>
          <t>impianti elettrici a frizione marcati CE secondo la Direttiva; esclude le modifiche che cambiano le misure antincendio (per queste, a nostro giudizio, il DM 15/09/2005 o il Codice V.3)</t>
        </is>
      </c>
      <c r="E175" s="10" t="inlineStr">
        <is>
          <t>UNI 10411-11:2024, scopo</t>
        </is>
      </c>
      <c r="F175" s="10" t="inlineStr">
        <is>
          <t>testo della norma, letto il 2026-10-06 (punti e valori con parole nostre)</t>
        </is>
      </c>
      <c r="G175" s="10" t="inlineStr">
        <is>
          <t>confermato</t>
        </is>
      </c>
      <c r="H175" s="10" t="inlineStr">
        <is>
          <t>—</t>
        </is>
      </c>
      <c r="I175" s="11" t="n"/>
      <c r="J175" s="11" t="n"/>
      <c r="K175" s="11" t="n"/>
      <c r="L175" s="11" t="n"/>
      <c r="M175" s="11" t="n"/>
      <c r="N175" s="11" t="n"/>
    </row>
    <row r="176" ht="108" customHeight="1">
      <c r="A176" s="10" t="n">
        <v>174</v>
      </c>
      <c r="B176" s="10" t="inlineStr">
        <is>
          <t>Collaudo: UNI 10411-11:2024</t>
        </is>
      </c>
      <c r="C176" s="10" t="inlineStr">
        <is>
          <t>UNI 10411-11:2024, 14.3 a) e App. A (14); UNI EN 81-20:2020, 5.6.6.2 e 5.6.7.3</t>
        </is>
      </c>
      <c r="D176" s="10" t="inlineStr">
        <is>
          <t>cambiando la macchina: le protezioni UCM esistenti devono continuare a funzionare (14.3 a)); per l'ACOP esistente l'App. A (14) chiede una relazione sulla compatibilità della nuova macchina, oppure nuovi dispositivi con certificato di esame di tipo e dichiarazione di conformità; il freno della macchina vale come organo d'arresto solo se ridondante e autocontrollato</t>
        </is>
      </c>
      <c r="E176" s="10" t="inlineStr">
        <is>
          <t>UNI 10411-11:2024, 14.3 a) e App. A (14); UNI EN 81-20:2020, 5.6.6.2 e 5.6.7.3</t>
        </is>
      </c>
      <c r="F176" s="10" t="inlineStr">
        <is>
          <t>testo della norma, letto il 2026-10-06 (punti e valori con parole nostre)</t>
        </is>
      </c>
      <c r="G176" s="10" t="inlineStr">
        <is>
          <t>confermato</t>
        </is>
      </c>
      <c r="H176" s="10" t="inlineStr">
        <is>
          <t>—</t>
        </is>
      </c>
      <c r="I176" s="11" t="n"/>
      <c r="J176" s="11" t="n"/>
      <c r="K176" s="11" t="n"/>
      <c r="L176" s="11" t="n"/>
      <c r="M176" s="11" t="n"/>
      <c r="N176" s="11" t="n"/>
    </row>
    <row r="177" ht="56" customHeight="1">
      <c r="A177" s="10" t="n">
        <v>175</v>
      </c>
      <c r="B177" s="10" t="inlineStr">
        <is>
          <t>Collaudo: UNI 10411-11:2024</t>
        </is>
      </c>
      <c r="C177" s="10" t="inlineStr">
        <is>
          <t>UNI 10411-11:2024, 14.3 b)</t>
        </is>
      </c>
      <c r="D177" s="10" t="inlineStr">
        <is>
          <t>senza UCM conforme alla 5.6.7 e con il rallentamento controllato: macchinario senza alimentazione se il freno non si apre, al più tardi all'arrivo al piano, con ripristino solo manuale</t>
        </is>
      </c>
      <c r="E177" s="10" t="inlineStr">
        <is>
          <t>UNI 10411-11:2024, 14.3 b)</t>
        </is>
      </c>
      <c r="F177" s="10" t="inlineStr">
        <is>
          <t>testo della norma, letto il 2026-10-06 (punti e valori con parole nostre)</t>
        </is>
      </c>
      <c r="G177" s="10" t="inlineStr">
        <is>
          <t>confermato</t>
        </is>
      </c>
      <c r="H177" s="10" t="inlineStr">
        <is>
          <t>—</t>
        </is>
      </c>
      <c r="I177" s="11" t="n"/>
      <c r="J177" s="11" t="n"/>
      <c r="K177" s="11" t="n"/>
      <c r="L177" s="11" t="n"/>
      <c r="M177" s="11" t="n"/>
      <c r="N177" s="11" t="n"/>
    </row>
    <row r="178" ht="56" customHeight="1">
      <c r="A178" s="10" t="n">
        <v>176</v>
      </c>
      <c r="B178" s="10" t="inlineStr">
        <is>
          <t>Collaudo: UNI EN 81-21:2022 (ascensori nuovi in edifici esistenti)</t>
        </is>
      </c>
      <c r="C178" s="10" t="inlineStr">
        <is>
          <t>UNI EN 81-21:2022, 1</t>
        </is>
      </c>
      <c r="D178" s="10" t="inlineStr">
        <is>
          <t>ascensori nuovi in un edificio esistente, dove l'edificio non permette di rispettare tutta la UNI EN 81-20:2020; esclusi gli impianti montati prima della sua pubblicazione</t>
        </is>
      </c>
      <c r="E178" s="10" t="inlineStr">
        <is>
          <t>UNI EN 81-21:2022, 1</t>
        </is>
      </c>
      <c r="F178" s="10" t="inlineStr">
        <is>
          <t>testo della norma, letto il 2026-10-06 (punti e valori con parole nostre)</t>
        </is>
      </c>
      <c r="G178" s="10" t="inlineStr">
        <is>
          <t>confermato</t>
        </is>
      </c>
      <c r="H178" s="10" t="inlineStr">
        <is>
          <t>—</t>
        </is>
      </c>
      <c r="I178" s="11" t="n"/>
      <c r="J178" s="11" t="n"/>
      <c r="K178" s="11" t="n"/>
      <c r="L178" s="11" t="n"/>
      <c r="M178" s="11" t="n"/>
      <c r="N178" s="11" t="n"/>
    </row>
    <row r="179" ht="95" customHeight="1">
      <c r="A179" s="10" t="n">
        <v>177</v>
      </c>
      <c r="B179" s="10" t="inlineStr">
        <is>
          <t>Collaudo: UNI EN 81-21:2022 (ascensori nuovi in edifici esistenti)</t>
        </is>
      </c>
      <c r="C179" s="10" t="inlineStr">
        <is>
          <t>UNI EN 81-21:2022, 6.2 e 7.1</t>
        </is>
      </c>
      <c r="D179" s="10" t="inlineStr">
        <is>
          <t>oltre alle prove della EN 81-20 6.3: arresti mobili e sistema di arresto preattivato provati in moto a velocità nominale (in testata a cabina vuota, in fossa con il carico nominale), corsa dei loro ammortizzatori e distanza di frenatura; nelle istruzioni: quanto frena il sistema, col valore nominale e i due limiti</t>
        </is>
      </c>
      <c r="E179" s="10" t="inlineStr">
        <is>
          <t>UNI EN 81-21:2022, 6.2 e 7.1</t>
        </is>
      </c>
      <c r="F179" s="10" t="inlineStr">
        <is>
          <t>testo della norma, letto il 2026-10-06 (punti e valori con parole nostre)</t>
        </is>
      </c>
      <c r="G179" s="10" t="inlineStr">
        <is>
          <t>confermato</t>
        </is>
      </c>
      <c r="H179" s="10" t="inlineStr">
        <is>
          <t>—</t>
        </is>
      </c>
      <c r="I179" s="11" t="n"/>
      <c r="J179" s="11" t="n"/>
      <c r="K179" s="11" t="n"/>
      <c r="L179" s="11" t="n"/>
      <c r="M179" s="11" t="n"/>
      <c r="N179" s="11" t="n"/>
    </row>
    <row r="180" ht="82" customHeight="1">
      <c r="A180" s="10" t="n">
        <v>178</v>
      </c>
      <c r="B180" s="10" t="inlineStr">
        <is>
          <t>Collaudo: UNI EN 81-21:2022 (ascensori nuovi in edifici esistenti)</t>
        </is>
      </c>
      <c r="C180" s="10" t="inlineStr">
        <is>
          <t>DPR 162/1999, art. 17-bis; DM 19/03/2015; linee guida MIMIT 2022</t>
        </is>
      </c>
      <c r="D180" s="10" t="inlineStr">
        <is>
          <t>spazi di rifugio ridotti solo con l'accordo preventivo: in edificio esistente PEC al Ministero con la certificazione dell'organismo prima dell'installazione (Procedura 2: dichiarazione dei punti della EN 81-21 applicati); la EN 81-21 da sola non giustifica la deroga</t>
        </is>
      </c>
      <c r="E180" s="10" t="inlineStr">
        <is>
          <t>DPR 162/1999, art. 17-bis; DM 19/03/2015; linee guida MIMIT 2022</t>
        </is>
      </c>
      <c r="F180" s="10" t="inlineStr">
        <is>
          <t>ricerca, cap. 16 (testi ufficiali e schede UNI, 2026-10-02)</t>
        </is>
      </c>
      <c r="G180" s="10" t="inlineStr">
        <is>
          <t>confermato</t>
        </is>
      </c>
      <c r="H180" s="10" t="inlineStr">
        <is>
          <t>—</t>
        </is>
      </c>
      <c r="I180" s="11" t="n"/>
      <c r="J180" s="11" t="n"/>
      <c r="K180" s="11" t="n"/>
      <c r="L180" s="11" t="n"/>
      <c r="M180" s="11" t="n"/>
      <c r="N180" s="11" t="n"/>
    </row>
    <row r="181" ht="82" customHeight="1">
      <c r="A181" s="10" t="n">
        <v>179</v>
      </c>
      <c r="B181" s="10" t="inlineStr">
        <is>
          <t>Collaudo: UNI EN 81-28:2022 (teleallarme)</t>
        </is>
      </c>
      <c r="C181" s="10" t="inlineStr">
        <is>
          <t>UNI EN 81-20:2020, 5.12.3.1; UNI EN 81-28:2004, 4.1.3, 4.2.1 e 7</t>
        </is>
      </c>
      <c r="D181" s="10" t="inlineStr">
        <is>
          <t>la EN 81-20 richiama con data la EN 81-28:2003 (UNI EN 81-28:2004): prova automatica del collegamento almeno ogni 3 giorni; con alimentazione a batteria, avviso al servizio di soccorso quando l'autonomia residua scende sotto 1 h; pulsante d'allarme giallo con il simbolo della campana</t>
        </is>
      </c>
      <c r="E181" s="10" t="inlineStr">
        <is>
          <t>UNI EN 81-20:2020, 5.12.3.1; UNI EN 81-28:2004, 4.1.3, 4.2.1 e 7</t>
        </is>
      </c>
      <c r="F181" s="10" t="inlineStr">
        <is>
          <t>testo della norma, letto il 2026-10-06 (punti e valori con parole nostre)</t>
        </is>
      </c>
      <c r="G181" s="10" t="inlineStr">
        <is>
          <t>confermato</t>
        </is>
      </c>
      <c r="H181" s="10" t="inlineStr">
        <is>
          <t>—</t>
        </is>
      </c>
      <c r="I181" s="11" t="n"/>
      <c r="J181" s="11" t="n"/>
      <c r="K181" s="11" t="n"/>
      <c r="L181" s="11" t="n"/>
      <c r="M181" s="11" t="n"/>
      <c r="N181" s="11" t="n"/>
    </row>
    <row r="182" ht="56" customHeight="1">
      <c r="A182" s="10" t="n">
        <v>180</v>
      </c>
      <c r="B182" s="10" t="inlineStr">
        <is>
          <t>Collaudo: UNI EN 81-28:2022 (teleallarme)</t>
        </is>
      </c>
      <c r="C182" s="10" t="inlineStr">
        <is>
          <t>UNI EN 81-28:2022</t>
        </is>
      </c>
      <c r="D182" s="10" t="inlineStr">
        <is>
          <t>requisiti dell'edizione citata in GUUE da verificare sul testo; nelle modifiche la UNI 10411-1/-11:2024 (punto 23) ammette l'allarme nuovo secondo la EN 81-20 5.12.3.1 o la UNI EN 81-28:2022</t>
        </is>
      </c>
      <c r="E182" s="10" t="inlineStr">
        <is>
          <t>UNI EN 81-28:2022</t>
        </is>
      </c>
      <c r="F182" s="10" t="inlineStr">
        <is>
          <t>ricerca, cap. 16 (testi ufficiali e schede UNI, 2026-10-02)</t>
        </is>
      </c>
      <c r="G182" s="10" t="inlineStr">
        <is>
          <t>da verificare</t>
        </is>
      </c>
      <c r="H182" s="10" t="inlineStr">
        <is>
          <t>—</t>
        </is>
      </c>
      <c r="I182" s="11" t="n"/>
      <c r="J182" s="11" t="n"/>
      <c r="K182" s="11" t="n"/>
      <c r="L182" s="11" t="n"/>
      <c r="M182" s="11" t="n"/>
      <c r="N182" s="11" t="n"/>
    </row>
    <row r="183" ht="95" customHeight="1">
      <c r="A183" s="10" t="n">
        <v>181</v>
      </c>
      <c r="B183" s="10" t="inlineStr">
        <is>
          <t>Collaudo: UNI EN 81-58:2022 (resistenza al fuoco delle porte di piano)</t>
        </is>
      </c>
      <c r="C183" s="10" t="inlineStr">
        <is>
          <t>UNI EN 81-58:2022; DM 15/09/2005, 3.2–3.3 e art. 1 c.2 lett. c)</t>
        </is>
      </c>
      <c r="D183" s="10" t="inlineStr">
        <is>
          <t>porte di piano resistenti al fuoco (classi E, EI, EW) provate secondo la norma, quando fanno parte della compartimentazione del vano; sostituirle con modelli diversi è una modifica sostanziale ai fini antincendio (la UNI EN 81-20:2020, 5.3.5.2, richiama con data la EN 81-58:2003: quale certificato accettare lo decide l'organismo)</t>
        </is>
      </c>
      <c r="E183" s="10" t="inlineStr">
        <is>
          <t>UNI EN 81-58:2022; DM 15/09/2005, 3.2–3.3 e art. 1 c.2 lett. c)</t>
        </is>
      </c>
      <c r="F183" s="10" t="inlineStr">
        <is>
          <t>ricerca, cap. 16 (testi ufficiali e schede UNI, 2026-10-02)</t>
        </is>
      </c>
      <c r="G183" s="10" t="inlineStr">
        <is>
          <t>confermato</t>
        </is>
      </c>
      <c r="H183" s="10" t="inlineStr">
        <is>
          <t>—</t>
        </is>
      </c>
      <c r="I183" s="11" t="n"/>
      <c r="J183" s="11" t="n"/>
      <c r="K183" s="11" t="n"/>
      <c r="L183" s="11" t="n"/>
      <c r="M183" s="11" t="n"/>
      <c r="N183" s="11" t="n"/>
    </row>
    <row r="184" ht="95" customHeight="1">
      <c r="A184" s="10" t="n">
        <v>182</v>
      </c>
      <c r="B184" s="10" t="inlineStr">
        <is>
          <t>Collaudo: UNI EN 81-70:2022 (accessibilità)</t>
        </is>
      </c>
      <c r="C184" s="10" t="inlineStr">
        <is>
          <t>UNI EN 81-70:2022, 5.3.1</t>
        </is>
      </c>
      <c r="D184" s="10" t="inlineStr">
        <is>
          <t>tipi di cabina (larghezza × profondità, luce della porta): 1) 1000 × 1300, 800; 2) 1100 × 1400, 900; 3) 1100 × 2100, 900; 4) 1600 × 1400 o 1400 × 1600, 900; 5) 2000 × 1400 o 1400 × 2000, 1100 mm (la UNI EN 81-70:2005 letta, Prospetto 1, ha tre tipi: 1000 × 1250, 1100 × 1400 e 2000 × 1400 mm)</t>
        </is>
      </c>
      <c r="E184" s="10" t="inlineStr">
        <is>
          <t>UNI EN 81-70:2022, 5.3.1</t>
        </is>
      </c>
      <c r="F184" s="10" t="inlineStr">
        <is>
          <t>ricerca, cap. 16 (testi ufficiali e schede UNI, 2026-10-02)</t>
        </is>
      </c>
      <c r="G184" s="10" t="inlineStr">
        <is>
          <t>da verificare</t>
        </is>
      </c>
      <c r="H184" s="10" t="inlineStr">
        <is>
          <t>—</t>
        </is>
      </c>
      <c r="I184" s="11" t="n"/>
      <c r="J184" s="11" t="n"/>
      <c r="K184" s="11" t="n"/>
      <c r="L184" s="11" t="n"/>
      <c r="M184" s="11" t="n"/>
      <c r="N184" s="11" t="n"/>
    </row>
    <row r="185" ht="95" customHeight="1">
      <c r="A185" s="10" t="n">
        <v>183</v>
      </c>
      <c r="B185" s="10" t="inlineStr">
        <is>
          <t>Collaudo: UNI EN 81-70:2022 (accessibilità)</t>
        </is>
      </c>
      <c r="C185" s="10" t="inlineStr">
        <is>
          <t>UNI EN 81-70:2022, 5.3.2 e 5.4</t>
        </is>
      </c>
      <c r="D185" s="10" t="inlineStr">
        <is>
          <t>specchio nei tipi 1–3; finiture che riducono le misure nominali al massimo di 15 mm per parete; segnale acustico regolabile 35–65 dB(A), fino a 80 in ambienti rumorosi; contrasto di Michelson con la A1:2022 (nella UNI EN 81-70:2005 letta: specchio nei tipi 1 e 2, 15 mm, 35–65 dB(A); non ci sono gli 80 dB(A) né il contrasto di Michelson)</t>
        </is>
      </c>
      <c r="E185" s="10" t="inlineStr">
        <is>
          <t>UNI EN 81-70:2022, 5.3.2 e 5.4</t>
        </is>
      </c>
      <c r="F185" s="10" t="inlineStr">
        <is>
          <t>ricerca, cap. 16 (testi ufficiali e schede UNI, 2026-10-02)</t>
        </is>
      </c>
      <c r="G185" s="10" t="inlineStr">
        <is>
          <t>da verificare</t>
        </is>
      </c>
      <c r="H185" s="10" t="inlineStr">
        <is>
          <t>—</t>
        </is>
      </c>
      <c r="I185" s="11" t="n"/>
      <c r="J185" s="11" t="n"/>
      <c r="K185" s="11" t="n"/>
      <c r="L185" s="11" t="n"/>
      <c r="M185" s="11" t="n"/>
      <c r="N185" s="11" t="n"/>
    </row>
    <row r="186" ht="43" customHeight="1">
      <c r="A186" s="10" t="n">
        <v>184</v>
      </c>
      <c r="B186" s="10" t="inlineStr">
        <is>
          <t>Collaudo: UNI EN 81-70:2022 (accessibilità)</t>
        </is>
      </c>
      <c r="C186" s="10" t="inlineStr">
        <is>
          <t>UNI EN 81-70:2022, scopo</t>
        </is>
      </c>
      <c r="D186" s="10" t="inlineStr">
        <is>
          <t>si usa con la UNI EN 81-20:2020; per gli impianti esistenti vale la UNI EN 81-82</t>
        </is>
      </c>
      <c r="E186" s="10" t="inlineStr">
        <is>
          <t>UNI EN 81-70:2022, scopo</t>
        </is>
      </c>
      <c r="F186" s="10" t="inlineStr">
        <is>
          <t>ricerca, cap. 16 (testi ufficiali e schede UNI, 2026-10-02)</t>
        </is>
      </c>
      <c r="G186" s="10" t="inlineStr">
        <is>
          <t>confermato</t>
        </is>
      </c>
      <c r="H186" s="10" t="inlineStr">
        <is>
          <t>—</t>
        </is>
      </c>
      <c r="I186" s="11" t="n"/>
      <c r="J186" s="11" t="n"/>
      <c r="K186" s="11" t="n"/>
      <c r="L186" s="11" t="n"/>
      <c r="M186" s="11" t="n"/>
      <c r="N186" s="11" t="n"/>
    </row>
    <row r="187" ht="43" customHeight="1">
      <c r="A187" s="10" t="n">
        <v>185</v>
      </c>
      <c r="B187" s="10" t="inlineStr">
        <is>
          <t>Collaudo: UNI EN 81-71 (ascensori antivandalo)</t>
        </is>
      </c>
      <c r="C187" s="10" t="inlineStr">
        <is>
          <t>UNI EN 81-71</t>
        </is>
      </c>
      <c r="D187" s="10" t="inlineStr">
        <is>
          <t>categoria antivandalo da concordare con il committente; per la presunzione di conformità vale l'edizione 2005+A1:2006</t>
        </is>
      </c>
      <c r="E187" s="10" t="inlineStr">
        <is>
          <t>UNI EN 81-71</t>
        </is>
      </c>
      <c r="F187" s="10" t="inlineStr">
        <is>
          <t>ricerca, cap. 16 (testi ufficiali e schede UNI, 2026-10-02)</t>
        </is>
      </c>
      <c r="G187" s="10" t="inlineStr">
        <is>
          <t>da verificare</t>
        </is>
      </c>
      <c r="H187" s="10" t="inlineStr">
        <is>
          <t>—</t>
        </is>
      </c>
      <c r="I187" s="11" t="n"/>
      <c r="J187" s="11" t="n"/>
      <c r="K187" s="11" t="n"/>
      <c r="L187" s="11" t="n"/>
      <c r="M187" s="11" t="n"/>
      <c r="N187" s="11" t="n"/>
    </row>
    <row r="188" ht="108" customHeight="1">
      <c r="A188" s="10" t="n">
        <v>186</v>
      </c>
      <c r="B188" s="10" t="inlineStr">
        <is>
          <t>Collaudo: UNI EN 81-72:2020 (ascensori antincendio)</t>
        </is>
      </c>
      <c r="C188" s="10" t="inlineStr">
        <is>
          <t>DM 15/09/2005, punto 7 (valori); Codice V.3.3.4</t>
        </is>
      </c>
      <c r="D188" s="10" t="inlineStr">
        <is>
          <t>ascensore antincendio: tutti i piani serviti; vano e porte di piano almeno REI 60; cabina interna almeno 1,10 × 2,10 m con accesso sul lato corto; botola sul tetto almeno 0,50 × 0,70 m; area dedicata almeno 5 m² a ogni piano; luce d'emergenza almeno 5 lux con 1 h di autonomia; IPX3 dove arriva l'acqua; linea dedicata con alimentazione di sicurezza</t>
        </is>
      </c>
      <c r="E188" s="10" t="inlineStr">
        <is>
          <t>DM 15/09/2005, punto 7 (valori); Codice V.3.3.4</t>
        </is>
      </c>
      <c r="F188" s="10" t="inlineStr">
        <is>
          <t>ricerca, cap. 16 (testi ufficiali e schede UNI, 2026-10-02)</t>
        </is>
      </c>
      <c r="G188" s="10" t="inlineStr">
        <is>
          <t>confermato</t>
        </is>
      </c>
      <c r="H188" s="10" t="inlineStr">
        <is>
          <t>—</t>
        </is>
      </c>
      <c r="I188" s="11" t="n"/>
      <c r="J188" s="11" t="n"/>
      <c r="K188" s="11" t="n"/>
      <c r="L188" s="11" t="n"/>
      <c r="M188" s="11" t="n"/>
      <c r="N188" s="11" t="n"/>
    </row>
    <row r="189" ht="56" customHeight="1">
      <c r="A189" s="10" t="n">
        <v>187</v>
      </c>
      <c r="B189" s="10" t="inlineStr">
        <is>
          <t>Collaudo: UNI EN 81-72:2020 (ascensori antincendio)</t>
        </is>
      </c>
      <c r="C189" s="10" t="inlineStr">
        <is>
          <t>Codice S.10, Tab. S.10-2</t>
        </is>
      </c>
      <c r="D189" s="10" t="inlineStr">
        <is>
          <t>alimentazione di sicurezza dell'ascensore antincendio: interruzione al massimo 15 s, autonomia oltre 30 min</t>
        </is>
      </c>
      <c r="E189" s="10" t="inlineStr">
        <is>
          <t>Codice S.10, Tab. S.10-2</t>
        </is>
      </c>
      <c r="F189" s="10" t="inlineStr">
        <is>
          <t>ricerca, cap. 16 (testi ufficiali e schede UNI, 2026-10-02)</t>
        </is>
      </c>
      <c r="G189" s="10" t="inlineStr">
        <is>
          <t>confermato</t>
        </is>
      </c>
      <c r="H189" s="10" t="inlineStr">
        <is>
          <t>—</t>
        </is>
      </c>
      <c r="I189" s="11" t="n"/>
      <c r="J189" s="11" t="n"/>
      <c r="K189" s="11" t="n"/>
      <c r="L189" s="11" t="n"/>
      <c r="M189" s="11" t="n"/>
      <c r="N189" s="11" t="n"/>
    </row>
    <row r="190" ht="56" customHeight="1">
      <c r="A190" s="10" t="n">
        <v>188</v>
      </c>
      <c r="B190" s="10" t="inlineStr">
        <is>
          <t>Collaudo: UNI EN 81-72:2020 (ascensori antincendio)</t>
        </is>
      </c>
      <c r="C190" s="10" t="inlineStr">
        <is>
          <t>UNI EN 81-72:2020</t>
        </is>
      </c>
      <c r="D190" s="10" t="inlineStr">
        <is>
          <t>requisiti propri della norma (cabina, tempi, protezione dall'acqua) da verificare sul testo</t>
        </is>
      </c>
      <c r="E190" s="10" t="inlineStr">
        <is>
          <t>UNI EN 81-72:2020</t>
        </is>
      </c>
      <c r="F190" s="10" t="inlineStr">
        <is>
          <t>ricerca, cap. 16 (testi ufficiali e schede UNI, 2026-10-02)</t>
        </is>
      </c>
      <c r="G190" s="10" t="inlineStr">
        <is>
          <t>da verificare</t>
        </is>
      </c>
      <c r="H190" s="10" t="inlineStr">
        <is>
          <t>—</t>
        </is>
      </c>
      <c r="I190" s="11" t="n"/>
      <c r="J190" s="11" t="n"/>
      <c r="K190" s="11" t="n"/>
      <c r="L190" s="11" t="n"/>
      <c r="M190" s="11" t="n"/>
      <c r="N190" s="11" t="n"/>
    </row>
    <row r="191" ht="69" customHeight="1">
      <c r="A191" s="10" t="n">
        <v>189</v>
      </c>
      <c r="B191" s="10" t="inlineStr">
        <is>
          <t>Collaudo: UNI EN 81-73:2020 (comportamento in caso d'incendio)</t>
        </is>
      </c>
      <c r="C191" s="10" t="inlineStr">
        <is>
          <t>DM 15/09/2005, punto 6; Codice V.3.3.1</t>
        </is>
      </c>
      <c r="D191" s="10" t="inlineStr">
        <is>
          <t>quando la compartimentazione lo richiede, su comando della rivelazione incendio la cabina va al piano prestabilito e lascia uscire i passeggeri; con il Codice l'ascensore «dovrebbe» essere conforme alla UNI EN 81-73</t>
        </is>
      </c>
      <c r="E191" s="10" t="inlineStr">
        <is>
          <t>DM 15/09/2005, punto 6; Codice V.3.3.1</t>
        </is>
      </c>
      <c r="F191" s="10" t="inlineStr">
        <is>
          <t>ricerca, cap. 16 (testi ufficiali e schede UNI, 2026-10-02)</t>
        </is>
      </c>
      <c r="G191" s="10" t="inlineStr">
        <is>
          <t>confermato</t>
        </is>
      </c>
      <c r="H191" s="10" t="inlineStr">
        <is>
          <t>—</t>
        </is>
      </c>
      <c r="I191" s="11" t="n"/>
      <c r="J191" s="11" t="n"/>
      <c r="K191" s="11" t="n"/>
      <c r="L191" s="11" t="n"/>
      <c r="M191" s="11" t="n"/>
      <c r="N191" s="11" t="n"/>
    </row>
    <row r="192" ht="56" customHeight="1">
      <c r="A192" s="10" t="n">
        <v>190</v>
      </c>
      <c r="B192" s="10" t="inlineStr">
        <is>
          <t>Collaudo: UNI EN 81-73:2020 (comportamento in caso d'incendio)</t>
        </is>
      </c>
      <c r="C192" s="10" t="inlineStr">
        <is>
          <t>UNI EN 81-73:2020</t>
        </is>
      </c>
      <c r="D192" s="10" t="inlineStr">
        <is>
          <t>segnali e comportamento della manovra da verificare sul testo; la norma serve anche da base per migliorare gli esistenti (così la UNI EN 81-73:2005 letta, punto 1)</t>
        </is>
      </c>
      <c r="E192" s="10" t="inlineStr">
        <is>
          <t>UNI EN 81-73:2020</t>
        </is>
      </c>
      <c r="F192" s="10" t="inlineStr">
        <is>
          <t>ricerca, cap. 16 (testi ufficiali e schede UNI, 2026-10-02)</t>
        </is>
      </c>
      <c r="G192" s="10" t="inlineStr">
        <is>
          <t>da verificare</t>
        </is>
      </c>
      <c r="H192" s="10" t="inlineStr">
        <is>
          <t>—</t>
        </is>
      </c>
      <c r="I192" s="11" t="n"/>
      <c r="J192" s="11" t="n"/>
      <c r="K192" s="11" t="n"/>
      <c r="L192" s="11" t="n"/>
      <c r="M192" s="11" t="n"/>
      <c r="N192" s="11" t="n"/>
    </row>
    <row r="193" ht="69" customHeight="1">
      <c r="A193" s="10" t="n">
        <v>191</v>
      </c>
      <c r="B193" s="10" t="inlineStr">
        <is>
          <t>Collaudo: UNI EN 81-76:2025 (evacuazione delle persone con disabilità)</t>
        </is>
      </c>
      <c r="C193" s="10" t="inlineStr">
        <is>
          <t>UNI EN 81-76:2025</t>
        </is>
      </c>
      <c r="D193" s="10" t="inlineStr">
        <is>
          <t>evacuazione delle persone con disabilità con l'ascensore: requisiti aggiuntivi alla EN 81-20 (manovra, alimentazione) da verificare sul testo</t>
        </is>
      </c>
      <c r="E193" s="10" t="inlineStr">
        <is>
          <t>UNI EN 81-76:2025</t>
        </is>
      </c>
      <c r="F193" s="10" t="inlineStr">
        <is>
          <t>ricerca, cap. 16 (testi ufficiali e schede UNI, 2026-10-02)</t>
        </is>
      </c>
      <c r="G193" s="10" t="inlineStr">
        <is>
          <t>da verificare</t>
        </is>
      </c>
      <c r="H193" s="10" t="inlineStr">
        <is>
          <t>—</t>
        </is>
      </c>
      <c r="I193" s="11" t="n"/>
      <c r="J193" s="11" t="n"/>
      <c r="K193" s="11" t="n"/>
      <c r="L193" s="11" t="n"/>
      <c r="M193" s="11" t="n"/>
      <c r="N193" s="11" t="n"/>
    </row>
    <row r="194" ht="56" customHeight="1">
      <c r="A194" s="10" t="n">
        <v>192</v>
      </c>
      <c r="B194" s="10" t="inlineStr">
        <is>
          <t>Collaudo: UNI EN 81-77:2022 (azioni sismiche)</t>
        </is>
      </c>
      <c r="C194" s="10" t="inlineStr">
        <is>
          <t>UNI EN 81-77:2022, 1</t>
        </is>
      </c>
      <c r="D194" s="10" t="inlineStr">
        <is>
          <t>con accelerazione di progetto a_d fino a 1 m/s² nessuna prescrizione specifica; a_d e la posizione dei rilevatori si concordano con il progettista dell'edificio</t>
        </is>
      </c>
      <c r="E194" s="10" t="inlineStr">
        <is>
          <t>UNI EN 81-77:2022, 1</t>
        </is>
      </c>
      <c r="F194" s="10" t="inlineStr">
        <is>
          <t>ricerca, cap. 16 (testi ufficiali e schede UNI, 2026-10-02)</t>
        </is>
      </c>
      <c r="G194" s="10" t="inlineStr">
        <is>
          <t>confermato</t>
        </is>
      </c>
      <c r="H194" s="10" t="inlineStr">
        <is>
          <t>—</t>
        </is>
      </c>
      <c r="I194" s="11" t="n"/>
      <c r="J194" s="11" t="n"/>
      <c r="K194" s="11" t="n"/>
      <c r="L194" s="11" t="n"/>
      <c r="M194" s="11" t="n"/>
      <c r="N194" s="11" t="n"/>
    </row>
    <row r="195" ht="95" customHeight="1">
      <c r="A195" s="10" t="n">
        <v>193</v>
      </c>
      <c r="B195" s="10" t="inlineStr">
        <is>
          <t>Collaudo: UNI EN 81-77:2022 (azioni sismiche)</t>
        </is>
      </c>
      <c r="C195" s="10" t="inlineStr">
        <is>
          <t>UNI EN 81-77:2022, 5.4–5.10, All. A, B, D</t>
        </is>
      </c>
      <c r="D195" s="10" t="inlineStr">
        <is>
          <t>oltre 1 m/s²: massa della cabina nei calcoli (5.4.1), ritegni della cabina (5.4.2) e del contrappeso (5.5), protezione delle pulegge (5.6.1), tensioni e frecce delle guide (5.8.2, All. D), rilevazione e modo sismico (5.10.3, 5.10.4); soglie delle categorie dell'All. A da verificare sul testo</t>
        </is>
      </c>
      <c r="E195" s="10" t="inlineStr">
        <is>
          <t>UNI EN 81-77:2022, 5.4–5.10, All. A, B, D</t>
        </is>
      </c>
      <c r="F195" s="10" t="inlineStr">
        <is>
          <t>ricerca, cap. 16 (testi ufficiali e schede UNI, 2026-10-02)</t>
        </is>
      </c>
      <c r="G195" s="10" t="inlineStr">
        <is>
          <t>da verificare</t>
        </is>
      </c>
      <c r="H195" s="10" t="inlineStr">
        <is>
          <t>—</t>
        </is>
      </c>
      <c r="I195" s="11" t="n"/>
      <c r="J195" s="11" t="n"/>
      <c r="K195" s="11" t="n"/>
      <c r="L195" s="11" t="n"/>
      <c r="M195" s="11" t="n"/>
      <c r="N195" s="11" t="n"/>
    </row>
    <row r="196" ht="43" customHeight="1">
      <c r="A196" s="10" t="n">
        <v>194</v>
      </c>
      <c r="B196" s="10" t="inlineStr">
        <is>
          <t>Collaudo: UNI EN 81-77:2022 (azioni sismiche)</t>
        </is>
      </c>
      <c r="C196" s="10" t="inlineStr">
        <is>
          <t>UNI EN 81-77:2022, 0.3</t>
        </is>
      </c>
      <c r="D196" s="10" t="inlineStr">
        <is>
          <t>non si applica agli impianti installati prima della sua pubblicazione</t>
        </is>
      </c>
      <c r="E196" s="10" t="inlineStr">
        <is>
          <t>UNI EN 81-77:2022, 0.3</t>
        </is>
      </c>
      <c r="F196" s="10" t="inlineStr">
        <is>
          <t>ricerca, cap. 16 (testi ufficiali e schede UNI, 2026-10-02)</t>
        </is>
      </c>
      <c r="G196" s="10" t="inlineStr">
        <is>
          <t>confermato</t>
        </is>
      </c>
      <c r="H196" s="10" t="inlineStr">
        <is>
          <t>—</t>
        </is>
      </c>
      <c r="I196" s="11" t="n"/>
      <c r="J196" s="11" t="n"/>
      <c r="K196" s="11" t="n"/>
      <c r="L196" s="11" t="n"/>
      <c r="M196" s="11" t="n"/>
      <c r="N196" s="11" t="n"/>
    </row>
    <row r="197" ht="69" customHeight="1">
      <c r="A197" s="10" t="n">
        <v>195</v>
      </c>
      <c r="B197" s="10" t="inlineStr">
        <is>
          <t>Collaudo: UNI EN 81-80:2019 (miglioramento della sicurezza degli esistenti)</t>
        </is>
      </c>
      <c r="C197" s="10" t="inlineStr">
        <is>
          <t>UNI EN 81-80:2004 e 2009, 1 e appendice A</t>
        </is>
      </c>
      <c r="D197" s="10" t="inlineStr">
        <is>
          <t>analisi dei rischi dell'impianto esistente e piano di miglioramento per priorità; quali misure e in che tempi lo decide la legislazione nazionale, non la norma</t>
        </is>
      </c>
      <c r="E197" s="10" t="inlineStr">
        <is>
          <t>UNI EN 81-80:2004 e 2009, 1 e appendice A</t>
        </is>
      </c>
      <c r="F197" s="10" t="inlineStr">
        <is>
          <t>testo della norma, letto il 2026-10-06 (punti e valori con parole nostre)</t>
        </is>
      </c>
      <c r="G197" s="10" t="inlineStr">
        <is>
          <t>confermato</t>
        </is>
      </c>
      <c r="H197" s="10" t="inlineStr">
        <is>
          <t>—</t>
        </is>
      </c>
      <c r="I197" s="11" t="n"/>
      <c r="J197" s="11" t="n"/>
      <c r="K197" s="11" t="n"/>
      <c r="L197" s="11" t="n"/>
      <c r="M197" s="11" t="n"/>
      <c r="N197" s="11" t="n"/>
    </row>
    <row r="198" ht="69" customHeight="1">
      <c r="A198" s="10" t="n">
        <v>196</v>
      </c>
      <c r="B198" s="10" t="inlineStr">
        <is>
          <t>Collaudo: UNI EN 81-80:2019 (miglioramento della sicurezza degli esistenti)</t>
        </is>
      </c>
      <c r="C198" s="10" t="inlineStr">
        <is>
          <t>UNI EN 81-80:2019</t>
        </is>
      </c>
      <c r="D198" s="10" t="inlineStr">
        <is>
          <t>la stessa analisi nell'edizione in vigore, con una struttura diversa: da verificare sul testo</t>
        </is>
      </c>
      <c r="E198" s="10" t="inlineStr">
        <is>
          <t>UNI EN 81-80:2019</t>
        </is>
      </c>
      <c r="F198" s="10" t="inlineStr">
        <is>
          <t>ricerca, cap. 16 (testi ufficiali e schede UNI, 2026-10-02)</t>
        </is>
      </c>
      <c r="G198" s="10" t="inlineStr">
        <is>
          <t>da verificare</t>
        </is>
      </c>
      <c r="H198" s="10" t="inlineStr">
        <is>
          <t>—</t>
        </is>
      </c>
      <c r="I198" s="11" t="n"/>
      <c r="J198" s="11" t="n"/>
      <c r="K198" s="11" t="n"/>
      <c r="L198" s="11" t="n"/>
      <c r="M198" s="11" t="n"/>
      <c r="N198" s="11" t="n"/>
    </row>
    <row r="199" ht="56" customHeight="1">
      <c r="A199" s="10" t="n">
        <v>197</v>
      </c>
      <c r="B199" s="10" t="inlineStr">
        <is>
          <t>Collaudo: UNI EN 81-82:2026 (accessibilità degli esistenti)</t>
        </is>
      </c>
      <c r="C199" s="10" t="inlineStr">
        <is>
          <t>UNI EN 81-82:2026</t>
        </is>
      </c>
      <c r="D199" s="10" t="inlineStr">
        <is>
          <t>miglioramento dell'accessibilità di un impianto esistente secondo i requisiti della EN 81-70</t>
        </is>
      </c>
      <c r="E199" s="10" t="inlineStr">
        <is>
          <t>UNI EN 81-82:2026</t>
        </is>
      </c>
      <c r="F199" s="10" t="inlineStr">
        <is>
          <t>ricerca, cap. 16 (testi ufficiali e schede UNI, 2026-10-02)</t>
        </is>
      </c>
      <c r="G199" s="10" t="inlineStr">
        <is>
          <t>confermato</t>
        </is>
      </c>
      <c r="H199" s="10" t="inlineStr">
        <is>
          <t>—</t>
        </is>
      </c>
      <c r="I199" s="11" t="n"/>
      <c r="J199" s="11" t="n"/>
      <c r="K199" s="11" t="n"/>
      <c r="L199" s="11" t="n"/>
      <c r="M199" s="11" t="n"/>
      <c r="N199" s="11" t="n"/>
    </row>
    <row r="200" ht="56" customHeight="1">
      <c r="A200" s="10" t="n">
        <v>198</v>
      </c>
      <c r="B200" s="10" t="inlineStr">
        <is>
          <t>Collaudo: UNI EN 81-83:2026 (antivandalo degli esistenti)</t>
        </is>
      </c>
      <c r="C200" s="10" t="inlineStr">
        <is>
          <t>UNI EN 81-83:2026</t>
        </is>
      </c>
      <c r="D200" s="10" t="inlineStr">
        <is>
          <t>miglioramento della resistenza agli atti vandalici di un impianto esistente secondo la EN 81-71:2022 (voce 1.2 della Tab. A.1 della EN 81-80)</t>
        </is>
      </c>
      <c r="E200" s="10" t="inlineStr">
        <is>
          <t>UNI EN 81-83:2026</t>
        </is>
      </c>
      <c r="F200" s="10" t="inlineStr">
        <is>
          <t>ricerca, cap. 16 (testi ufficiali e schede UNI, 2026-10-02)</t>
        </is>
      </c>
      <c r="G200" s="10" t="inlineStr">
        <is>
          <t>confermato</t>
        </is>
      </c>
      <c r="H200" s="10" t="inlineStr">
        <is>
          <t>—</t>
        </is>
      </c>
      <c r="I200" s="11" t="n"/>
      <c r="J200" s="11" t="n"/>
      <c r="K200" s="11" t="n"/>
      <c r="L200" s="11" t="n"/>
      <c r="M200" s="11" t="n"/>
      <c r="N200" s="11" t="n"/>
    </row>
    <row r="201" ht="82" customHeight="1">
      <c r="A201" s="10" t="n">
        <v>199</v>
      </c>
      <c r="B201" s="10" t="inlineStr">
        <is>
          <t>Collaudo: DM 236/1989 (barriere architettoniche)</t>
        </is>
      </c>
      <c r="C201" s="10" t="inlineStr">
        <is>
          <t>DM 236/1989, 8.1.12</t>
        </is>
      </c>
      <c r="D201" s="10" t="inlineStr">
        <is>
          <t>piattaforma di distribuzione davanti alla porta di cabina: 1,50 × 1,50 m negli edifici nuovi, 1,40 × 1,40 m nell'adeguamento (fuori dal vano: in sito)</t>
        </is>
      </c>
      <c r="E201" s="10" t="inlineStr">
        <is>
          <t>DM 236/1989, 8.1.12</t>
        </is>
      </c>
      <c r="F201" s="10" t="inlineStr">
        <is>
          <t>testo ufficiale del DM 236/1989</t>
        </is>
      </c>
      <c r="G201" s="10" t="inlineStr">
        <is>
          <t>confermato</t>
        </is>
      </c>
      <c r="H201" s="10" t="inlineStr">
        <is>
          <t>cabina minima (DM 236/1989); porta minima (DM 236/1989); porta sul lato corto; motivazione del caso c) (DM 236/1989); pulsanti più alti delle bottoniere (DM 236/1989)</t>
        </is>
      </c>
      <c r="I201" s="11" t="n"/>
      <c r="J201" s="11" t="n"/>
      <c r="K201" s="11" t="n"/>
      <c r="L201" s="11" t="n"/>
      <c r="M201" s="11" t="n"/>
      <c r="N201" s="11" t="n"/>
    </row>
    <row r="202" ht="82" customHeight="1">
      <c r="A202" s="10" t="n">
        <v>200</v>
      </c>
      <c r="B202" s="10" t="inlineStr">
        <is>
          <t>Collaudo: DM 236/1989 (barriere architettoniche)</t>
        </is>
      </c>
      <c r="C202" s="10" t="inlineStr">
        <is>
          <t>DM 236/1989, 8.1.12</t>
        </is>
      </c>
      <c r="D202" s="10" t="inlineStr">
        <is>
          <t>porte di cabina e di piano a scorrimento automatico (nell'adeguamento la porta di piano può essere a battente se ad apertura automatica); porte aperte almeno 8 s, chiusura in almeno 4 s</t>
        </is>
      </c>
      <c r="E202" s="10" t="inlineStr">
        <is>
          <t>DM 236/1989, 8.1.12</t>
        </is>
      </c>
      <c r="F202" s="10" t="inlineStr">
        <is>
          <t>testo ufficiale del DM 236/1989</t>
        </is>
      </c>
      <c r="G202" s="10" t="inlineStr">
        <is>
          <t>confermato</t>
        </is>
      </c>
      <c r="H202" s="10" t="inlineStr">
        <is>
          <t>cabina minima (DM 236/1989); porta minima (DM 236/1989); porta sul lato corto; motivazione del caso c) (DM 236/1989); pulsanti più alti delle bottoniere (DM 236/1989)</t>
        </is>
      </c>
      <c r="I202" s="11" t="n"/>
      <c r="J202" s="11" t="n"/>
      <c r="K202" s="11" t="n"/>
      <c r="L202" s="11" t="n"/>
      <c r="M202" s="11" t="n"/>
      <c r="N202" s="11" t="n"/>
    </row>
    <row r="203" ht="82" customHeight="1">
      <c r="A203" s="10" t="n">
        <v>201</v>
      </c>
      <c r="B203" s="10" t="inlineStr">
        <is>
          <t>Collaudo: DM 236/1989 (barriere architettoniche)</t>
        </is>
      </c>
      <c r="C203" s="10" t="inlineStr">
        <is>
          <t>DM 236/1989, 8.1.12</t>
        </is>
      </c>
      <c r="D203" s="10" t="inlineStr">
        <is>
          <t>arresto ai piani con autolivellamento entro ± 2 cm; sosta ai piani con le porte chiuse</t>
        </is>
      </c>
      <c r="E203" s="10" t="inlineStr">
        <is>
          <t>DM 236/1989, 8.1.12</t>
        </is>
      </c>
      <c r="F203" s="10" t="inlineStr">
        <is>
          <t>testo ufficiale del DM 236/1989</t>
        </is>
      </c>
      <c r="G203" s="10" t="inlineStr">
        <is>
          <t>confermato</t>
        </is>
      </c>
      <c r="H203" s="10" t="inlineStr">
        <is>
          <t>cabina minima (DM 236/1989); porta minima (DM 236/1989); porta sul lato corto; motivazione del caso c) (DM 236/1989); pulsanti più alti delle bottoniere (DM 236/1989)</t>
        </is>
      </c>
      <c r="I203" s="11" t="n"/>
      <c r="J203" s="11" t="n"/>
      <c r="K203" s="11" t="n"/>
      <c r="L203" s="11" t="n"/>
      <c r="M203" s="11" t="n"/>
      <c r="N203" s="11" t="n"/>
    </row>
    <row r="204" ht="82" customHeight="1">
      <c r="A204" s="10" t="n">
        <v>202</v>
      </c>
      <c r="B204" s="10" t="inlineStr">
        <is>
          <t>Collaudo: DM 236/1989 (barriere architettoniche)</t>
        </is>
      </c>
      <c r="C204" s="10" t="inlineStr">
        <is>
          <t>DM 236/1989, 8.1.12 e 8.0.1</t>
        </is>
      </c>
      <c r="D204" s="10" t="inlineStr">
        <is>
          <t>pulsanti di cabina e di piano: il più alto tra 1,10 e 1,40 m, misurato all'asse del comando; bottoniera di cabina su una parete laterale ad almeno 0,35 m dalla porta</t>
        </is>
      </c>
      <c r="E204" s="10" t="inlineStr">
        <is>
          <t>DM 236/1989, 8.1.12 e 8.0.1</t>
        </is>
      </c>
      <c r="F204" s="10" t="inlineStr">
        <is>
          <t>testo ufficiale del DM 236/1989</t>
        </is>
      </c>
      <c r="G204" s="10" t="inlineStr">
        <is>
          <t>confermato</t>
        </is>
      </c>
      <c r="H204" s="10" t="inlineStr">
        <is>
          <t>cabina minima (DM 236/1989); porta minima (DM 236/1989); porta sul lato corto; motivazione del caso c) (DM 236/1989); pulsanti più alti delle bottoniere (DM 236/1989)</t>
        </is>
      </c>
      <c r="I204" s="11" t="n"/>
      <c r="J204" s="11" t="n"/>
      <c r="K204" s="11" t="n"/>
      <c r="L204" s="11" t="n"/>
      <c r="M204" s="11" t="n"/>
      <c r="N204" s="11" t="n"/>
    </row>
    <row r="205" ht="95" customHeight="1">
      <c r="A205" s="10" t="n">
        <v>203</v>
      </c>
      <c r="B205" s="10" t="inlineStr">
        <is>
          <t>Collaudo: DM 236/1989 (barriere architettoniche)</t>
        </is>
      </c>
      <c r="C205" s="10" t="inlineStr">
        <is>
          <t>DM 236/1989, 8.1.12 e 4.1.12</t>
        </is>
      </c>
      <c r="D205" s="10" t="inlineStr">
        <is>
          <t>citofono in cabina tra 1,10 e 1,30 m; luce d'emergenza con almeno 3 h di autonomia; campanello d'allarme e segnale luminoso di allarme ricevuto; arresto e inversione della chiusura; segnale acustico d'arrivo; numeri in rilievo e Braille, targa Braille di piano; sedile ribaltabile dove possibile</t>
        </is>
      </c>
      <c r="E205" s="10" t="inlineStr">
        <is>
          <t>DM 236/1989, 8.1.12 e 4.1.12</t>
        </is>
      </c>
      <c r="F205" s="10" t="inlineStr">
        <is>
          <t>testo ufficiale del DM 236/1989</t>
        </is>
      </c>
      <c r="G205" s="10" t="inlineStr">
        <is>
          <t>confermato</t>
        </is>
      </c>
      <c r="H205" s="10" t="inlineStr">
        <is>
          <t>cabina minima (DM 236/1989); porta minima (DM 236/1989); porta sul lato corto; motivazione del caso c) (DM 236/1989); pulsanti più alti delle bottoniere (DM 236/1989)</t>
        </is>
      </c>
      <c r="I205" s="11" t="n"/>
      <c r="J205" s="11" t="n"/>
      <c r="K205" s="11" t="n"/>
      <c r="L205" s="11" t="n"/>
      <c r="M205" s="11" t="n"/>
      <c r="N205" s="11" t="n"/>
    </row>
    <row r="206" ht="82" customHeight="1">
      <c r="A206" s="10" t="n">
        <v>204</v>
      </c>
      <c r="B206" s="10" t="inlineStr">
        <is>
          <t>Collaudo: DM 236/1989 (barriere architettoniche)</t>
        </is>
      </c>
      <c r="C206" s="10" t="inlineStr">
        <is>
          <t>DM 236/1989, 3.2; L. 13/1989, art. 1 c.3 lett. d)</t>
        </is>
      </c>
      <c r="D206" s="10" t="inlineStr">
        <is>
          <t>ascensore obbligatorio oltre il terzo livello (contati interrati e porticati); negli immobili con più di tre livelli fuori terra un ascensore per ogni scala principale</t>
        </is>
      </c>
      <c r="E206" s="10" t="inlineStr">
        <is>
          <t>DM 236/1989, 3.2; L. 13/1989, art. 1 c.3 lett. d)</t>
        </is>
      </c>
      <c r="F206" s="10" t="inlineStr">
        <is>
          <t>testo ufficiale del DM 236/1989; L. 13/1989: ricerca, cap. 16</t>
        </is>
      </c>
      <c r="G206" s="10" t="inlineStr">
        <is>
          <t>confermato</t>
        </is>
      </c>
      <c r="H206" s="10" t="inlineStr">
        <is>
          <t>cabina minima (DM 236/1989); porta minima (DM 236/1989); porta sul lato corto; motivazione del caso c) (DM 236/1989); pulsanti più alti delle bottoniere (DM 236/1989)</t>
        </is>
      </c>
      <c r="I206" s="11" t="n"/>
      <c r="J206" s="11" t="n"/>
      <c r="K206" s="11" t="n"/>
      <c r="L206" s="11" t="n"/>
      <c r="M206" s="11" t="n"/>
      <c r="N206" s="11" t="n"/>
    </row>
    <row r="207" ht="82" customHeight="1">
      <c r="A207" s="10" t="n">
        <v>205</v>
      </c>
      <c r="B207" s="10" t="inlineStr">
        <is>
          <t>Collaudo: DM 236/1989 (barriere architettoniche)</t>
        </is>
      </c>
      <c r="C207" s="10" t="inlineStr">
        <is>
          <t>DM 236/1989, 7.5; DPR 503/1996, art. 19</t>
        </is>
      </c>
      <c r="D207" s="10" t="inlineStr">
        <is>
          <t>nelle ristrutturazioni deroghe per impossibilità tecnica strutturale o impiantistica (privati: concesse dal Sindaco); edifici vincolati: deroga se le opere pregiudicano il bene</t>
        </is>
      </c>
      <c r="E207" s="10" t="inlineStr">
        <is>
          <t>DM 236/1989, 7.5; DPR 503/1996, art. 19</t>
        </is>
      </c>
      <c r="F207" s="10" t="inlineStr">
        <is>
          <t>testo ufficiale del DM 236/1989; DPR 503/1996: ricerca, cap. 16</t>
        </is>
      </c>
      <c r="G207" s="10" t="inlineStr">
        <is>
          <t>confermato</t>
        </is>
      </c>
      <c r="H207" s="10" t="inlineStr">
        <is>
          <t>cabina minima (DM 236/1989); porta minima (DM 236/1989); porta sul lato corto; motivazione del caso c) (DM 236/1989); pulsanti più alti delle bottoniere (DM 236/1989)</t>
        </is>
      </c>
      <c r="I207" s="11" t="n"/>
      <c r="J207" s="11" t="n"/>
      <c r="K207" s="11" t="n"/>
      <c r="L207" s="11" t="n"/>
      <c r="M207" s="11" t="n"/>
      <c r="N207" s="11" t="n"/>
    </row>
    <row r="208" ht="69" customHeight="1">
      <c r="A208" s="10" t="n">
        <v>206</v>
      </c>
      <c r="B208" s="10" t="inlineStr">
        <is>
          <t>Collaudo: DM 15/09/2005 o Codice di prevenzione incendi, RTV V.3 (antincendio)</t>
        </is>
      </c>
      <c r="C208" s="10" t="inlineStr">
        <is>
          <t>DM 3/8/2015, art. 5 c.1-bis lett. e)</t>
        </is>
      </c>
      <c r="D208" s="10" t="inlineStr">
        <is>
          <t>il progettista applica il DM 15/09/2005 oppure la RTV V.3 del Codice: dove si usa il Codice il DM 2005 non si applica</t>
        </is>
      </c>
      <c r="E208" s="10" t="inlineStr">
        <is>
          <t>DM 3/8/2015, art. 5 c.1-bis lett. e)</t>
        </is>
      </c>
      <c r="F208" s="10" t="inlineStr">
        <is>
          <t>ricerca, cap. 16 (testi ufficiali e schede UNI, 2026-10-02)</t>
        </is>
      </c>
      <c r="G208" s="10" t="inlineStr">
        <is>
          <t>confermato</t>
        </is>
      </c>
      <c r="H208" s="10" t="inlineStr">
        <is>
          <t>—</t>
        </is>
      </c>
      <c r="I208" s="11" t="n"/>
      <c r="J208" s="11" t="n"/>
      <c r="K208" s="11" t="n"/>
      <c r="L208" s="11" t="n"/>
      <c r="M208" s="11" t="n"/>
      <c r="N208" s="11" t="n"/>
    </row>
    <row r="209" ht="95" customHeight="1">
      <c r="A209" s="10" t="n">
        <v>207</v>
      </c>
      <c r="B209" s="10" t="inlineStr">
        <is>
          <t>Collaudo: DM 15/09/2005 o Codice di prevenzione incendi, RTV V.3 (antincendio)</t>
        </is>
      </c>
      <c r="C209" s="10" t="inlineStr">
        <is>
          <t>DM 15/09/2005, art. 1 c.2</t>
        </is>
      </c>
      <c r="D209" s="10" t="inlineStr">
        <is>
          <t>sugli impianti esistenti vale per le modifiche sostanziali: nuovo impianto; più fermate o altro azionamento; pareti del vano, porte di piano, locale macchina o pulegge sostituiti con materiali, modelli, dimensioni o criteri diversi; solai o scale rifatti che coinvolgono l'impianto; sopraelevazione; cambio di destinazione d'uso</t>
        </is>
      </c>
      <c r="E209" s="10" t="inlineStr">
        <is>
          <t>DM 15/09/2005, art. 1 c.2</t>
        </is>
      </c>
      <c r="F209" s="10" t="inlineStr">
        <is>
          <t>ricerca, cap. 16 (testi ufficiali e schede UNI, 2026-10-02)</t>
        </is>
      </c>
      <c r="G209" s="10" t="inlineStr">
        <is>
          <t>confermato</t>
        </is>
      </c>
      <c r="H209" s="10" t="inlineStr">
        <is>
          <t>—</t>
        </is>
      </c>
      <c r="I209" s="11" t="n"/>
      <c r="J209" s="11" t="n"/>
      <c r="K209" s="11" t="n"/>
      <c r="L209" s="11" t="n"/>
      <c r="M209" s="11" t="n"/>
      <c r="N209" s="11" t="n"/>
    </row>
    <row r="210" ht="69" customHeight="1">
      <c r="A210" s="10" t="n">
        <v>208</v>
      </c>
      <c r="B210" s="10" t="inlineStr">
        <is>
          <t>Collaudo: DM 15/09/2005 o Codice di prevenzione incendi, RTV V.3 (antincendio)</t>
        </is>
      </c>
      <c r="C210" s="10" t="inlineStr">
        <is>
          <t>DM 15/09/2005, 3.1–3.3; Codice V.3.2</t>
        </is>
      </c>
      <c r="D210" s="10" t="inlineStr">
        <is>
          <t>tipo di vano: aperto, protetto o a prova di fumo (Codice: classi da SA a SE)</t>
        </is>
      </c>
      <c r="E210" s="10" t="inlineStr">
        <is>
          <t>DM 15/09/2005, 3.1–3.3; Codice V.3.2</t>
        </is>
      </c>
      <c r="F210" s="10" t="inlineStr">
        <is>
          <t>ricerca, cap. 16 (testi ufficiali e schede UNI, 2026-10-02)</t>
        </is>
      </c>
      <c r="G210" s="10" t="inlineStr">
        <is>
          <t>confermato</t>
        </is>
      </c>
      <c r="H210" s="10" t="inlineStr">
        <is>
          <t>—</t>
        </is>
      </c>
      <c r="I210" s="11" t="n"/>
      <c r="J210" s="11" t="n"/>
      <c r="K210" s="11" t="n"/>
      <c r="L210" s="11" t="n"/>
      <c r="M210" s="11" t="n"/>
      <c r="N210" s="11" t="n"/>
    </row>
    <row r="211" ht="69" customHeight="1">
      <c r="A211" s="10" t="n">
        <v>209</v>
      </c>
      <c r="B211" s="10" t="inlineStr">
        <is>
          <t>Collaudo: DM 15/09/2005 o Codice di prevenzione incendi, RTV V.3 (antincendio)</t>
        </is>
      </c>
      <c r="C211" s="10" t="inlineStr">
        <is>
          <t>DM 15/09/2005, punto 2</t>
        </is>
      </c>
      <c r="D211" s="10" t="inlineStr">
        <is>
          <t>pareti del vano, locale macchina e pulegge, setti e arcata non combustibili; pareti, pavimento e tetto della cabina in classe di reazione al fuoco non oltre 1</t>
        </is>
      </c>
      <c r="E211" s="10" t="inlineStr">
        <is>
          <t>DM 15/09/2005, punto 2</t>
        </is>
      </c>
      <c r="F211" s="10" t="inlineStr">
        <is>
          <t>ricerca, cap. 16 (testi ufficiali e schede UNI, 2026-10-02)</t>
        </is>
      </c>
      <c r="G211" s="10" t="inlineStr">
        <is>
          <t>confermato</t>
        </is>
      </c>
      <c r="H211" s="10" t="inlineStr">
        <is>
          <t>—</t>
        </is>
      </c>
      <c r="I211" s="11" t="n"/>
      <c r="J211" s="11" t="n"/>
      <c r="K211" s="11" t="n"/>
      <c r="L211" s="11" t="n"/>
      <c r="M211" s="11" t="n"/>
      <c r="N211" s="11" t="n"/>
    </row>
    <row r="212" ht="108" customHeight="1">
      <c r="A212" s="10" t="n">
        <v>210</v>
      </c>
      <c r="B212" s="10" t="inlineStr">
        <is>
          <t>Collaudo: DM 15/09/2005 o Codice di prevenzione incendi, RTV V.3 (antincendio)</t>
        </is>
      </c>
      <c r="C212" s="10" t="inlineStr">
        <is>
          <t>DM 15/03/2005 (tabella di confronto); UNI EN 81-20:2020, 5.4.4</t>
        </is>
      </c>
      <c r="D212" s="10" t="inlineStr">
        <is>
          <t>le classi minime della EN 81-20 per la cabina (pavimento Cfl-s2, pareti C-s2,d1, soffitto C-s2,d0) corrispondono alla classe italiana 2; la classe 1 vuole pareti in A2 o B (fumo s1–s2, gocce d0–d1), soffitto in A2 o B-s1/s2,d0, pavimento in A2fl o Bfl (corrispondenza letta su una scheda commerciale del decreto, da confermare sul testo ufficiale)</t>
        </is>
      </c>
      <c r="E212" s="10" t="inlineStr">
        <is>
          <t>DM 15/03/2005 (tabella di confronto); UNI EN 81-20:2020, 5.4.4</t>
        </is>
      </c>
      <c r="F212" s="10" t="inlineStr">
        <is>
          <t>ricerca, cap. 16 (testi ufficiali e schede UNI, 2026-10-02)</t>
        </is>
      </c>
      <c r="G212" s="10" t="inlineStr">
        <is>
          <t>da verificare</t>
        </is>
      </c>
      <c r="H212" s="10" t="inlineStr">
        <is>
          <t>—</t>
        </is>
      </c>
      <c r="I212" s="11" t="n"/>
      <c r="J212" s="11" t="n"/>
      <c r="K212" s="11" t="n"/>
      <c r="L212" s="11" t="n"/>
      <c r="M212" s="11" t="n"/>
      <c r="N212" s="11" t="n"/>
    </row>
    <row r="213" ht="82" customHeight="1">
      <c r="A213" s="10" t="n">
        <v>211</v>
      </c>
      <c r="B213" s="10" t="inlineStr">
        <is>
          <t>Collaudo: DM 15/09/2005 o Codice di prevenzione incendi, RTV V.3 (antincendio)</t>
        </is>
      </c>
      <c r="C213" s="10" t="inlineStr">
        <is>
          <t>DM 15/09/2005, punto 5</t>
        </is>
      </c>
      <c r="D213" s="10" t="inlineStr">
        <is>
          <t>aerazione permanente in alto verso spazi scoperti di almeno il 3 % della pianta (vano almeno 0,20 m², locale macchina o pulegge almeno 0,05 m²), con una protezione che non lascia passare una sfera oltre 15 mm; non serve se il vano è aperto su spazi scoperti</t>
        </is>
      </c>
      <c r="E213" s="10" t="inlineStr">
        <is>
          <t>DM 15/09/2005, punto 5</t>
        </is>
      </c>
      <c r="F213" s="10" t="inlineStr">
        <is>
          <t>ricerca, cap. 16 (testi ufficiali e schede UNI, 2026-10-02)</t>
        </is>
      </c>
      <c r="G213" s="10" t="inlineStr">
        <is>
          <t>confermato</t>
        </is>
      </c>
      <c r="H213" s="10" t="inlineStr">
        <is>
          <t>—</t>
        </is>
      </c>
      <c r="I213" s="11" t="n"/>
      <c r="J213" s="11" t="n"/>
      <c r="K213" s="11" t="n"/>
      <c r="L213" s="11" t="n"/>
      <c r="M213" s="11" t="n"/>
      <c r="N213" s="11" t="n"/>
    </row>
    <row r="214" ht="69" customHeight="1">
      <c r="A214" s="10" t="n">
        <v>212</v>
      </c>
      <c r="B214" s="10" t="inlineStr">
        <is>
          <t>Collaudo: DM 15/09/2005 o Codice di prevenzione incendi, RTV V.3 (antincendio)</t>
        </is>
      </c>
      <c r="C214" s="10" t="inlineStr">
        <is>
          <t>DM 15/09/2005, punto 6; Codice V.3.3.1 c.5</t>
        </is>
      </c>
      <c r="D214" s="10" t="inlineStr">
        <is>
          <t>estintore 21A89BC vicino all'accesso al macchinario; richiamo della cabina al piano prestabilito su comando della rivelazione quando la compartimentazione lo richiede</t>
        </is>
      </c>
      <c r="E214" s="10" t="inlineStr">
        <is>
          <t>DM 15/09/2005, punto 6; Codice V.3.3.1 c.5</t>
        </is>
      </c>
      <c r="F214" s="10" t="inlineStr">
        <is>
          <t>ricerca, cap. 16 (testi ufficiali e schede UNI, 2026-10-02)</t>
        </is>
      </c>
      <c r="G214" s="10" t="inlineStr">
        <is>
          <t>confermato</t>
        </is>
      </c>
      <c r="H214" s="10" t="inlineStr">
        <is>
          <t>—</t>
        </is>
      </c>
      <c r="I214" s="11" t="n"/>
      <c r="J214" s="11" t="n"/>
      <c r="K214" s="11" t="n"/>
      <c r="L214" s="11" t="n"/>
      <c r="M214" s="11" t="n"/>
      <c r="N214" s="11" t="n"/>
    </row>
    <row r="215" ht="69" customHeight="1">
      <c r="A215" s="10" t="n">
        <v>213</v>
      </c>
      <c r="B215" s="10" t="inlineStr">
        <is>
          <t>Collaudo: DM 15/09/2005 o Codice di prevenzione incendi, RTV V.3 (antincendio)</t>
        </is>
      </c>
      <c r="C215" s="10" t="inlineStr">
        <is>
          <t>Codice S.9, Tab. S.9-3</t>
        </is>
      </c>
      <c r="D215" s="10" t="inlineStr">
        <is>
          <t>piani tra 32 e 54 m: almeno un ascensore antincendio; oltre 54 m: almeno uno di soccorso; interrati tra −10 e −15 m: antincendio; sotto −15 m: soccorso</t>
        </is>
      </c>
      <c r="E215" s="10" t="inlineStr">
        <is>
          <t>Codice S.9, Tab. S.9-3</t>
        </is>
      </c>
      <c r="F215" s="10" t="inlineStr">
        <is>
          <t>ricerca, cap. 16 (testi ufficiali e schede UNI, 2026-10-02)</t>
        </is>
      </c>
      <c r="G215" s="10" t="inlineStr">
        <is>
          <t>confermato</t>
        </is>
      </c>
      <c r="H215" s="10" t="inlineStr">
        <is>
          <t>—</t>
        </is>
      </c>
      <c r="I215" s="11" t="n"/>
      <c r="J215" s="11" t="n"/>
      <c r="K215" s="11" t="n"/>
      <c r="L215" s="11" t="n"/>
      <c r="M215" s="11" t="n"/>
      <c r="N215" s="11" t="n"/>
    </row>
    <row r="216" ht="43" customHeight="1">
      <c r="A216" s="10" t="n">
        <v>214</v>
      </c>
      <c r="B216" s="10" t="inlineStr">
        <is>
          <t>Collaudo: NTC 2018 (strutture e azioni sismiche)</t>
        </is>
      </c>
      <c r="C216" s="10" t="inlineStr">
        <is>
          <t>NTC 2018, §3.1.4</t>
        </is>
      </c>
      <c r="D216" s="10" t="inlineStr">
        <is>
          <t>carichi del macchinario valutati caso per caso sui massimi prevedibili e riportati nel progetto e nel collaudo statico</t>
        </is>
      </c>
      <c r="E216" s="10" t="inlineStr">
        <is>
          <t>NTC 2018, §3.1.4</t>
        </is>
      </c>
      <c r="F216" s="10" t="inlineStr">
        <is>
          <t>ricerca, cap. 16 (testi ufficiali e schede UNI, 2026-10-02)</t>
        </is>
      </c>
      <c r="G216" s="10" t="inlineStr">
        <is>
          <t>confermato</t>
        </is>
      </c>
      <c r="H216" s="10" t="inlineStr">
        <is>
          <t>tensione nelle putrelle sotto l'argano; freccia delle putrelle sotto l'argano</t>
        </is>
      </c>
      <c r="I216" s="11" t="n"/>
      <c r="J216" s="11" t="n"/>
      <c r="K216" s="11" t="n"/>
      <c r="L216" s="11" t="n"/>
      <c r="M216" s="11" t="n"/>
      <c r="N216" s="11" t="n"/>
    </row>
    <row r="217" ht="43" customHeight="1">
      <c r="A217" s="10" t="n">
        <v>215</v>
      </c>
      <c r="B217" s="10" t="inlineStr">
        <is>
          <t>Collaudo: NTC 2018 (strutture e azioni sismiche)</t>
        </is>
      </c>
      <c r="C217" s="10" t="inlineStr">
        <is>
          <t>NTC 2018, §8.4.1</t>
        </is>
      </c>
      <c r="D217" s="10" t="inlineStr">
        <is>
          <t>su un edificio esistente l'intervento è locale: verifica limitata alle parti interessate, senza ridurre la sicurezza preesistente</t>
        </is>
      </c>
      <c r="E217" s="10" t="inlineStr">
        <is>
          <t>NTC 2018, §8.4.1</t>
        </is>
      </c>
      <c r="F217" s="10" t="inlineStr">
        <is>
          <t>ricerca, cap. 16 (testi ufficiali e schede UNI, 2026-10-02)</t>
        </is>
      </c>
      <c r="G217" s="10" t="inlineStr">
        <is>
          <t>confermato</t>
        </is>
      </c>
      <c r="H217" s="10" t="inlineStr">
        <is>
          <t>tensione nelle putrelle sotto l'argano; freccia delle putrelle sotto l'argano</t>
        </is>
      </c>
      <c r="I217" s="11" t="n"/>
      <c r="J217" s="11" t="n"/>
      <c r="K217" s="11" t="n"/>
      <c r="L217" s="11" t="n"/>
      <c r="M217" s="11" t="n"/>
      <c r="N217" s="11" t="n"/>
    </row>
    <row r="218" ht="43" customHeight="1">
      <c r="A218" s="10" t="n">
        <v>216</v>
      </c>
      <c r="B218" s="10" t="inlineStr">
        <is>
          <t>Collaudo: NTC 2018 (strutture e azioni sismiche)</t>
        </is>
      </c>
      <c r="C218" s="10" t="inlineStr">
        <is>
          <t>NTC 2018, §11.4.1</t>
        </is>
      </c>
      <c r="D218" s="10" t="inlineStr">
        <is>
          <t>ancoranti per uso strutturale qualificati; con azioni sismiche categoria C2 per tutte le classi d'uso</t>
        </is>
      </c>
      <c r="E218" s="10" t="inlineStr">
        <is>
          <t>NTC 2018, §11.4.1</t>
        </is>
      </c>
      <c r="F218" s="10" t="inlineStr">
        <is>
          <t>ricerca, cap. 16 (testi ufficiali e schede UNI, 2026-10-02)</t>
        </is>
      </c>
      <c r="G218" s="10" t="inlineStr">
        <is>
          <t>confermato</t>
        </is>
      </c>
      <c r="H218" s="10" t="inlineStr">
        <is>
          <t>tensione nelle putrelle sotto l'argano; freccia delle putrelle sotto l'argano</t>
        </is>
      </c>
      <c r="I218" s="11" t="n"/>
      <c r="J218" s="11" t="n"/>
      <c r="K218" s="11" t="n"/>
      <c r="L218" s="11" t="n"/>
      <c r="M218" s="11" t="n"/>
      <c r="N218" s="11" t="n"/>
    </row>
    <row r="219" ht="108" customHeight="1">
      <c r="A219" s="10" t="n">
        <v>217</v>
      </c>
      <c r="B219" s="10" t="inlineStr">
        <is>
          <t>Collaudo: NTC 2018 (strutture e azioni sismiche)</t>
        </is>
      </c>
      <c r="C219" s="10" t="inlineStr">
        <is>
          <t>NTC 2018, §7.2.3–7.2.4</t>
        </is>
      </c>
      <c r="D219" s="10" t="inlineStr">
        <is>
          <t>forza sismica sull'elemento non strutturale Fa = Sa·Wa/qa; nessun vincolo ad attrito; studio specifico oltre il 30 % del carico permanente del solaio o il 10 % di quello dell'intera struttura; progetto antisismico dell'impianto del produttore, dei collegamenti dell'installatore, dei solai e delle pareti d'ancoraggio del progettista strutturale</t>
        </is>
      </c>
      <c r="E219" s="10" t="inlineStr">
        <is>
          <t>NTC 2018, §7.2.3–7.2.4</t>
        </is>
      </c>
      <c r="F219" s="10" t="inlineStr">
        <is>
          <t>ricerca, cap. 16 (testi ufficiali e schede UNI, 2026-10-02)</t>
        </is>
      </c>
      <c r="G219" s="10" t="inlineStr">
        <is>
          <t>confermato</t>
        </is>
      </c>
      <c r="H219" s="10" t="inlineStr">
        <is>
          <t>tensione nelle putrelle sotto l'argano; freccia delle putrelle sotto l'argano</t>
        </is>
      </c>
      <c r="I219" s="11" t="n"/>
      <c r="J219" s="11" t="n"/>
      <c r="K219" s="11" t="n"/>
      <c r="L219" s="11" t="n"/>
      <c r="M219" s="11" t="n"/>
      <c r="N219" s="11" t="n"/>
    </row>
    <row r="220" ht="43" customHeight="1">
      <c r="A220" s="10" t="n">
        <v>218</v>
      </c>
      <c r="B220" s="10" t="inlineStr">
        <is>
          <t>Collaudo: NTC 2018 (strutture e azioni sismiche)</t>
        </is>
      </c>
      <c r="C220" s="10" t="inlineStr">
        <is>
          <t>NTC 2018, Tab. 7.3.III e §7.3.6.3</t>
        </is>
      </c>
      <c r="D220" s="10" t="inlineStr">
        <is>
          <t>impianti: stabilità allo SLV per tutte le classi d'uso; nelle classi III e IV anche funzionamento allo SLO</t>
        </is>
      </c>
      <c r="E220" s="10" t="inlineStr">
        <is>
          <t>NTC 2018, Tab. 7.3.III e §7.3.6.3</t>
        </is>
      </c>
      <c r="F220" s="10" t="inlineStr">
        <is>
          <t>ricerca, cap. 16 (testi ufficiali e schede UNI, 2026-10-02)</t>
        </is>
      </c>
      <c r="G220" s="10" t="inlineStr">
        <is>
          <t>confermato</t>
        </is>
      </c>
      <c r="H220" s="10" t="inlineStr">
        <is>
          <t>tensione nelle putrelle sotto l'argano; freccia delle putrelle sotto l'argano</t>
        </is>
      </c>
      <c r="I220" s="11" t="n"/>
      <c r="J220" s="11" t="n"/>
      <c r="K220" s="11" t="n"/>
      <c r="L220" s="11" t="n"/>
      <c r="M220" s="11" t="n"/>
      <c r="N220" s="11" t="n"/>
    </row>
  </sheetData>
  <autoFilter ref="A1:N220"/>
  <dataValidations count="1">
    <dataValidation sqref="I3:I220" showDropDown="0" showInputMessage="0" showErrorMessage="1" allowBlank="1" errorTitle="Esito" error="Scegliere: conforme, diverso, non applicabile." type="list">
      <formula1>"conforme,diverso,non applicabile"</formula1>
    </dataValidation>
  </dataValidation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34" customWidth="1" min="1" max="1"/>
    <col width="12" customWidth="1" min="2" max="2"/>
  </cols>
  <sheetData>
    <row r="1">
      <c r="A1" s="12" t="inlineStr">
        <is>
          <t>Riepilogo della verifica</t>
        </is>
      </c>
    </row>
    <row r="3">
      <c r="A3" s="3" t="inlineStr">
        <is>
          <t>Voci per stato</t>
        </is>
      </c>
    </row>
    <row r="4">
      <c r="A4" s="6" t="inlineStr">
        <is>
          <t>da verificare</t>
        </is>
      </c>
      <c r="B4" s="6">
        <f>COUNTIF(Voci!$G$3:$G$220,"da verificare")</f>
        <v/>
      </c>
    </row>
    <row r="5">
      <c r="A5" s="6" t="inlineStr">
        <is>
          <t>confermato</t>
        </is>
      </c>
      <c r="B5" s="6">
        <f>COUNTIF(Voci!$G$3:$G$220,"confermato")</f>
        <v/>
      </c>
    </row>
    <row r="6">
      <c r="A6" s="6" t="inlineStr">
        <is>
          <t>scelta del software</t>
        </is>
      </c>
      <c r="B6" s="6">
        <f>COUNTIF(Voci!$G$3:$G$220,"scelta del software")</f>
        <v/>
      </c>
    </row>
    <row r="7">
      <c r="A7" s="6" t="inlineStr">
        <is>
          <t>stima</t>
        </is>
      </c>
      <c r="B7" s="6">
        <f>COUNTIF(Voci!$G$3:$G$220,"stima")</f>
        <v/>
      </c>
    </row>
    <row r="8">
      <c r="A8" s="6" t="inlineStr">
        <is>
          <t>derivazione</t>
        </is>
      </c>
      <c r="B8" s="6">
        <f>COUNTIF(Voci!$G$3:$G$220,"derivazione")</f>
        <v/>
      </c>
    </row>
    <row r="9">
      <c r="A9" s="6" t="inlineStr">
        <is>
          <t>prassi di cantiere</t>
        </is>
      </c>
      <c r="B9" s="6">
        <f>COUNTIF(Voci!$G$3:$G$220,"prassi di cantiere")</f>
        <v/>
      </c>
    </row>
    <row r="10">
      <c r="A10" s="3" t="inlineStr">
        <is>
          <t>Totale voci</t>
        </is>
      </c>
      <c r="B10" s="3">
        <f>COUNTA(Voci!$A$3:$A$220)</f>
        <v/>
      </c>
    </row>
    <row r="12">
      <c r="A12" s="3" t="inlineStr">
        <is>
          <t>Esito</t>
        </is>
      </c>
    </row>
    <row r="13">
      <c r="A13" s="6" t="inlineStr">
        <is>
          <t>conforme</t>
        </is>
      </c>
      <c r="B13" s="6">
        <f>COUNTIF(Voci!$I$3:$I$220,"conforme")</f>
        <v/>
      </c>
    </row>
    <row r="14">
      <c r="A14" s="6" t="inlineStr">
        <is>
          <t>diverso</t>
        </is>
      </c>
      <c r="B14" s="6">
        <f>COUNTIF(Voci!$I$3:$I$220,"diverso")</f>
        <v/>
      </c>
    </row>
    <row r="15">
      <c r="A15" s="6" t="inlineStr">
        <is>
          <t>non applicabile</t>
        </is>
      </c>
      <c r="B15" s="6">
        <f>COUNTIF(Voci!$I$3:$I$220,"non applicabile")</f>
        <v/>
      </c>
    </row>
    <row r="16">
      <c r="A16" s="6" t="inlineStr">
        <is>
          <t>da compilare</t>
        </is>
      </c>
      <c r="B16" s="6">
        <f>COUNTBLANK(Voci!$I$3:$I$220)</f>
        <v/>
      </c>
    </row>
    <row r="18">
      <c r="A18" s="13" t="inlineStr">
        <is>
          <t>Conteggi sulle righe 3–220 del foglio «Voci» (la riga 2 è l'esempio).</t>
        </is>
      </c>
    </row>
  </sheetData>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2026-10-06T13:08:31Z</dcterms:created>
  <dcterms:modified xsi:type="dcterms:W3CDTF">2026-10-06T13:08:31Z</dcterms:modified>
</cp:coreProperties>
</file>