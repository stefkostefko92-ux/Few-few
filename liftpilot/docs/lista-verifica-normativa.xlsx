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'Voci'!$A$1:$N$358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campo (art. 1); impianto nuovo con organismo notificato (All. V, VIII); modifica costruttiva (art. 2 c.1 cc)) e verifica straordinaria (art. 14)</t>
        </is>
      </c>
    </row>
    <row r="7">
      <c r="A7" s="3" t="inlineStr">
        <is>
          <t>Regolamento (UE) 2023/1230</t>
        </is>
      </c>
      <c r="B7" s="4" t="inlineStr">
        <is>
          <t>art. 51 par. 2: ascensori dichiarati conformi dal 20/01/2027</t>
        </is>
      </c>
    </row>
    <row r="8">
      <c r="A8" s="3" t="inlineStr">
        <is>
          <t>UNI EN 81-20:2020</t>
        </is>
      </c>
      <c r="B8" s="4" t="inlineStr">
        <is>
          <t>funi (5.5), freno (5.9.2.2), distanze nel vano (5.2.5) e superficie della cabina (5.4.2)</t>
        </is>
      </c>
    </row>
    <row r="9">
      <c r="A9" s="3" t="inlineStr">
        <is>
          <t>UNI EN 81-50:2020</t>
        </is>
      </c>
      <c r="B9" s="4" t="inlineStr">
        <is>
          <t>aderenza (5.11) e coefficiente di sicurezza delle funi (5.12)</t>
        </is>
      </c>
    </row>
    <row r="10">
      <c r="A10" s="3" t="inlineStr">
        <is>
          <t>UNI 10411-1:2024</t>
        </is>
      </c>
      <c r="B10" s="4" t="inlineStr">
        <is>
          <t>modifiche e sostituzioni su ascensori elettrici esistenti non conformi alla Direttiva Ascensori: collaudo delle parti modificate</t>
        </is>
      </c>
    </row>
    <row r="11">
      <c r="A11" s="3" t="inlineStr">
        <is>
          <t>UNI 10411-11:2024</t>
        </is>
      </c>
      <c r="B11" s="4" t="inlineStr">
        <is>
          <t>modifiche e sostituzioni su ascensori elettrici esistenti conformi alla 95/16/CE o alla 2014/33/UE: collaudo delle parti modificate</t>
        </is>
      </c>
    </row>
    <row r="12">
      <c r="A12" s="3" t="inlineStr">
        <is>
          <t>DM 236/1989</t>
        </is>
      </c>
      <c r="B12" s="4" t="inlineStr">
        <is>
          <t>accessibilità: cabina e porta minime (8.1.12), per il progetto del vano</t>
        </is>
      </c>
    </row>
    <row r="14">
      <c r="A14" s="3" t="inlineStr">
        <is>
          <t>Come compilare</t>
        </is>
      </c>
    </row>
    <row r="15" ht="32" customHeight="1">
      <c r="B15" s="4" t="inlineStr">
        <is>
          <t>Nel foglio «Voci», per ogni riga confrontare il «Valore nel software» con il testo vigente del documento in «Dove verificare».</t>
        </is>
      </c>
    </row>
    <row r="16" ht="32" customHeight="1">
      <c r="B16" s="4" t="inlineStr">
        <is>
          <t>Compilare solo le celle gialle: Esito (conforme / diverso / non applicabile), Valore corretto e Clausola esatta se diverso, Note, Verificato da, Data.</t>
        </is>
      </c>
    </row>
    <row r="17" ht="18" customHeight="1">
      <c r="B17" s="4" t="inlineStr">
        <is>
          <t>La riga 2 è un ESEMPIO del formato: non è una voce e non entra nel riepilogo.</t>
        </is>
      </c>
    </row>
    <row r="18" ht="88" customHeight="1">
      <c r="B18" s="4" t="inlineStr">
        <is>
          <t>Stati: «da verificare» = fonte secondaria; «stima» e «scelta del software» = decisioni del software da approvare o correggere; «derivazione» = meccanica elementare; «confermato» = letto sul testo della norma fornito dal cliente (la fonte lo dice, con le pagine) o letto sul testo ufficiale dell’atto (Normattiva, EUR-Lex), oppure due fonti indipendenti o un caso pubblicato riprodotto, da confrontare comunque con il testo vigente; «prassi di cantiere» = indicazione di Panev Ascensori.</t>
        </is>
      </c>
    </row>
    <row r="19" ht="32" customHeight="1">
      <c r="B19" s="4" t="inlineStr">
        <is>
          <t>Ogni correzione viene riportata nel registro del software (liftpilot/src/calc/norme.ts) e cambia insieme motore di calcolo, lista e relazione di calcolo.</t>
        </is>
      </c>
    </row>
    <row r="20" ht="18" customHeight="1">
      <c r="B20" s="4" t="inlineStr">
        <is>
          <t>Non trascrivere il testo delle norme in questo file: basta il valore e il numero di clausola.</t>
        </is>
      </c>
    </row>
    <row r="22">
      <c r="A22" s="3" t="inlineStr">
        <is>
          <t>Legenda</t>
        </is>
      </c>
      <c r="B22" s="5" t="inlineStr">
        <is>
          <t>celle da compilare</t>
        </is>
      </c>
    </row>
    <row r="24">
      <c r="A24" s="3" t="inlineStr">
        <is>
          <t>Verifica complessiva</t>
        </is>
      </c>
    </row>
    <row r="25">
      <c r="A25" s="6" t="inlineStr">
        <is>
          <t>Ingegnere (nome e cognome)</t>
        </is>
      </c>
      <c r="B25" s="7" t="n"/>
    </row>
    <row r="26">
      <c r="A26" s="6" t="inlineStr">
        <is>
          <t>Iscrizione all'albo</t>
        </is>
      </c>
      <c r="B26" s="7" t="n"/>
    </row>
    <row r="27">
      <c r="A27" s="6" t="inlineStr">
        <is>
          <t>Data</t>
        </is>
      </c>
      <c r="B27" s="7" t="n"/>
    </row>
    <row r="28">
      <c r="A28" s="6" t="inlineStr">
        <is>
          <t>Firma</t>
        </is>
      </c>
      <c r="B28"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5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51" customHeight="1">
      <c r="A20" s="10" t="n">
        <v>18</v>
      </c>
      <c r="B20" s="10" t="inlineStr">
        <is>
          <t>Gole</t>
        </is>
      </c>
      <c r="C20" s="10" t="inlineStr">
        <is>
          <t>Pressione specifica nelle gole — obbligatoria quando i minimi 12 e 16 del coefficiente di sicurezza delle funi sostituiscono il calcolo della UNI EN 81-50:2020, 5.12 (UNI 10411-1:2024, 6.2 e 14.1 c)–d)) e quando cambia il rapporto tra i carichi (6.1, voce rapporto.d2 del vano). Il software calcola S_f secondo la 5.12 e fuori dal rapporto cambiato riporta la pressione come informazione, come fa il progettista per l’organismo di verifica; con il rapporto cambiato secondo la UNI 10411-1 (6.1) la stessa pressione è una verifica soddisfatta o no accanto alla D.1. La gola a V con sottosquadro non ha una formula nella D.2: il maggiore dei due valori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6.1, 6.2 e 14.1 c)–d)</t>
        </is>
      </c>
      <c r="F20" s="10" t="inlineStr">
        <is>
          <t>UNI 10411-1:2024, testo della norma, letto il 2026-10-06, pp. 6–7,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34" customHeight="1">
      <c r="A61" s="10" t="n">
        <v>59</v>
      </c>
      <c r="B61" s="10" t="inlineStr">
        <is>
          <t>Modello di calcolo</t>
        </is>
      </c>
      <c r="C61" s="10" t="inlineStr">
        <is>
          <t>Velocità nominale minima: campo dell’ascensore — nella modifica di un ascensore messo in servizio prima della Direttiva Ascensori le clausole citate non fissano da sole il limite (la UNI EN 81-20 vale per gli impianti nuovi, la UNI 10411-1 non pone una velocità minima nel suo campo): lì il limite è una scelta del software</t>
        </is>
      </c>
      <c r="D61" s="10" t="inlineStr">
        <is>
          <t>velocità nominale oltre 0,15 m/s; a 0,15 m/s o meno l’apparecchio è fuori dal campo di applicazione della UNI EN 81-20 (1.3 a) 2)), della Direttiva 2014/33/UE (art. 1 par. 2 a)) e del DPR 162/1999 (art. 1 c.3 a), testo vigente)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passa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08"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47"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in taglia 2:1 — attacchi su una trave o sul telaio dell’argano sono un’alternativa: il tecnico lo indica, e allora P2 e P3 vanno nel carico del basamento</t>
        </is>
      </c>
      <c r="D126"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47"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in taglia 2:1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 — gola a V con sottosquadro: la D.2 non ha una formula; il maggiore dei due valori è una scelta del software (voce gole.pressione), da confermare con il soggetto della verifica</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43" customHeight="1">
      <c r="A144" s="10" t="n">
        <v>142</v>
      </c>
      <c r="B144" s="10" t="inlineStr">
        <is>
          <t>Carichi sull’edificio e spinte sulle guide</t>
        </is>
      </c>
      <c r="C144" s="10" t="inlineStr">
        <is>
          <t>Massa dei cavi flessibili</t>
        </is>
      </c>
      <c r="D144" s="10" t="inlineStr">
        <is>
          <t>0,5 kg/m per metà della corsa più 3 m (cavo piatto 24G0,75), sul basamento dell’argano, nella relazione e nel foglio 1</t>
        </is>
      </c>
      <c r="E144" s="10" t="inlineStr">
        <is>
          <t>—</t>
        </is>
      </c>
      <c r="F144" s="10" t="inlineStr">
        <is>
          <t>schede dei costruttori di cavi piatti (0,48–0,57 kg/m)</t>
        </is>
      </c>
      <c r="G144" s="10" t="inlineStr">
        <is>
          <t>stima</t>
        </is>
      </c>
      <c r="H144" s="10" t="inlineStr">
        <is>
          <t>—</t>
        </is>
      </c>
      <c r="I144" s="11" t="n"/>
      <c r="J144" s="11" t="n"/>
      <c r="K144" s="11" t="n"/>
      <c r="L144" s="11" t="n"/>
      <c r="M144" s="11" t="n"/>
      <c r="N144" s="11" t="n"/>
    </row>
    <row r="145" ht="199" customHeight="1">
      <c r="A145" s="10" t="n">
        <v>143</v>
      </c>
      <c r="B145" s="10" t="inlineStr">
        <is>
          <t>Carichi sull’edificio e spinte sulle guide</t>
        </is>
      </c>
      <c r="C145"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5"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5" s="10" t="inlineStr">
        <is>
          <t>regola di montaggio indicata dal committente</t>
        </is>
      </c>
      <c r="F145" s="10" t="inlineStr">
        <is>
          <t>scelta del committente</t>
        </is>
      </c>
      <c r="G145" s="10" t="inlineStr">
        <is>
          <t>scelta del software</t>
        </is>
      </c>
      <c r="H145" s="10" t="inlineStr">
        <is>
          <t>—</t>
        </is>
      </c>
      <c r="I145" s="11" t="n"/>
      <c r="J145" s="11" t="n"/>
      <c r="K145" s="11" t="n"/>
      <c r="L145" s="11" t="n"/>
      <c r="M145" s="11" t="n"/>
      <c r="N145" s="11" t="n"/>
    </row>
    <row r="146" ht="82" customHeight="1">
      <c r="A146" s="10" t="n">
        <v>144</v>
      </c>
      <c r="B146" s="10" t="inlineStr">
        <is>
          <t>Carichi sull’edificio e spinte sulle guide</t>
        </is>
      </c>
      <c r="C146" s="10" t="inlineStr">
        <is>
          <t>Lunghezze stimate nel foglio dei dati</t>
        </is>
      </c>
      <c r="D146"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6" s="10" t="inlineStr">
        <is>
          <t>—</t>
        </is>
      </c>
      <c r="F146" s="10" t="inlineStr">
        <is>
          <t>stima del software, da sostituire con le misure di cantiere</t>
        </is>
      </c>
      <c r="G146" s="10" t="inlineStr">
        <is>
          <t>stima</t>
        </is>
      </c>
      <c r="H146" s="10" t="inlineStr">
        <is>
          <t>—</t>
        </is>
      </c>
      <c r="I146" s="11" t="n"/>
      <c r="J146" s="11" t="n"/>
      <c r="K146" s="11" t="n"/>
      <c r="L146" s="11" t="n"/>
      <c r="M146" s="11" t="n"/>
      <c r="N146" s="11" t="n"/>
    </row>
    <row r="147" ht="186" customHeight="1">
      <c r="A147" s="10" t="n">
        <v>145</v>
      </c>
      <c r="B147" s="10" t="inlineStr">
        <is>
          <t>Carichi sull’edificio e spinte sulle guide</t>
        </is>
      </c>
      <c r="C147" s="10" t="inlineStr">
        <is>
          <t>Reazioni sugli appoggi del basamento (R1…Rn) — P1 resta il carico totale sul basamento; le reazioni non sono simultanee ai carichi P2…P8; la verifica della soletta e dei muri è del tecnico strutturale</t>
        </is>
      </c>
      <c r="D147"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7" s="10" t="inlineStr">
        <is>
          <t>UNI EN 81-20:2020, 5.2.1.8 (carichi sull’edificio); ripartizione scelta del software</t>
        </is>
      </c>
      <c r="F147" s="10" t="inlineStr">
        <is>
          <t>statica elementare (corpo rigido su appoggi elastici uguali; trave appoggiata); per il punzonamento della soletta sotto gambe e antivibranti, dati per il tecnico strutturale</t>
        </is>
      </c>
      <c r="G147" s="10" t="inlineStr">
        <is>
          <t>scelta del software</t>
        </is>
      </c>
      <c r="H147" s="10" t="inlineStr">
        <is>
          <t>—</t>
        </is>
      </c>
      <c r="I147" s="11" t="n"/>
      <c r="J147" s="11" t="n"/>
      <c r="K147" s="11" t="n"/>
      <c r="L147" s="11" t="n"/>
      <c r="M147" s="11" t="n"/>
      <c r="N147" s="11" t="n"/>
    </row>
    <row r="148" ht="329" customHeight="1">
      <c r="A148" s="10" t="n">
        <v>146</v>
      </c>
      <c r="B148" s="10" t="inlineStr">
        <is>
          <t>Carichi sull’edificio e spinte sulle guide</t>
        </is>
      </c>
      <c r="C14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8" s="10" t="inlineStr">
        <is>
          <t>UNI EN 81-50:2020, 5.10.2–5.10.6; UNI EN 81-20:2020, 5.7.2.3.5, 5.7.2.3.6, 5.7.4.5 (Prospetto 15), 5.7.4.6 e Prospetto 14; UNI EN 81-1:2008, G.2.5 (l’uso non indicato)</t>
        </is>
      </c>
      <c r="F148" s="10" t="inlineStr">
        <is>
          <t>UNI EN 81-50:2020, testo della norma, letto il 2026-10-06, pp. 35–39; UNI EN 81-20:2020, testo della norma, letto il 2026-10-06, pp. 94–97; Rm 370 è scelta del software (il valore più basso)</t>
        </is>
      </c>
      <c r="G148" s="10" t="inlineStr">
        <is>
          <t>confermato</t>
        </is>
      </c>
      <c r="H148" s="10" t="inlineStr">
        <is>
          <t>tensioni nelle guide di cabina; flessione della suola delle guide di cabina; frecce delle guide di cabina</t>
        </is>
      </c>
      <c r="I148" s="11" t="n"/>
      <c r="J148" s="11" t="n"/>
      <c r="K148" s="11" t="n"/>
      <c r="L148" s="11" t="n"/>
      <c r="M148" s="11" t="n"/>
      <c r="N148" s="11" t="n"/>
    </row>
    <row r="149" ht="147" customHeight="1">
      <c r="A149" s="10" t="n">
        <v>147</v>
      </c>
      <c r="B149" s="10" t="inlineStr">
        <is>
          <t>Carichi sull’edificio e spinte sulle guide</t>
        </is>
      </c>
      <c r="C149" s="10" t="inlineStr">
        <is>
          <t>Sezioni delle guide di cabina</t>
        </is>
      </c>
      <c r="D149" s="10" t="inlineStr">
        <is>
          <t>area, momenti d’inerzia e moduli di resistenza minimi attorno all’asse parallelo alla suola (x) e all’asse di simmetria (y), spessore c del collo tra lama e suola, per ogni profilo del software; raggi d’inerzia calcolati come √(I/A)</t>
        </is>
      </c>
      <c r="E149" s="10" t="inlineStr">
        <is>
          <t>ISO 7465:2007 (ora ISO 8100-33:2022); EN 10055:1995 per il T 70×70×8 laminato</t>
        </is>
      </c>
      <c r="F14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9" s="10" t="inlineStr">
        <is>
          <t>da verificare</t>
        </is>
      </c>
      <c r="H149" s="10" t="inlineStr">
        <is>
          <t>—</t>
        </is>
      </c>
      <c r="I149" s="11" t="n"/>
      <c r="J149" s="11" t="n"/>
      <c r="K149" s="11" t="n"/>
      <c r="L149" s="11" t="n"/>
      <c r="M149" s="11" t="n"/>
      <c r="N149" s="11" t="n"/>
    </row>
    <row r="150" ht="69" customHeight="1">
      <c r="A150" s="10" t="n">
        <v>148</v>
      </c>
      <c r="B150" s="10" t="inlineStr">
        <is>
          <t>Carichi sull’edificio e spinte sulle guide</t>
        </is>
      </c>
      <c r="C150" s="10" t="inlineStr">
        <is>
          <t>Tipo di paracadute per la velocità nominale</t>
        </is>
      </c>
      <c r="D150" s="10" t="inlineStr">
        <is>
          <t>istantaneo (anche a rulli imprigionati) fino a 0,63 m/s; oltre, progressivo (la UNI EN 81-20 non ha più l’istantaneo con effetto ammortizzato fino a 1 m/s); il tipo viene dai dati dell’impianto (se manca: progressivo, con la nota sul foglio)</t>
        </is>
      </c>
      <c r="E150" s="10" t="inlineStr">
        <is>
          <t>UNI EN 81-20:2020, 5.6.2.1.2.1; la regola precedente in UNI EN 81-1 (1999, 2008), 9.8.2.1</t>
        </is>
      </c>
      <c r="F150" s="10" t="inlineStr">
        <is>
          <t>UNI EN 81-20:2020, testo della norma, letto il 2026-10-06, p. 81; UNI EN 81-1:2008, testo della norma, letto il 2026-10-06, p. 58</t>
        </is>
      </c>
      <c r="G150" s="10" t="inlineStr">
        <is>
          <t>confermato</t>
        </is>
      </c>
      <c r="H150" s="10" t="inlineStr">
        <is>
          <t>tipo di paracadute per la velocità</t>
        </is>
      </c>
      <c r="I150" s="11" t="n"/>
      <c r="J150" s="11" t="n"/>
      <c r="K150" s="11" t="n"/>
      <c r="L150" s="11" t="n"/>
      <c r="M150" s="11" t="n"/>
      <c r="N150" s="11" t="n"/>
    </row>
    <row r="151" ht="264" customHeight="1">
      <c r="A151" s="10" t="n">
        <v>149</v>
      </c>
      <c r="B151" s="10" t="inlineStr">
        <is>
          <t>Carichi sull’edificio e spinte sulle guide</t>
        </is>
      </c>
      <c r="C151"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1"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51" s="10" t="inlineStr">
        <is>
          <t>UNI EN 81-20:2020, 5.2.5.4, 5.2.1.8.4, 5.6.2.1.2.3, prospetto 11 (5.6.1.2), 5.6.2.2.2 e 5.6.2.2.3; UNI EN 81-50:2020, 5.10</t>
        </is>
      </c>
      <c r="F151" s="10" t="inlineStr">
        <is>
          <t>UNI EN 81-20:2020, testo della norma, letto il 2026-10-06, pp. 27, 35, 79, 81</t>
        </is>
      </c>
      <c r="G151" s="10" t="inlineStr">
        <is>
          <t>confermato</t>
        </is>
      </c>
      <c r="H151" s="10" t="inlineStr">
        <is>
          <t>paracadute del contrappeso con spazi accessibili sotto il vano</t>
        </is>
      </c>
      <c r="I151" s="11" t="n"/>
      <c r="J151" s="11" t="n"/>
      <c r="K151" s="11" t="n"/>
      <c r="L151" s="11" t="n"/>
      <c r="M151" s="11" t="n"/>
      <c r="N151" s="11" t="n"/>
    </row>
    <row r="152" ht="225" customHeight="1">
      <c r="A152" s="10" t="n">
        <v>150</v>
      </c>
      <c r="B152" s="10" t="inlineStr">
        <is>
          <t>Carichi sull’edificio e spinte sulle guide</t>
        </is>
      </c>
      <c r="C152"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2"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2" s="10" t="inlineStr">
        <is>
          <t>UNI EN 81-20:2020, 5.7.2.3.3, 5.7.2.3.5, Prospetto 14 e 5.7.4.5; UNI EN 81-50:2020, 5.10.2–5.10.4</t>
        </is>
      </c>
      <c r="F152" s="10" t="inlineStr">
        <is>
          <t>UNI EN 81-20:2020, testo della norma, letto il 2026-10-06, pp. 94–97; UNI EN 81-50:2020, testo della norma, letto il 2026-10-06, pp. 35–38; la distanza fra i pattini è scelta del software</t>
        </is>
      </c>
      <c r="G152" s="10" t="inlineStr">
        <is>
          <t>confermato</t>
        </is>
      </c>
      <c r="H152" s="10" t="inlineStr">
        <is>
          <t>guide del contrappeso alla presa del suo paracadute</t>
        </is>
      </c>
      <c r="I152" s="11" t="n"/>
      <c r="J152" s="11" t="n"/>
      <c r="K152" s="11" t="n"/>
      <c r="L152" s="11" t="n"/>
      <c r="M152" s="11" t="n"/>
      <c r="N152" s="11" t="n"/>
    </row>
    <row r="153" ht="43" customHeight="1">
      <c r="A153" s="10" t="n">
        <v>151</v>
      </c>
      <c r="B153" s="10" t="inlineStr">
        <is>
          <t>Vano: limiti del progetto</t>
        </is>
      </c>
      <c r="C153" s="10" t="inlineStr">
        <is>
          <t>Dimensioni proposte della cabina</t>
        </is>
      </c>
      <c r="D153" s="10" t="inlineStr">
        <is>
          <t>la cabina più grande che entra nel vano, a passi di 10 mm, con superficie entro il limite della portata; a parità di superficie, la più profonda</t>
        </is>
      </c>
      <c r="E153" s="10" t="inlineStr">
        <is>
          <t>—</t>
        </is>
      </c>
      <c r="F153" s="10" t="inlineStr">
        <is>
          <t>scelta del software</t>
        </is>
      </c>
      <c r="G153" s="10" t="inlineStr">
        <is>
          <t>scelta del software</t>
        </is>
      </c>
      <c r="H153" s="10" t="inlineStr">
        <is>
          <t>—</t>
        </is>
      </c>
      <c r="I153" s="11" t="n"/>
      <c r="J153" s="11" t="n"/>
      <c r="K153" s="11" t="n"/>
      <c r="L153" s="11" t="n"/>
      <c r="M153" s="11" t="n"/>
      <c r="N153" s="11" t="n"/>
    </row>
    <row r="154" ht="225" customHeight="1">
      <c r="A154" s="10" t="n">
        <v>152</v>
      </c>
      <c r="B154" s="10" t="inlineStr">
        <is>
          <t>Vano: limiti del progetto</t>
        </is>
      </c>
      <c r="C154" s="10" t="inlineStr">
        <is>
          <t>Quote della pianta fissate a mano</t>
        </is>
      </c>
      <c r="D154"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4" s="10" t="inlineStr">
        <is>
          <t>—</t>
        </is>
      </c>
      <c r="F154" s="10" t="inlineStr">
        <is>
          <t>scelta del software</t>
        </is>
      </c>
      <c r="G154" s="10" t="inlineStr">
        <is>
          <t>scelta del software</t>
        </is>
      </c>
      <c r="H154" s="10" t="inlineStr">
        <is>
          <t>quote fissate a mano: ingombri al loro posto; quote fissate a mano: porte dentro la cabina; ammortizzatori fissati a mano: sotto cabina e contrappeso, fuori dal rifugio</t>
        </is>
      </c>
      <c r="I154" s="11" t="n"/>
      <c r="J154" s="11" t="n"/>
      <c r="K154" s="11" t="n"/>
      <c r="L154" s="11" t="n"/>
      <c r="M154" s="11" t="n"/>
      <c r="N154" s="11" t="n"/>
    </row>
    <row r="155" ht="82" customHeight="1">
      <c r="A155" s="10" t="n">
        <v>153</v>
      </c>
      <c r="B155" s="10" t="inlineStr">
        <is>
          <t>Vano: limiti del progetto</t>
        </is>
      </c>
      <c r="C155" s="10" t="inlineStr">
        <is>
          <t>Limiti del modello del vano</t>
        </is>
      </c>
      <c r="D155" s="10" t="inlineStr">
        <is>
          <t>pianta, sezione A-A e locale macchina da un modello semplificato: arcata, operatori delle porte, ammortizzatori e macchina hanno posizioni e ingombri tipici, da sostituire con i dati dei fornitori; il rilievo dal disegno CAD va controllato in cantiere</t>
        </is>
      </c>
      <c r="E155" s="10" t="inlineStr">
        <is>
          <t>—</t>
        </is>
      </c>
      <c r="F155" s="10" t="inlineStr">
        <is>
          <t>limite del modello attuale</t>
        </is>
      </c>
      <c r="G155" s="10" t="inlineStr">
        <is>
          <t>scelta del software</t>
        </is>
      </c>
      <c r="H155" s="10" t="inlineStr">
        <is>
          <t>—</t>
        </is>
      </c>
      <c r="I155" s="11" t="n"/>
      <c r="J155" s="11" t="n"/>
      <c r="K155" s="11" t="n"/>
      <c r="L155" s="11" t="n"/>
      <c r="M155" s="11" t="n"/>
      <c r="N155" s="11" t="n"/>
    </row>
    <row r="156" ht="563" customHeight="1">
      <c r="A156" s="10" t="n">
        <v>154</v>
      </c>
      <c r="B156" s="10" t="inlineStr">
        <is>
          <t>Vano: limiti del progetto</t>
        </is>
      </c>
      <c r="C156" s="10" t="inlineStr">
        <is>
          <t>Verifiche che il software non calcola — fino a SHAFT 2.25.0 la voce legava UCM e velocità eccessiva in salita alla sola macchina nuova</t>
        </is>
      </c>
      <c r="D156"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6"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6" s="10" t="inlineStr">
        <is>
          <t>UNI EN 81-20:2020, testo della norma, letto il 2026-10-06, pp. 31–43, 89–97; analisi delle lacune del 2026-10-03</t>
        </is>
      </c>
      <c r="G156" s="10" t="inlineStr">
        <is>
          <t>scelta del software</t>
        </is>
      </c>
      <c r="H156" s="10" t="inlineStr">
        <is>
          <t>—</t>
        </is>
      </c>
      <c r="I156" s="11" t="n"/>
      <c r="J156" s="11" t="n"/>
      <c r="K156" s="11" t="n"/>
      <c r="L156" s="11" t="n"/>
      <c r="M156" s="11" t="n"/>
      <c r="N156" s="11" t="n"/>
    </row>
    <row r="157" ht="56" customHeight="1">
      <c r="A157" s="10" t="n">
        <v>155</v>
      </c>
      <c r="B157" s="10" t="inlineStr">
        <is>
          <t>Impianto: valori calcolati dai dati inseriti una volta</t>
        </is>
      </c>
      <c r="C157" s="10" t="inlineStr">
        <is>
          <t>Corsa</t>
        </is>
      </c>
      <c r="D157" s="10" t="inlineStr">
        <is>
          <t>somma delle altezze tra i piani, dal più basso al più alto</t>
        </is>
      </c>
      <c r="E157" s="10" t="inlineStr">
        <is>
          <t>—</t>
        </is>
      </c>
      <c r="F157" s="10" t="inlineStr">
        <is>
          <t>dati dei piani inseriti</t>
        </is>
      </c>
      <c r="G157" s="10" t="inlineStr">
        <is>
          <t>derivazione</t>
        </is>
      </c>
      <c r="H157" s="10" t="inlineStr">
        <is>
          <t>—</t>
        </is>
      </c>
      <c r="I157" s="11" t="n"/>
      <c r="J157" s="11" t="n"/>
      <c r="K157" s="11" t="n"/>
      <c r="L157" s="11" t="n"/>
      <c r="M157" s="11" t="n"/>
      <c r="N157" s="11" t="n"/>
    </row>
    <row r="158" ht="56" customHeight="1">
      <c r="A158" s="10" t="n">
        <v>156</v>
      </c>
      <c r="B158" s="10" t="inlineStr">
        <is>
          <t>Impianto: valori calcolati dai dati inseriti una volta</t>
        </is>
      </c>
      <c r="C158" s="10" t="inlineStr">
        <is>
          <t>Portata e velocità — In una modifica il confronto con i carichi documentati è nella voce impianto.variazione.carico.</t>
        </is>
      </c>
      <c r="D158" s="10" t="inlineStr">
        <is>
          <t>la portata inserita, oppure quella della cabina più grande che entra nel vano (Tabella 6); la velocità è una sola per il vano e per la macchina</t>
        </is>
      </c>
      <c r="E158" s="10" t="inlineStr">
        <is>
          <t>UNI EN 81-20:2020, 5.4.2.1</t>
        </is>
      </c>
      <c r="F158" s="10" t="inlineStr">
        <is>
          <t>progetto del vano</t>
        </is>
      </c>
      <c r="G158" s="10" t="inlineStr">
        <is>
          <t>derivazione</t>
        </is>
      </c>
      <c r="H158" s="10" t="inlineStr">
        <is>
          <t>—</t>
        </is>
      </c>
      <c r="I158" s="11" t="n"/>
      <c r="J158" s="11" t="n"/>
      <c r="K158" s="11" t="n"/>
      <c r="L158" s="11" t="n"/>
      <c r="M158" s="11" t="n"/>
      <c r="N158" s="11" t="n"/>
    </row>
    <row r="159" ht="355" customHeight="1">
      <c r="A159" s="10" t="n">
        <v>157</v>
      </c>
      <c r="B159" s="10" t="inlineStr">
        <is>
          <t>Impianto: valori calcolati dai dati inseriti una volta</t>
        </is>
      </c>
      <c r="C159"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9"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9" s="10" t="inlineStr">
        <is>
          <t>UNI 10411-1:2024, 6.1 (prospetti 1 e 2); UNI 10411-11:2024, 6.1 e 6.2</t>
        </is>
      </c>
      <c r="F159" s="10" t="inlineStr">
        <is>
          <t>UNI 10411-1:2024, testo della norma, letto il 2026-10-06, p. 7; UNI 10411-11:2024, testo della norma, letto il 2026-10-06, pp. 7–8</t>
        </is>
      </c>
      <c r="G159" s="10" t="inlineStr">
        <is>
          <t>confermato</t>
        </is>
      </c>
      <c r="H159" s="10" t="inlineStr">
        <is>
          <t>—</t>
        </is>
      </c>
      <c r="I159" s="11" t="n"/>
      <c r="J159" s="11" t="n"/>
      <c r="K159" s="11" t="n"/>
      <c r="L159" s="11" t="n"/>
      <c r="M159" s="11" t="n"/>
      <c r="N159" s="11" t="n"/>
    </row>
    <row r="160" ht="212" customHeight="1">
      <c r="A160" s="10" t="n">
        <v>158</v>
      </c>
      <c r="B160" s="10" t="inlineStr">
        <is>
          <t>Impianto: valori calcolati dai dati inseriti una volta</t>
        </is>
      </c>
      <c r="C160"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0"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0" s="10" t="inlineStr">
        <is>
          <t>UNI 10411-1:2024, 15.1 e 15.16; UNI 10411-11:2024, 15 e 15 i)</t>
        </is>
      </c>
      <c r="F160" s="10" t="inlineStr">
        <is>
          <t>UNI 10411-1:2024, testo della norma, letto il 2026-10-06, pp. 14–15; UNI 10411-11:2024, testo della norma, letto il 2026-10-06, pp. 12–13</t>
        </is>
      </c>
      <c r="G160" s="10" t="inlineStr">
        <is>
          <t>confermato</t>
        </is>
      </c>
      <c r="H160" s="10" t="inlineStr">
        <is>
          <t>—</t>
        </is>
      </c>
      <c r="I160" s="11" t="n"/>
      <c r="J160" s="11" t="n"/>
      <c r="K160" s="11" t="n"/>
      <c r="L160" s="11" t="n"/>
      <c r="M160" s="11" t="n"/>
      <c r="N160" s="11" t="n"/>
    </row>
    <row r="161" ht="160" customHeight="1">
      <c r="A161" s="10" t="n">
        <v>159</v>
      </c>
      <c r="B161" s="10" t="inlineStr">
        <is>
          <t>Impianto: valori calcolati dai dati inseriti una volta</t>
        </is>
      </c>
      <c r="C161" s="10" t="inlineStr">
        <is>
          <t>Modifica: variazione della corsa rispetto a quella documentata — una differenza entro 0,05 m è l’arrotondamento dei dati (scelta del software, non un valore della norma)</t>
        </is>
      </c>
      <c r="D161"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1" s="10" t="inlineStr">
        <is>
          <t>UNI 10411-1:2024, 16; UNI 10411-11:2024, 16; DPR 162/1999, art. 2 c.1 lett. cc)</t>
        </is>
      </c>
      <c r="F161" s="10" t="inlineStr">
        <is>
          <t>UNI 10411-1:2024, testo della norma, letto il 2026-10-06, p. 16; UNI 10411-11:2024, testo della norma, letto il 2026-10-06, p. 13; DPR 162/1999 (testo su Normattiva)</t>
        </is>
      </c>
      <c r="G161" s="10" t="inlineStr">
        <is>
          <t>confermato</t>
        </is>
      </c>
      <c r="H161" s="10" t="inlineStr">
        <is>
          <t>—</t>
        </is>
      </c>
      <c r="I161" s="11" t="n"/>
      <c r="J161" s="11" t="n"/>
      <c r="K161" s="11" t="n"/>
      <c r="L161" s="11" t="n"/>
      <c r="M161" s="11" t="n"/>
      <c r="N161" s="11" t="n"/>
    </row>
    <row r="162" ht="186" customHeight="1">
      <c r="A162" s="10" t="n">
        <v>160</v>
      </c>
      <c r="B162" s="10" t="inlineStr">
        <is>
          <t>Impianto: valori calcolati dai dati inseriti una volta</t>
        </is>
      </c>
      <c r="C162"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2"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2" s="10" t="inlineStr">
        <is>
          <t>UNI 10411-1:2024, 11.2.1 e 11.1.4; UNI 10411-11:2024, 11.2 e 11.1.3</t>
        </is>
      </c>
      <c r="F162" s="10" t="inlineStr">
        <is>
          <t>UNI 10411-1:2024, testo della norma, letto il 2026-10-06, p. 11; UNI 10411-11:2024, testo della norma, letto il 2026-10-06, p. 10</t>
        </is>
      </c>
      <c r="G162" s="10" t="inlineStr">
        <is>
          <t>confermato</t>
        </is>
      </c>
      <c r="H162" s="10" t="inlineStr">
        <is>
          <t>—</t>
        </is>
      </c>
      <c r="I162" s="11" t="n"/>
      <c r="J162" s="11" t="n"/>
      <c r="K162" s="11" t="n"/>
      <c r="L162" s="11" t="n"/>
      <c r="M162" s="11" t="n"/>
      <c r="N162" s="11" t="n"/>
    </row>
    <row r="163" ht="199" customHeight="1">
      <c r="A163" s="10" t="n">
        <v>161</v>
      </c>
      <c r="B163" s="10" t="inlineStr">
        <is>
          <t>Impianto: valori calcolati dai dati inseriti una volta</t>
        </is>
      </c>
      <c r="C163"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3"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3" s="10" t="inlineStr">
        <is>
          <t>UNI 10411-1:2024, 6.6, 6.7, 6.12, 8, 13, 14.4 c)–d), 15.3, 15.4, 23; UNI 10411-11:2024, 6.6, 6.7, 6.10, 8, 13, 14.3 a), 15 c), 15 i), 23</t>
        </is>
      </c>
      <c r="F163" s="10" t="inlineStr">
        <is>
          <t>UNI 10411-1:2024, testo della norma, letto il 2026-10-06, pp. 8–9, 12–14, 20; UNI 10411-11:2024, testo della norma, letto il 2026-10-06, pp. 8–9, 11–12, 15</t>
        </is>
      </c>
      <c r="G163" s="10" t="inlineStr">
        <is>
          <t>scelta del software</t>
        </is>
      </c>
      <c r="H163" s="10" t="inlineStr">
        <is>
          <t>—</t>
        </is>
      </c>
      <c r="I163" s="11" t="n"/>
      <c r="J163" s="11" t="n"/>
      <c r="K163" s="11" t="n"/>
      <c r="L163" s="11" t="n"/>
      <c r="M163" s="11" t="n"/>
      <c r="N163" s="11" t="n"/>
    </row>
    <row r="164" ht="108" customHeight="1">
      <c r="A164" s="10" t="n">
        <v>162</v>
      </c>
      <c r="B164" s="10" t="inlineStr">
        <is>
          <t>Impianto: valori calcolati dai dati inseriti una volta</t>
        </is>
      </c>
      <c r="C164" s="10" t="inlineStr">
        <is>
          <t>Modifica: UNI 10411-1 o UNI 10411-11 — la data dal DPR 162/1999 è una lettura dell’articolo 19 (messa in servizio secondo le regole precedenti fino al 30 giugno 1999)</t>
        </is>
      </c>
      <c r="D16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4" s="10" t="inlineStr">
        <is>
          <t>UNI 10411-11:2024, 1 e 3.3–3.4; UNI 10411-1:2024, 1; DPR 162/1999, art. 7 c.2, art. 16 c.1 e c.3, art. 19 c.1</t>
        </is>
      </c>
      <c r="F164" s="10" t="inlineStr">
        <is>
          <t>UNI 10411-1:2024, testo della norma, letto il 2026-10-06, p. 5; UNI 10411-11:2024, testo della norma, letto il 2026-10-06, pp. 5–6; DPR 162/1999 (testo su Normattiva)</t>
        </is>
      </c>
      <c r="G164" s="10" t="inlineStr">
        <is>
          <t>confermato</t>
        </is>
      </c>
      <c r="H164" s="10" t="inlineStr">
        <is>
          <t>—</t>
        </is>
      </c>
      <c r="I164" s="11" t="n"/>
      <c r="J164" s="11" t="n"/>
      <c r="K164" s="11" t="n"/>
      <c r="L164" s="11" t="n"/>
      <c r="M164" s="11" t="n"/>
      <c r="N164" s="11" t="n"/>
    </row>
    <row r="165" ht="420" customHeight="1">
      <c r="A165" s="10" t="n">
        <v>163</v>
      </c>
      <c r="B165" s="10" t="inlineStr">
        <is>
          <t>Impianto: valori calcolati dai dati inseriti una volta</t>
        </is>
      </c>
      <c r="C16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5" s="10" t="inlineStr">
        <is>
          <t>DPR 162/1999 e s.m.i.; UNI 10411-1:2024; UNI 10411-11:2024; UNI EN 81-20:2020; UNI EN 81-50:2020</t>
        </is>
      </c>
      <c r="F165" s="10" t="inlineStr">
        <is>
          <t>UNI 10411-1:2024, testo della norma, letto il 2026-10-06, pp. 5, 13–14; UNI 10411-11:2024, testo della norma, letto il 2026-10-06, pp. 5, 12; schema ICIM delle verifiche (la verifica straordinaria si limita di norma alle modifiche); ricerca, capitoli 2.4 e 6.6</t>
        </is>
      </c>
      <c r="G165" s="10" t="inlineStr">
        <is>
          <t>scelta del software</t>
        </is>
      </c>
      <c r="H165" s="10" t="inlineStr">
        <is>
          <t>—</t>
        </is>
      </c>
      <c r="I165" s="11" t="n"/>
      <c r="J165" s="11" t="n"/>
      <c r="K165" s="11" t="n"/>
      <c r="L165" s="11" t="n"/>
      <c r="M165" s="11" t="n"/>
      <c r="N165" s="11" t="n"/>
    </row>
    <row r="166" ht="238" customHeight="1">
      <c r="A166" s="10" t="n">
        <v>164</v>
      </c>
      <c r="B166" s="10" t="inlineStr">
        <is>
          <t>Impianto: valori calcolati dai dati inseriti una volta</t>
        </is>
      </c>
      <c r="C166"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6"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6" s="10" t="inlineStr">
        <is>
          <t>DPR 162/1999 e s.m.i., art. 2 c.1 lett. cc), art. 12 c.4–5, art. 14 c.3; UNI 10411-1:2024, 15.1, 16 e 21.1; UNI 10411-11:2024, 15, 16 e 21.1; UNI EN 81-20:2020; UNI EN 81-50:2020</t>
        </is>
      </c>
      <c r="F166" s="10" t="inlineStr">
        <is>
          <t>DPR 162/1999 (testo su Normattiva); UNI 10411-1:2024 e UNI 10411-11:2024, punti citati (il 21.1 come nella voce impianto.rifacimento); ricerca, capitolo 16 §5.3</t>
        </is>
      </c>
      <c r="G166" s="10" t="inlineStr">
        <is>
          <t>scelta del software</t>
        </is>
      </c>
      <c r="H166" s="10" t="inlineStr">
        <is>
          <t>—</t>
        </is>
      </c>
      <c r="I166" s="11" t="n"/>
      <c r="J166" s="11" t="n"/>
      <c r="K166" s="11" t="n"/>
      <c r="L166" s="11" t="n"/>
      <c r="M166" s="11" t="n"/>
      <c r="N166" s="11" t="n"/>
    </row>
    <row r="167" ht="264" customHeight="1">
      <c r="A167" s="10" t="n">
        <v>165</v>
      </c>
      <c r="B167" s="10" t="inlineStr">
        <is>
          <t>Impianto: valori calcolati dai dati inseriti una volta</t>
        </is>
      </c>
      <c r="C167"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7"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7" s="10" t="inlineStr">
        <is>
          <t>DPR 162/1999 e s.m.i., art. 2 c.1 lett. cc), art. 12 c.4, art. 14 c.3; UNI 10411-1:2024; UNI 10411-11:2024; UNI EN 81-21:2022 (scopo)</t>
        </is>
      </c>
      <c r="F167" s="10" t="inlineStr">
        <is>
          <t>indicazione del cliente (5 ottobre 2026): prassi di lasciare l’arcata; ricerca, capitolo 16 §3.2 e §5.3</t>
        </is>
      </c>
      <c r="G167" s="10" t="inlineStr">
        <is>
          <t>prassi di cantiere</t>
        </is>
      </c>
      <c r="H167" s="10" t="inlineStr">
        <is>
          <t>—</t>
        </is>
      </c>
      <c r="I167" s="11" t="n"/>
      <c r="J167" s="11" t="n"/>
      <c r="K167" s="11" t="n"/>
      <c r="L167" s="11" t="n"/>
      <c r="M167" s="11" t="n"/>
      <c r="N167" s="11" t="n"/>
    </row>
    <row r="168" ht="69" customHeight="1">
      <c r="A168" s="10" t="n">
        <v>166</v>
      </c>
      <c r="B168" s="10" t="inlineStr">
        <is>
          <t>Impianto: valori calcolati dai dati inseriti una volta</t>
        </is>
      </c>
      <c r="C168" s="10" t="inlineStr">
        <is>
          <t>Massa della cabina non inserita — va sostituita con la massa del libretto o con quella ricavata dalla prova di bilanciamento; la sensibilità ±10% ne mostra l’effetto</t>
        </is>
      </c>
      <c r="D168" s="10" t="inlineStr">
        <is>
          <t>P = 1,1·Q arrotondata per eccesso a 10 kg: valore di partenza per far girare il calcolo</t>
        </is>
      </c>
      <c r="E168" s="10" t="inlineStr">
        <is>
          <t>ricerca, capitoli 3 e 6 (origine della massa della cabina)</t>
        </is>
      </c>
      <c r="F168" s="10" t="inlineStr">
        <is>
          <t>scelta del software, senza fonte</t>
        </is>
      </c>
      <c r="G168" s="10" t="inlineStr">
        <is>
          <t>stima</t>
        </is>
      </c>
      <c r="H168" s="10" t="inlineStr">
        <is>
          <t>—</t>
        </is>
      </c>
      <c r="I168" s="11" t="n"/>
      <c r="J168" s="11" t="n"/>
      <c r="K168" s="11" t="n"/>
      <c r="L168" s="11" t="n"/>
      <c r="M168" s="11" t="n"/>
      <c r="N168" s="11" t="n"/>
    </row>
    <row r="169" ht="368" customHeight="1">
      <c r="A169" s="10" t="n">
        <v>167</v>
      </c>
      <c r="B169" s="10" t="inlineStr">
        <is>
          <t>Impianto: valori calcolati dai dati inseriti una volta</t>
        </is>
      </c>
      <c r="C169"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9"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9" s="10" t="inlineStr">
        <is>
          <t>UNI EN 81-20:2020, 5.2.1.8.1 (carichi della macchina sulla struttura)</t>
        </is>
      </c>
      <c r="F169"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9" s="10" t="inlineStr">
        <is>
          <t>stima</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0"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0" s="10" t="inlineStr">
        <is>
          <t>UNI EN 81-20:2020, 5.2.1.8.1</t>
        </is>
      </c>
      <c r="F170" s="10" t="inlineStr">
        <is>
          <t>masse dei profilati EN 10365 (catalogo del software); calcestruzzo armato 25 kN/m³; geometria dei disegni del software</t>
        </is>
      </c>
      <c r="G170" s="10" t="inlineStr">
        <is>
          <t>scelta del software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1"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1" s="10" t="inlineStr">
        <is>
          <t>—</t>
        </is>
      </c>
      <c r="F171" s="10" t="inlineStr">
        <is>
          <t>dati verticali del vano; altezza dell’asse scelta dal software</t>
        </is>
      </c>
      <c r="G171" s="10" t="inlineStr">
        <is>
          <t>scelta del software</t>
        </is>
      </c>
      <c r="H171" s="10" t="inlineStr">
        <is>
          <t>—</t>
        </is>
      </c>
      <c r="I171" s="11" t="n"/>
      <c r="J171" s="11" t="n"/>
      <c r="K171" s="11" t="n"/>
      <c r="L171" s="11" t="n"/>
      <c r="M171" s="11" t="n"/>
      <c r="N171" s="11" t="n"/>
    </row>
    <row r="172" ht="251" customHeight="1">
      <c r="A172" s="10" t="n">
        <v>170</v>
      </c>
      <c r="B172" s="10" t="inlineStr">
        <is>
          <t>Impianto: valori calcolati dai dati inseriti una volta</t>
        </is>
      </c>
      <c r="C172"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2"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2" s="10" t="inlineStr">
        <is>
          <t>ricerca, capitolo 5.3</t>
        </is>
      </c>
      <c r="F172" s="10" t="inlineStr">
        <is>
          <t>pianta del vano</t>
        </is>
      </c>
      <c r="G172" s="10" t="inlineStr">
        <is>
          <t>derivazione</t>
        </is>
      </c>
      <c r="H172" s="10" t="inlineStr">
        <is>
          <t>—</t>
        </is>
      </c>
      <c r="I172" s="11" t="n"/>
      <c r="J172" s="11" t="n"/>
      <c r="K172" s="11" t="n"/>
      <c r="L172" s="11" t="n"/>
      <c r="M172" s="11" t="n"/>
      <c r="N172" s="11" t="n"/>
    </row>
    <row r="173" ht="173" customHeight="1">
      <c r="A173" s="10" t="n">
        <v>171</v>
      </c>
      <c r="B173" s="10" t="inlineStr">
        <is>
          <t>Impianto: valori calcolati dai dati inseriti una volta</t>
        </is>
      </c>
      <c r="C17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3"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3" s="10" t="inlineStr">
        <is>
          <t>ricerca, capitolo 5.3 (angolo di avvolgimento del tiro diretto)</t>
        </is>
      </c>
      <c r="F173" s="10" t="inlineStr">
        <is>
          <t>geometria delle funi</t>
        </is>
      </c>
      <c r="G173" s="10" t="inlineStr">
        <is>
          <t>derivazione</t>
        </is>
      </c>
      <c r="H173" s="10" t="inlineStr">
        <is>
          <t>—</t>
        </is>
      </c>
      <c r="I173" s="11" t="n"/>
      <c r="J173" s="11" t="n"/>
      <c r="K173" s="11" t="n"/>
      <c r="L173" s="11" t="n"/>
      <c r="M173" s="11" t="n"/>
      <c r="N173" s="11" t="n"/>
    </row>
    <row r="174" ht="212" customHeight="1">
      <c r="A174" s="10" t="n">
        <v>172</v>
      </c>
      <c r="B174" s="10" t="inlineStr">
        <is>
          <t>Impianto: valori calcolati dai dati inseriti una volta</t>
        </is>
      </c>
      <c r="C174"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4" s="10" t="inlineStr">
        <is>
          <t>dall’asse dei rinvii in testata all’asse della puleggia di frizione, secondo lo schema delle funi (impianto.basso.schema); la puleggia ha l’asse a 0,9·D sul pavimento del suo locale</t>
        </is>
      </c>
      <c r="E174" s="10" t="inlineStr">
        <is>
          <t>ricerca, capitolo 5; funi con la macchina in basso, capitolo 2.6</t>
        </is>
      </c>
      <c r="F174" s="10" t="inlineStr">
        <is>
          <t>dati verticali del vano</t>
        </is>
      </c>
      <c r="G174" s="10" t="inlineStr">
        <is>
          <t>derivazione</t>
        </is>
      </c>
      <c r="H174" s="10" t="inlineStr">
        <is>
          <t>—</t>
        </is>
      </c>
      <c r="I174" s="11" t="n"/>
      <c r="J174" s="11" t="n"/>
      <c r="K174" s="11" t="n"/>
      <c r="L174" s="11" t="n"/>
      <c r="M174" s="11" t="n"/>
      <c r="N174" s="11" t="n"/>
    </row>
    <row r="175" ht="446" customHeight="1">
      <c r="A175" s="10" t="n">
        <v>173</v>
      </c>
      <c r="B175" s="10" t="inlineStr">
        <is>
          <t>Impianto: valori calcolati dai dati inseriti una volta</t>
        </is>
      </c>
      <c r="C175"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5"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5" s="10" t="inlineStr">
        <is>
          <t>ricerca, funi con la macchina in basso, capitoli 2–5; DPR 1497/1963 artt. 5–9, 33</t>
        </is>
      </c>
      <c r="F175" s="10" t="inlineStr">
        <is>
          <t>geometria ricostruita dal software</t>
        </is>
      </c>
      <c r="G175" s="10" t="inlineStr">
        <is>
          <t>scelta del software</t>
        </is>
      </c>
      <c r="H175" s="10" t="inlineStr">
        <is>
          <t>—</t>
        </is>
      </c>
      <c r="I175" s="11" t="n"/>
      <c r="J175" s="11" t="n"/>
      <c r="K175" s="11" t="n"/>
      <c r="L175" s="11" t="n"/>
      <c r="M175" s="11" t="n"/>
      <c r="N175" s="11" t="n"/>
    </row>
    <row r="176" ht="563" customHeight="1">
      <c r="A176" s="10" t="n">
        <v>174</v>
      </c>
      <c r="B176" s="10" t="inlineStr">
        <is>
          <t>Impianto: valori calcolati dai dati inseriti una volta</t>
        </is>
      </c>
      <c r="C176"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6"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6" s="10" t="inlineStr">
        <is>
          <t>ricerca, capitolo 12 (catalogo degli argani)</t>
        </is>
      </c>
      <c r="F176" s="10" t="inlineStr">
        <is>
          <t>SICOR: schede tecniche 2025 e modelli CAD scaricati da sicoritaly.com il 2 ottobre 2026 (solo le quote); Sassi, Montanari, GEM, FAER: estratti delle pagine dei costruttori e dei rivenditori, 1° ottobre 2026</t>
        </is>
      </c>
      <c r="G176" s="10" t="inlineStr">
        <is>
          <t>scelta del software</t>
        </is>
      </c>
      <c r="H176" s="10" t="inlineStr">
        <is>
          <t>—</t>
        </is>
      </c>
      <c r="I176" s="11" t="n"/>
      <c r="J176" s="11" t="n"/>
      <c r="K176" s="11" t="n"/>
      <c r="L176" s="11" t="n"/>
      <c r="M176" s="11" t="n"/>
      <c r="N176" s="11" t="n"/>
    </row>
    <row r="177" ht="134" customHeight="1">
      <c r="A177" s="10" t="n">
        <v>175</v>
      </c>
      <c r="B177" s="10" t="inlineStr">
        <is>
          <t>Impianto: valori calcolati dai dati inseriti una volta</t>
        </is>
      </c>
      <c r="C17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7" s="10" t="inlineStr">
        <is>
          <t>la prima opzione del dimensionamento (capitolo 8): puleggia, funi, rapporto, gola, motore e freno che passano ogni verifica; con le ipotesi del gruppo (poli, giri, rendimenti, inerzie) inserite</t>
        </is>
      </c>
      <c r="E177" s="10" t="inlineStr">
        <is>
          <t>ricerca, capitolo 8</t>
        </is>
      </c>
      <c r="F177" s="10" t="inlineStr">
        <is>
          <t>motore di calcolo</t>
        </is>
      </c>
      <c r="G177" s="10" t="inlineStr">
        <is>
          <t>scelta del software</t>
        </is>
      </c>
      <c r="H177" s="10" t="inlineStr">
        <is>
          <t>—</t>
        </is>
      </c>
      <c r="I177" s="11" t="n"/>
      <c r="J177" s="11" t="n"/>
      <c r="K177" s="11" t="n"/>
      <c r="L177" s="11" t="n"/>
      <c r="M177" s="11" t="n"/>
      <c r="N177" s="11" t="n"/>
    </row>
    <row r="178" ht="95" customHeight="1">
      <c r="A178" s="10" t="n">
        <v>176</v>
      </c>
      <c r="B178" s="10" t="inlineStr">
        <is>
          <t>Impianto: valori calcolati dai dati inseriti una volta</t>
        </is>
      </c>
      <c r="C178" s="10" t="inlineStr">
        <is>
          <t>Altezza minima delle scritte dei disegni — prima i nomi che non stavano si rimpicciolivano sotto i 2,5 mm di corpo, fino a non leggersi in stampa</t>
        </is>
      </c>
      <c r="D178"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8" s="10" t="inlineStr">
        <is>
          <t>UNI EN ISO 3098-1 (serie delle altezze nominali della scrittura: 1,8 – 2,5 – 3,5 mm …)</t>
        </is>
      </c>
      <c r="F178" s="10" t="inlineStr">
        <is>
          <t>scelta del software sulla serie della norma; misura del carattere DejaVu Sans (maiuscole 0,73 del corpo)</t>
        </is>
      </c>
      <c r="G178" s="10" t="inlineStr">
        <is>
          <t>scelta del software</t>
        </is>
      </c>
      <c r="H178" s="10" t="inlineStr">
        <is>
          <t>—</t>
        </is>
      </c>
      <c r="I178" s="11" t="n"/>
      <c r="J178" s="11" t="n"/>
      <c r="K178" s="11" t="n"/>
      <c r="L178" s="11" t="n"/>
      <c r="M178" s="11" t="n"/>
      <c r="N178" s="11" t="n"/>
    </row>
    <row r="179" ht="82" customHeight="1">
      <c r="A179" s="10" t="n">
        <v>177</v>
      </c>
      <c r="B179" s="10" t="inlineStr">
        <is>
          <t>Impianto: valori calcolati dai dati inseriti una volta</t>
        </is>
      </c>
      <c r="C179" s="10" t="inlineStr">
        <is>
          <t>Numero di matricola nel cartiglio e nella striscia</t>
        </is>
      </c>
      <c r="D179"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9" s="10" t="inlineStr">
        <is>
          <t>DPR 162/1999 e s.m.i., art. 12 c.1–3 (matricola entro 30 giorni dalla comunicazione), c.4–5 (modifica)</t>
        </is>
      </c>
      <c r="F179" s="10" t="inlineStr">
        <is>
          <t>DPR 162/1999 (testo su Normattiva)</t>
        </is>
      </c>
      <c r="G179" s="10" t="inlineStr">
        <is>
          <t>confermato</t>
        </is>
      </c>
      <c r="H179" s="10" t="inlineStr">
        <is>
          <t>—</t>
        </is>
      </c>
      <c r="I179" s="11" t="n"/>
      <c r="J179" s="11" t="n"/>
      <c r="K179" s="11" t="n"/>
      <c r="L179" s="11" t="n"/>
      <c r="M179" s="11" t="n"/>
      <c r="N179" s="11" t="n"/>
    </row>
    <row r="180" ht="108" customHeight="1">
      <c r="A180" s="10" t="n">
        <v>178</v>
      </c>
      <c r="B180" s="10" t="inlineStr">
        <is>
          <t>Impianto: valori calcolati dai dati inseriti una volta</t>
        </is>
      </c>
      <c r="C180" s="10" t="inlineStr">
        <is>
          <t>Revisioni nel cartiglio</t>
        </is>
      </c>
      <c r="D180"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0" s="10" t="inlineStr">
        <is>
          <t>ISO 7200 (campi del cartiglio: numero del disegno, indice di revisione, data)</t>
        </is>
      </c>
      <c r="F180" s="10" t="inlineStr">
        <is>
          <t>prassi dei disegni tecnici</t>
        </is>
      </c>
      <c r="G180" s="10" t="inlineStr">
        <is>
          <t>prassi di cantiere</t>
        </is>
      </c>
      <c r="H180" s="10" t="inlineStr">
        <is>
          <t>—</t>
        </is>
      </c>
      <c r="I180" s="11" t="n"/>
      <c r="J180" s="11" t="n"/>
      <c r="K180" s="11" t="n"/>
      <c r="L180" s="11" t="n"/>
      <c r="M180" s="11" t="n"/>
      <c r="N180" s="11" t="n"/>
    </row>
    <row r="181" ht="134" customHeight="1">
      <c r="A181" s="10" t="n">
        <v>179</v>
      </c>
      <c r="B181" s="10" t="inlineStr">
        <is>
          <t>Impianto: valori calcolati dai dati inseriti una volta</t>
        </is>
      </c>
      <c r="C181" s="10" t="inlineStr">
        <is>
          <t>Nome dell’argano nei disegni</t>
        </is>
      </c>
      <c r="D181"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1" s="10" t="inlineStr">
        <is>
          <t>relazione di calcolo e tavole dello stesso impianto: un solo argano</t>
        </is>
      </c>
      <c r="F181" s="10" t="inlineStr">
        <is>
          <t>scelta del software</t>
        </is>
      </c>
      <c r="G181" s="10" t="inlineStr">
        <is>
          <t>scelta del software</t>
        </is>
      </c>
      <c r="H181" s="10" t="inlineStr">
        <is>
          <t>—</t>
        </is>
      </c>
      <c r="I181" s="11" t="n"/>
      <c r="J181" s="11" t="n"/>
      <c r="K181" s="11" t="n"/>
      <c r="L181" s="11" t="n"/>
      <c r="M181" s="11" t="n"/>
      <c r="N181" s="11" t="n"/>
    </row>
    <row r="182" ht="121" customHeight="1">
      <c r="A182" s="10" t="n">
        <v>180</v>
      </c>
      <c r="B182" s="10" t="inlineStr">
        <is>
          <t>Impianto: valori calcolati dai dati inseriti una volta</t>
        </is>
      </c>
      <c r="C182" s="10" t="inlineStr">
        <is>
          <t>Richiami dei carichi P1…P8 sulle tavole</t>
        </is>
      </c>
      <c r="D182"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2" s="10" t="inlineStr">
        <is>
          <t>UNI EN 81-20:2020, 5.2.1.8 (carichi sulla struttura dell’edificio: voci carichi.macchina e carichi.fossa)</t>
        </is>
      </c>
      <c r="F182" s="10" t="inlineStr">
        <is>
          <t>scelta del software</t>
        </is>
      </c>
      <c r="G182" s="10" t="inlineStr">
        <is>
          <t>scelta del software</t>
        </is>
      </c>
      <c r="H182" s="10" t="inlineStr">
        <is>
          <t>—</t>
        </is>
      </c>
      <c r="I182" s="11" t="n"/>
      <c r="J182" s="11" t="n"/>
      <c r="K182" s="11" t="n"/>
      <c r="L182" s="11" t="n"/>
      <c r="M182" s="11" t="n"/>
      <c r="N182" s="11" t="n"/>
    </row>
    <row r="183" ht="56" customHeight="1">
      <c r="A183" s="10" t="n">
        <v>181</v>
      </c>
      <c r="B183" s="10" t="inlineStr">
        <is>
          <t>Impianto: valori calcolati dai dati inseriti una volta</t>
        </is>
      </c>
      <c r="C183" s="10" t="inlineStr">
        <is>
          <t>Carico del limitatore (P4) non noto</t>
        </is>
      </c>
      <c r="D183" s="10" t="inlineStr">
        <is>
          <t>senza il carico del limitatore nei dati dell’impianto il foglio 1 scrive «DA FORNITORE» e non lo somma: lo dà il costruttore del limitatore (massa e tiro della fune all’intervento)</t>
        </is>
      </c>
      <c r="E183" s="10" t="inlineStr">
        <is>
          <t>UNI EN 81-20:2020, 5.6.2.2 (limitatore di velocità)</t>
        </is>
      </c>
      <c r="F183" s="10" t="inlineStr">
        <is>
          <t>scelta del software</t>
        </is>
      </c>
      <c r="G183" s="10" t="inlineStr">
        <is>
          <t>scelta del software</t>
        </is>
      </c>
      <c r="H183" s="10" t="inlineStr">
        <is>
          <t>—</t>
        </is>
      </c>
      <c r="I183" s="11" t="n"/>
      <c r="J183" s="11" t="n"/>
      <c r="K183" s="11" t="n"/>
      <c r="L183" s="11" t="n"/>
      <c r="M183" s="11" t="n"/>
      <c r="N183" s="11" t="n"/>
    </row>
    <row r="184" ht="108" customHeight="1">
      <c r="A184" s="10" t="n">
        <v>182</v>
      </c>
      <c r="B184" s="10" t="inlineStr">
        <is>
          <t>Impianto: valori calcolati dai dati inseriti una volta</t>
        </is>
      </c>
      <c r="C184" s="10" t="inlineStr">
        <is>
          <t>Elaborati collegati sul foglio 1</t>
        </is>
      </c>
      <c r="D184"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4" s="10" t="inlineStr">
        <is>
          <t>UNI 10411-1:2024, App. C (documenti della modifica)</t>
        </is>
      </c>
      <c r="F184" s="10" t="inlineStr">
        <is>
          <t>scelta del software</t>
        </is>
      </c>
      <c r="G184" s="10" t="inlineStr">
        <is>
          <t>scelta del software</t>
        </is>
      </c>
      <c r="H184" s="10" t="inlineStr">
        <is>
          <t>—</t>
        </is>
      </c>
      <c r="I184" s="11" t="n"/>
      <c r="J184" s="11" t="n"/>
      <c r="K184" s="11" t="n"/>
      <c r="L184" s="11" t="n"/>
      <c r="M184" s="11" t="n"/>
      <c r="N184" s="11" t="n"/>
    </row>
    <row r="185" ht="238" customHeight="1">
      <c r="A185" s="10" t="n">
        <v>183</v>
      </c>
      <c r="B185" s="10" t="inlineStr">
        <is>
          <t>Impianto: valori calcolati dai dati inseriti una volta</t>
        </is>
      </c>
      <c r="C185" s="10" t="inlineStr">
        <is>
          <t>File CAD della serie emessa</t>
        </is>
      </c>
      <c r="D185"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5" s="10" t="inlineStr">
        <is>
          <t>prassi dello scambio dei disegni (blocco del cartiglio con attributi)</t>
        </is>
      </c>
      <c r="F185" s="10" t="inlineStr">
        <is>
          <t>scelta del software</t>
        </is>
      </c>
      <c r="G185" s="10" t="inlineStr">
        <is>
          <t>scelta del software</t>
        </is>
      </c>
      <c r="H185" s="10" t="inlineStr">
        <is>
          <t>—</t>
        </is>
      </c>
      <c r="I185" s="11" t="n"/>
      <c r="J185" s="11" t="n"/>
      <c r="K185" s="11" t="n"/>
      <c r="L185" s="11" t="n"/>
      <c r="M185" s="11" t="n"/>
      <c r="N185" s="11" t="n"/>
    </row>
    <row r="186" ht="238" customHeight="1">
      <c r="A186" s="10" t="n">
        <v>184</v>
      </c>
      <c r="B186" s="10" t="inlineStr">
        <is>
          <t>Impianto: valori calcolati dai dati inseriti una volta</t>
        </is>
      </c>
      <c r="C186"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6"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6" s="10" t="inlineStr">
        <is>
          <t>—</t>
        </is>
      </c>
      <c r="F186" s="10" t="inlineStr">
        <is>
          <t>prassi di cantiere: la fune si taglia più lunga e si accorcia all’attacco; da misurare in sito prima del taglio</t>
        </is>
      </c>
      <c r="G186" s="10" t="inlineStr">
        <is>
          <t>prassi di cantiere</t>
        </is>
      </c>
      <c r="H186" s="10" t="inlineStr">
        <is>
          <t>—</t>
        </is>
      </c>
      <c r="I186" s="11" t="n"/>
      <c r="J186" s="11" t="n"/>
      <c r="K186" s="11" t="n"/>
      <c r="L186" s="11" t="n"/>
      <c r="M186" s="11" t="n"/>
      <c r="N186" s="11" t="n"/>
    </row>
    <row r="187" ht="316" customHeight="1">
      <c r="A187" s="10" t="n">
        <v>185</v>
      </c>
      <c r="B187" s="10" t="inlineStr">
        <is>
          <t>Impianto: valori calcolati dai dati inseriti una volta</t>
        </is>
      </c>
      <c r="C187"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7"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7" s="10" t="inlineStr">
        <is>
          <t>ricerca, capitolo 17 §2.1 (SICOR LS: carico statico per lunghezza dell’albero A e quota B) e §3 (Montanari AL e S)</t>
        </is>
      </c>
      <c r="F187" s="10" t="inlineStr">
        <is>
          <t>brochure SICOR Geared 2026, pp. 59 e 69; schede Montanari M73, M75, M93 e M98 (documenti del costruttore); scelta del software</t>
        </is>
      </c>
      <c r="G187" s="10" t="inlineStr">
        <is>
          <t>da verificare</t>
        </is>
      </c>
      <c r="H187" s="10" t="inlineStr">
        <is>
          <t>—</t>
        </is>
      </c>
      <c r="I187" s="11" t="n"/>
      <c r="J187" s="11" t="n"/>
      <c r="K187" s="11" t="n"/>
      <c r="L187" s="11" t="n"/>
      <c r="M187" s="11" t="n"/>
      <c r="N187" s="11" t="n"/>
    </row>
    <row r="188" ht="251" customHeight="1">
      <c r="A188" s="10" t="n">
        <v>186</v>
      </c>
      <c r="B188" s="10" t="inlineStr">
        <is>
          <t>Impianto: valori calcolati dai dati inseriti una volta</t>
        </is>
      </c>
      <c r="C188" s="10" t="inlineStr">
        <is>
          <t>Protezioni ACOP e UCM nella bozza d’ordine e nella distinta — la soluzione la sceglie il progettista con il costruttore: il software non verifica l’organo d’arresto né lo spazio d’arresto</t>
        </is>
      </c>
      <c r="D188"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8" s="10" t="inlineStr">
        <is>
          <t>UNI EN 81-20:2020, 5.6.6.2, 5.6.6.4, 5.6.6.11, 5.6.7.3, 5.6.7.4, 5.6.7.13 e 6.3.11–6.3.13; UNI 10411-1:2024, 14.4 c), d) e g); UNI 10411-11:2024, 14.3 a) e b), appendice A (14)</t>
        </is>
      </c>
      <c r="F188" s="10" t="inlineStr">
        <is>
          <t>UNI EN 81-20:2020, testo della norma, letto il 2026-10-06, pp. 89–93; UNI 10411-1:2024, testo della norma, letto il 2026-10-06, p. 14; UNI 10411-11:2024, testo della norma, letto il 2026-10-06, p. 12; scelta del software (le righe dell’ordine e della distinta)</t>
        </is>
      </c>
      <c r="G188" s="10" t="inlineStr">
        <is>
          <t>scelta del software</t>
        </is>
      </c>
      <c r="H188" s="10" t="inlineStr">
        <is>
          <t>—</t>
        </is>
      </c>
      <c r="I188" s="11" t="n"/>
      <c r="J188" s="11" t="n"/>
      <c r="K188" s="11" t="n"/>
      <c r="L188" s="11" t="n"/>
      <c r="M188" s="11" t="n"/>
      <c r="N188" s="11" t="n"/>
    </row>
    <row r="189" ht="160" customHeight="1">
      <c r="A189" s="10" t="n">
        <v>187</v>
      </c>
      <c r="B189" s="10" t="inlineStr">
        <is>
          <t>Impianto: valori calcolati dai dati inseriti una volta</t>
        </is>
      </c>
      <c r="C189" s="10" t="inlineStr">
        <is>
          <t>Esecuzione dell’argano (destra o sinistra) nella bozza d’ordine — la mano segnata va confermata con lo schema di esecuzione del costruttore prima dell’ordine</t>
        </is>
      </c>
      <c r="D189"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9" s="10" t="inlineStr">
        <is>
          <t>—</t>
        </is>
      </c>
      <c r="F189" s="10" t="inlineStr">
        <is>
          <t>scelta del software: la convenzione di destra e sinistra cambia tra i costruttori</t>
        </is>
      </c>
      <c r="G189" s="10" t="inlineStr">
        <is>
          <t>scelta del software</t>
        </is>
      </c>
      <c r="H189" s="10" t="inlineStr">
        <is>
          <t>—</t>
        </is>
      </c>
      <c r="I189" s="11" t="n"/>
      <c r="J189" s="11" t="n"/>
      <c r="K189" s="11" t="n"/>
      <c r="L189" s="11" t="n"/>
      <c r="M189" s="11" t="n"/>
      <c r="N189" s="11" t="n"/>
    </row>
    <row r="190" ht="264" customHeight="1">
      <c r="A190" s="10" t="n">
        <v>188</v>
      </c>
      <c r="B190" s="10" t="inlineStr">
        <is>
          <t>Impianto: valori calcolati dai dati inseriti una volta</t>
        </is>
      </c>
      <c r="C190" s="10" t="inlineStr">
        <is>
          <t>Distinta dei materiali del progetto</t>
        </is>
      </c>
      <c r="D190"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0" s="10" t="inlineStr">
        <is>
          <t>UNI EN 81-20:2020, 5.5.5.1 (uguagliamento automatico delle tensioni almeno a un’estremità delle funi)</t>
        </is>
      </c>
      <c r="F190" s="10" t="inlineStr">
        <is>
          <t>UNI EN 81-20:2020, testo della norma, letto il 2026-10-06, p. 75; scelta del software (le quantità)</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Forze nella simulazione — agli estremi della corsa e alle accelerazioni della verifica i valori coincidono con quelli della verifica (test automatico)</t>
        </is>
      </c>
      <c r="D191" s="10" t="inlineStr">
        <is>
          <t>tiri delle funi, T1/T2, e^(f·α), coppie e decelerazione del freno con le stesse funzioni della verifica (modello delle funi del motore di calcolo), valutate istante per istante con la posizione e l’accelerazione della cabina</t>
        </is>
      </c>
      <c r="E191" s="10" t="inlineStr">
        <is>
          <t>UNI EN 81-50:2020, 5.11 (aderenza); ricerca, capitolo 4</t>
        </is>
      </c>
      <c r="F191" s="10" t="inlineStr">
        <is>
          <t>motore di calcolo (src/calc/model.ts)</t>
        </is>
      </c>
      <c r="G191" s="10" t="inlineStr">
        <is>
          <t>derivazione</t>
        </is>
      </c>
      <c r="H191" s="10" t="inlineStr">
        <is>
          <t>—</t>
        </is>
      </c>
      <c r="I191" s="11" t="n"/>
      <c r="J191" s="11" t="n"/>
      <c r="K191" s="11" t="n"/>
      <c r="L191" s="11" t="n"/>
      <c r="M191" s="11" t="n"/>
      <c r="N191" s="11" t="n"/>
    </row>
    <row r="192" ht="56" customHeight="1">
      <c r="A192" s="10" t="n">
        <v>190</v>
      </c>
      <c r="B192" s="10" t="inlineStr">
        <is>
          <t>Simulazione nel tempo (3D e grafici)</t>
        </is>
      </c>
      <c r="C192" s="10" t="inlineStr">
        <is>
          <t>Profilo del moto tra i piani — accelerazione e strappo sono dati di progetto dell’azionamento, non limiti normativi</t>
        </is>
      </c>
      <c r="D192" s="10" t="inlineStr">
        <is>
          <t>profilo a strappo limitato: velocità nominale, accelerazione di progetto e strappo 1 m/s³; se il tragitto è corto, la velocità più alta che ci sta</t>
        </is>
      </c>
      <c r="E192" s="10" t="inlineStr">
        <is>
          <t>ISO 18738-1:2012 (misura della qualità di marcia, nessun limite)</t>
        </is>
      </c>
      <c r="F192" s="10" t="inlineStr">
        <is>
          <t>scelta del software</t>
        </is>
      </c>
      <c r="G192" s="10" t="inlineStr">
        <is>
          <t>scelta del software</t>
        </is>
      </c>
      <c r="H192" s="10" t="inlineStr">
        <is>
          <t>—</t>
        </is>
      </c>
      <c r="I192" s="11" t="n"/>
      <c r="J192" s="11" t="n"/>
      <c r="K192" s="11" t="n"/>
      <c r="L192" s="11" t="n"/>
      <c r="M192" s="11" t="n"/>
      <c r="N192" s="11" t="n"/>
    </row>
    <row r="193" ht="69" customHeight="1">
      <c r="A193" s="10" t="n">
        <v>191</v>
      </c>
      <c r="B193" s="10" t="inlineStr">
        <is>
          <t>Simulazione nel tempo (3D e grafici)</t>
        </is>
      </c>
      <c r="C193" s="10" t="inlineStr">
        <is>
          <t>Limite di aderenza mostrato durante la marcia</t>
        </is>
      </c>
      <c r="D193" s="10" t="inlineStr">
        <is>
          <t>e^(f·α) con il coefficiente d’attrito della frenatura (μ ridotto con la velocità delle funi): il confronto è indicativo (oltre il limite: avviso, non verifica fallita), la verifica resta quella dei casi della norma</t>
        </is>
      </c>
      <c r="E193" s="10" t="inlineStr">
        <is>
          <t>UNI EN 81-50:2020, 5.11.1 e 5.11.2.3.2 (μ della frenatura)</t>
        </is>
      </c>
      <c r="F193" s="10" t="inlineStr">
        <is>
          <t>scelta del software</t>
        </is>
      </c>
      <c r="G193" s="10" t="inlineStr">
        <is>
          <t>scelta del software</t>
        </is>
      </c>
      <c r="H193" s="10" t="inlineStr">
        <is>
          <t>—</t>
        </is>
      </c>
      <c r="I193" s="11" t="n"/>
      <c r="J193" s="11" t="n"/>
      <c r="K193" s="11" t="n"/>
      <c r="L193" s="11" t="n"/>
      <c r="M193" s="11" t="n"/>
      <c r="N193" s="11" t="n"/>
    </row>
    <row r="194" ht="108" customHeight="1">
      <c r="A194" s="10" t="n">
        <v>192</v>
      </c>
      <c r="B194" s="10" t="inlineStr">
        <is>
          <t>Simulazione nel tempo (3D e grafici)</t>
        </is>
      </c>
      <c r="C194" s="10" t="inlineStr">
        <is>
          <t>Tempi delle porte — La norma non dà tempi: per le porte automatiche orizzontali dà l’energia cinetica (≤ 10 J, ≤ 4 J con il dispositivo di protezione escluso) e la forza contro la chiusura (≤ 150 N) (UNI EN 81-20:2020, 5.3.6.2.2.1), dati del fornitore delle porte.</t>
        </is>
      </c>
      <c r="D194" s="10" t="inlineStr">
        <is>
          <t>apertura 2,5 s, chiusura 3 s, sosta a porte aperte 3 s, partenza 0,5 s dopo la chiusura</t>
        </is>
      </c>
      <c r="E194" s="10" t="inlineStr">
        <is>
          <t>—</t>
        </is>
      </c>
      <c r="F194" s="10" t="inlineStr">
        <is>
          <t>scelta del software (solo animazione)</t>
        </is>
      </c>
      <c r="G194" s="10" t="inlineStr">
        <is>
          <t>scelta del software</t>
        </is>
      </c>
      <c r="H194" s="10" t="inlineStr">
        <is>
          <t>—</t>
        </is>
      </c>
      <c r="I194" s="11" t="n"/>
      <c r="J194" s="11" t="n"/>
      <c r="K194" s="11" t="n"/>
      <c r="L194" s="11" t="n"/>
      <c r="M194" s="11" t="n"/>
      <c r="N194" s="11" t="n"/>
    </row>
    <row r="195" ht="329" customHeight="1">
      <c r="A195" s="10" t="n">
        <v>193</v>
      </c>
      <c r="B195" s="10" t="inlineStr">
        <is>
          <t>Simulazione nel tempo (3D e grafici)</t>
        </is>
      </c>
      <c r="C195"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5"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5" s="10" t="inlineStr">
        <is>
          <t>UNI EN 81-20:2020, 5.8.2.1.1.1–5.8.2.1.1.2 (urto al 115 %; corsa piena con un carico statico tra 2,5 e 4 volte: il software prende 4), 5.8.2.1.2.2 (90 %), 5.8.2.2.1 e 5.8.2.2.3 a)</t>
        </is>
      </c>
      <c r="F195" s="10" t="inlineStr">
        <is>
          <t>UNI EN 81-20:2020, testo della norma, letto il 2026-10-06, pp. 98–99</t>
        </is>
      </c>
      <c r="G195" s="10" t="inlineStr">
        <is>
          <t>scelta del software</t>
        </is>
      </c>
      <c r="H195" s="10" t="inlineStr">
        <is>
          <t>—</t>
        </is>
      </c>
      <c r="I195" s="11" t="n"/>
      <c r="J195" s="11" t="n"/>
      <c r="K195" s="11" t="n"/>
      <c r="L195" s="11" t="n"/>
      <c r="M195" s="11" t="n"/>
      <c r="N195" s="11" t="n"/>
    </row>
    <row r="196" ht="82" customHeight="1">
      <c r="A196" s="10" t="n">
        <v>194</v>
      </c>
      <c r="B196" s="10" t="inlineStr">
        <is>
          <t>Simulazione nel tempo (3D e grafici)</t>
        </is>
      </c>
      <c r="C196" s="10" t="inlineStr">
        <is>
          <t>Cabina bloccata: rotazione in salita — La simulazione mostra il contrappeso sugli ammortizzatori con la cabina in alto; la norma chiede anche la cabina vuota in basso, che il calcolo verifica (tr_stall).</t>
        </is>
      </c>
      <c r="D196" s="10" t="inlineStr">
        <is>
          <t>la macchina gira in salita a 0,3 m/s finché il contrappeso poggia sui suoi ammortizzatori; poi le funi devono slittare (T1/T2 ≥ e^(f·α), μ della cabina bloccata)</t>
        </is>
      </c>
      <c r="E196" s="10" t="inlineStr">
        <is>
          <t>UNI EN 81-50:2020, 5.11.2.2.3</t>
        </is>
      </c>
      <c r="F196" s="10" t="inlineStr">
        <is>
          <t>motore di calcolo; velocità scelta dal software</t>
        </is>
      </c>
      <c r="G196" s="10" t="inlineStr">
        <is>
          <t>scelta del software</t>
        </is>
      </c>
      <c r="H196" s="10" t="inlineStr">
        <is>
          <t>—</t>
        </is>
      </c>
      <c r="I196" s="11" t="n"/>
      <c r="J196" s="11" t="n"/>
      <c r="K196" s="11" t="n"/>
      <c r="L196" s="11" t="n"/>
      <c r="M196" s="11" t="n"/>
      <c r="N196" s="11" t="n"/>
    </row>
    <row r="197" ht="43" customHeight="1">
      <c r="A197" s="10" t="n">
        <v>195</v>
      </c>
      <c r="B197" s="10" t="inlineStr">
        <is>
          <t>Simulazione nel tempo (3D e grafici)</t>
        </is>
      </c>
      <c r="C197" s="10" t="inlineStr">
        <is>
          <t>Passo di campionamento</t>
        </is>
      </c>
      <c r="D197" s="10" t="inlineStr">
        <is>
          <t>0,02 s; tra due campioni i valori sono interpolati linearmente</t>
        </is>
      </c>
      <c r="E197" s="10" t="inlineStr">
        <is>
          <t>—</t>
        </is>
      </c>
      <c r="F197" s="10" t="inlineStr">
        <is>
          <t>scelta del software</t>
        </is>
      </c>
      <c r="G197" s="10" t="inlineStr">
        <is>
          <t>scelta del software</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art. 4-bis</t>
        </is>
      </c>
      <c r="D198" s="10" t="inlineStr">
        <is>
          <t>progetto, fabbricazione, installazione e prove conformi all’All. I; documentazione tecnica e dichiarazione di conformità conservate per 10 anni</t>
        </is>
      </c>
      <c r="E198" s="10" t="inlineStr">
        <is>
          <t>DPR 162/1999, art. 4-bis</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e s.m.i., artt. 6-bis e 7 c.3</t>
        </is>
      </c>
      <c r="D199" s="10" t="inlineStr">
        <is>
          <t>procedura con un organismo notificato (ascensore modello con esame UE del tipo, All. IV B, più All. V, X o XII; oppure All. VIII o XI); marcatura CE in cabina con il numero dell’organismo</t>
        </is>
      </c>
      <c r="E199" s="10" t="inlineStr">
        <is>
          <t>DPR 162/1999 e s.m.i., artt. 6-bis e 7 c.3</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adempimenti del DPR 162/1999 (impianto nuovo)</t>
        </is>
      </c>
      <c r="C200" s="10" t="inlineStr">
        <is>
          <t>DPR 162/1999 e s.m.i., art. 12 c.1–3</t>
        </is>
      </c>
      <c r="D200" s="10" t="inlineStr">
        <is>
          <t>comunicazione al Comune entro 60 giorni dalla dichiarazione di conformità (oltre: con il verbale di una verifica straordinaria di attivazione); matricola entro 30 giorni</t>
        </is>
      </c>
      <c r="E200" s="10" t="inlineStr">
        <is>
          <t>DPR 162/1999 e s.m.i., art. 12 c.1–3</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artt. 13, 15 c.4 e 16 c.3</t>
        </is>
      </c>
      <c r="D201" s="10" t="inlineStr">
        <is>
          <t>verifiche periodiche ogni 2 anni; controllo dei dispositivi di sicurezza, delle funi e dell’isolamento almeno ogni 6 mesi; targa in cabina</t>
        </is>
      </c>
      <c r="E201" s="10" t="inlineStr">
        <is>
          <t>DPR 162/1999, artt. 13, 15 c.4 e 16 c.3</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2 c.1 lett. cc)</t>
        </is>
      </c>
      <c r="D202" s="10" t="inlineStr">
        <is>
          <t>la modifica è costruttiva: la sostituzione del macchinario ne è il caso n. 5)</t>
        </is>
      </c>
      <c r="E202" s="10" t="inlineStr">
        <is>
          <t>DPR 162/1999, art. 2 c.1 lett. cc)</t>
        </is>
      </c>
      <c r="F202" s="10" t="inlineStr">
        <is>
          <t>ricerca, cap. 16 (testi ufficiali e schede UNI, 2026-10-02)</t>
        </is>
      </c>
      <c r="G202" s="10" t="inlineStr">
        <is>
          <t>confermato</t>
        </is>
      </c>
      <c r="H202" s="10" t="inlineStr">
        <is>
          <t>—</t>
        </is>
      </c>
      <c r="I202" s="11" t="n"/>
      <c r="J202" s="11" t="n"/>
      <c r="K202" s="11" t="n"/>
      <c r="L202" s="11" t="n"/>
      <c r="M202" s="11" t="n"/>
      <c r="N202" s="11" t="n"/>
    </row>
    <row r="203" ht="43" customHeight="1">
      <c r="A203" s="10" t="n">
        <v>201</v>
      </c>
      <c r="B203" s="10" t="inlineStr">
        <is>
          <t>Collaudo: adempimenti del DPR 162/1999 (modifica)</t>
        </is>
      </c>
      <c r="C203" s="10" t="inlineStr">
        <is>
          <t>DPR 162/1999, art. 12 c.4</t>
        </is>
      </c>
      <c r="D203" s="10" t="inlineStr">
        <is>
          <t>prima della comunicazione, adeguamento della parte modificata o sostituita e delle altre parti interessate</t>
        </is>
      </c>
      <c r="E203" s="10" t="inlineStr">
        <is>
          <t>DPR 162/1999, art. 12 c.4</t>
        </is>
      </c>
      <c r="F203" s="10" t="inlineStr">
        <is>
          <t>ricerca, cap. 16 (testi ufficiali e schede UNI, 2026-10-02)</t>
        </is>
      </c>
      <c r="G203" s="10" t="inlineStr">
        <is>
          <t>confermato</t>
        </is>
      </c>
      <c r="H203" s="10" t="inlineStr">
        <is>
          <t>—</t>
        </is>
      </c>
      <c r="I203" s="11" t="n"/>
      <c r="J203" s="11" t="n"/>
      <c r="K203" s="11" t="n"/>
      <c r="L203" s="11" t="n"/>
      <c r="M203" s="11" t="n"/>
      <c r="N203" s="11" t="n"/>
    </row>
    <row r="204" ht="43" customHeight="1">
      <c r="A204" s="10" t="n">
        <v>202</v>
      </c>
      <c r="B204" s="10" t="inlineStr">
        <is>
          <t>Collaudo: adempimenti del DPR 162/1999 (modifica)</t>
        </is>
      </c>
      <c r="C204" s="10" t="inlineStr">
        <is>
          <t>DPR 162/1999, art. 12 c.4–5</t>
        </is>
      </c>
      <c r="D204" s="10" t="inlineStr">
        <is>
          <t>comunicazione al Comune e al soggetto delle verifiche periodiche; l’impianto non resta in esercizio senza le comunicazioni aggiornate</t>
        </is>
      </c>
      <c r="E204" s="10" t="inlineStr">
        <is>
          <t>DPR 162/1999, art. 12 c.4–5</t>
        </is>
      </c>
      <c r="F204" s="10" t="inlineStr">
        <is>
          <t>ricerca, cap. 16 (testi ufficiali e schede UNI, 2026-10-02)</t>
        </is>
      </c>
      <c r="G204" s="10" t="inlineStr">
        <is>
          <t>confermato</t>
        </is>
      </c>
      <c r="H204" s="10" t="inlineStr">
        <is>
          <t>—</t>
        </is>
      </c>
      <c r="I204" s="11" t="n"/>
      <c r="J204" s="11" t="n"/>
      <c r="K204" s="11" t="n"/>
      <c r="L204" s="11" t="n"/>
      <c r="M204" s="11" t="n"/>
      <c r="N204" s="11" t="n"/>
    </row>
    <row r="205" ht="69" customHeight="1">
      <c r="A205" s="10" t="n">
        <v>203</v>
      </c>
      <c r="B205" s="10" t="inlineStr">
        <is>
          <t>Collaudo: adempimenti del DPR 162/1999 (modifica)</t>
        </is>
      </c>
      <c r="C205" s="10" t="inlineStr">
        <is>
          <t>DPR 162/1999 e s.m.i., art. 14 c.3; schema ICIM SCI 162 rev. 02</t>
        </is>
      </c>
      <c r="D205" s="10" t="inlineStr">
        <is>
          <t>verifica straordinaria da uno dei soggetti dell’art. 13 c.1 (la legge); secondo lo schema ICIM è di norma limitata ai controlli sulle modifiche, con la documentazione delle modifiche e dei componenti sostituiti</t>
        </is>
      </c>
      <c r="E205" s="10" t="inlineStr">
        <is>
          <t>DPR 162/1999 e s.m.i., art. 14 c.3; schema ICIM SCI 162 rev. 02</t>
        </is>
      </c>
      <c r="F205" s="10" t="inlineStr">
        <is>
          <t>ricerca, cap. 16 (testi ufficiali e schede UNI, 2026-10-02)</t>
        </is>
      </c>
      <c r="G205" s="10" t="inlineStr">
        <is>
          <t>confermato</t>
        </is>
      </c>
      <c r="H205" s="10" t="inlineStr">
        <is>
          <t>—</t>
        </is>
      </c>
      <c r="I205" s="11" t="n"/>
      <c r="J205" s="11" t="n"/>
      <c r="K205" s="11" t="n"/>
      <c r="L205" s="11" t="n"/>
      <c r="M205" s="11" t="n"/>
      <c r="N205" s="11" t="n"/>
    </row>
    <row r="206" ht="82" customHeight="1">
      <c r="A206" s="10" t="n">
        <v>204</v>
      </c>
      <c r="B206" s="10" t="inlineStr">
        <is>
          <t>Collaudo: adempimenti del DPR 162/1999 (modifica)</t>
        </is>
      </c>
      <c r="C206" s="10" t="inlineStr">
        <is>
          <t>UNI 10411-1:2024 e UNI 10411-11:2024, 25</t>
        </is>
      </c>
      <c r="D206"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6" s="10" t="inlineStr">
        <is>
          <t>UNI 10411-1:2024 e UNI 10411-11:2024, 25</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69" customHeight="1">
      <c r="A207" s="10" t="n">
        <v>205</v>
      </c>
      <c r="B207" s="10" t="inlineStr">
        <is>
          <t>Collaudo: UNI EN 81-20:2020 e UNI EN 81-50:2020</t>
        </is>
      </c>
      <c r="C207" s="10" t="inlineStr">
        <is>
          <t>DPR 162/1999, All. V 3.3 (All. VIII 4)</t>
        </is>
      </c>
      <c r="D207" s="10" t="inlineStr">
        <is>
          <t>prove dell’organismo notificato: funzionamento a vuoto e a pieno carico, in mancanza di energia, prova statica a 1,25 volte la portata e controllo che non restino deformazioni (solo impianto nuovo o trasformazione completa)</t>
        </is>
      </c>
      <c r="E207" s="10" t="inlineStr">
        <is>
          <t>DPR 162/1999, All. V 3.3 (All. VIII 4)</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DPR 162/1999, All. VIII 3 e), g), h)</t>
        </is>
      </c>
      <c r="D208" s="10" t="inlineStr">
        <is>
          <t>documentazione tecnica con i risultati dei calcoli di progetto, le relazioni sulle prove e l’elenco delle norme armonizzate applicate, anche in parte (solo impianto nuovo o trasformazione completa)</t>
        </is>
      </c>
      <c r="E208" s="10" t="inlineStr">
        <is>
          <t>DPR 162/1999, All. VIII 3 e), g), h)</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Regolamento (UE) 2023/1230, art. 51 par. 2</t>
        </is>
      </c>
      <c r="D209" s="10" t="inlineStr">
        <is>
          <t>per gli ascensori dichiarati conformi dal 20/01/2027: requisiti dell’All. III del Regolamento macchine (tra cui 1.1.9 e 1.2.1), con una valutazione aggiuntiva per i requisiti nuovi o cambiati (solo impianto nuovo o trasformazione completa)</t>
        </is>
      </c>
      <c r="E209" s="10" t="inlineStr">
        <is>
          <t>Regolamento (UE) 2023/1230, art. 51 par. 2</t>
        </is>
      </c>
      <c r="F209" s="10" t="inlineStr">
        <is>
          <t>ricerca, cap. 16 (testi ufficiali e schede UNI, 2026-10-02)</t>
        </is>
      </c>
      <c r="G209" s="10" t="inlineStr">
        <is>
          <t>confermato</t>
        </is>
      </c>
      <c r="H209" s="10" t="inlineStr">
        <is>
          <t>—</t>
        </is>
      </c>
      <c r="I209" s="11" t="n"/>
      <c r="J209" s="11" t="n"/>
      <c r="K209" s="11" t="n"/>
      <c r="L209" s="11" t="n"/>
      <c r="M209" s="11" t="n"/>
      <c r="N209" s="11" t="n"/>
    </row>
    <row r="210" ht="82" customHeight="1">
      <c r="A210" s="10" t="n">
        <v>208</v>
      </c>
      <c r="B210" s="10" t="inlineStr">
        <is>
          <t>Collaudo: UNI EN 81-20:2020 e UNI EN 81-50:2020</t>
        </is>
      </c>
      <c r="C210" s="10" t="inlineStr">
        <is>
          <t>UNI EN 81-50:2020, 5.12.1 e 5.12.2.1</t>
        </is>
      </c>
      <c r="D210"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0" s="10" t="inlineStr">
        <is>
          <t>UNI EN 81-50:2020, 5.12.1 e 5.12.2.1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5.6.2.2.1.2</t>
        </is>
      </c>
      <c r="D211" s="10" t="inlineStr">
        <is>
          <t>tempo di risposta del limitatore di velocità: i suoi punti d’intervento distano al massimo 250 mm di corsa della fune del limitatore</t>
        </is>
      </c>
      <c r="E211" s="10" t="inlineStr">
        <is>
          <t>UNI EN 81-20:2020, 5.6.2.2.1.2</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5.8.2.1.2.1 e 5.8.2.2.3</t>
        </is>
      </c>
      <c r="D212" s="10" t="inlineStr">
        <is>
          <t>ammortizzatori (dato del fornitore): decelerazione non oltre 1 gn, sopra 2,5 gn al massimo per 0,04 s; per quelli ad accumulo non lineari anche picco non oltre 6 gn e rimbalzo non oltre 1 m/s</t>
        </is>
      </c>
      <c r="E212" s="10" t="inlineStr">
        <is>
          <t>UNI EN 81-20:2020, 5.8.2.1.2.1 e 5.8.2.2.3</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5.2.5.7.1</t>
        </is>
      </c>
      <c r="D213" s="10" t="inlineStr">
        <is>
          <t>cartello sopra o accanto allo schermo del contrappeso (5.2.5.5.1) con il gioco massimo ammesso tra contrappeso e ammortizzatore con la cabina al piano più alto, per conservare gli spazi in testata</t>
        </is>
      </c>
      <c r="E213" s="10" t="inlineStr">
        <is>
          <t>UNI EN 81-20:2020, 5.2.5.7.1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5.2.2.4</t>
        </is>
      </c>
      <c r="D214" s="10" t="inlineStr">
        <is>
          <t>fossa più profonda di 2,50 m: porta di accesso; fino a 2,50 m porta di accesso oppure scala dentro il vano (appendice F)</t>
        </is>
      </c>
      <c r="E214" s="10" t="inlineStr">
        <is>
          <t>UNI EN 81-20:2020, 5.2.2.4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5.2.1.5.1 b)</t>
        </is>
      </c>
      <c r="D215" s="10" t="inlineStr">
        <is>
          <t>in fossa un commutatore di ispezione fisso, manovrabile da non oltre 0,30 m da uno spazio di rifugio</t>
        </is>
      </c>
      <c r="E215" s="10" t="inlineStr">
        <is>
          <t>UNI EN 81-20:2020, 5.2.1.5.1 b)</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5.12.1.5.2.1 f)</t>
        </is>
      </c>
      <c r="D216" s="10" t="inlineStr">
        <is>
          <t>velocità in manovra d’ispezione non oltre 0,30 m/s quando sopra un posto in piedi sul tetto della cabina o in fossa l’altezza libera è di 2,0 m o meno (spazi di rifugio di tipo 2 o 3): da impostare nel quadro</t>
        </is>
      </c>
      <c r="E216" s="10" t="inlineStr">
        <is>
          <t>UNI EN 81-20:2020, 5.12.1.5.2.1 f)</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5.2.5.7.1 e 5.2.5.8.1</t>
        </is>
      </c>
      <c r="D217" s="10" t="inlineStr">
        <is>
          <t>uno spazio di rifugio per ogni persona, tutti dello stesso tipo e senza sovrapposizioni; cartello con il numero di persone ammesse e la postura</t>
        </is>
      </c>
      <c r="E217" s="10" t="inlineStr">
        <is>
          <t>UNI EN 81-20:2020, 5.2.5.7.1 e 5.2.5.8.1</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69" customHeight="1">
      <c r="A218" s="10" t="n">
        <v>216</v>
      </c>
      <c r="B218" s="10" t="inlineStr">
        <is>
          <t>Collaudo: UNI EN 81-20:2020 e UNI EN 81-50:2020</t>
        </is>
      </c>
      <c r="C218" s="10" t="inlineStr">
        <is>
          <t>UNI EN 81-20:2020, 5.2.1.4.1</t>
        </is>
      </c>
      <c r="D218" s="10" t="inlineStr">
        <is>
          <t>illuminazione del vano: almeno 50 lux a 1 m sopra il tetto della cabina nella sua proiezione e a 1 m sopra il fondo della fossa dove si sta, si lavora o si passa tra le zone di lavoro; almeno 20 lux altrove</t>
        </is>
      </c>
      <c r="E218" s="10" t="inlineStr">
        <is>
          <t>UNI EN 81-20:2020, 5.2.1.4.1</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56" customHeight="1">
      <c r="A219" s="10" t="n">
        <v>217</v>
      </c>
      <c r="B219" s="10" t="inlineStr">
        <is>
          <t>Collaudo: UNI EN 81-20:2020 e UNI EN 81-50:2020</t>
        </is>
      </c>
      <c r="C219" s="10" t="inlineStr">
        <is>
          <t>UNI EN 81-20:2020, 5.4.10.1 e 5.4.10.4</t>
        </is>
      </c>
      <c r="D219" s="10" t="inlineStr">
        <is>
          <t>luce in cabina almeno 100 lux sui comandi e a 1 m dal pavimento; luce di emergenza di almeno 5 lux per un’ora presso gli allarmi in cabina e sul tetto e al centro di cabina e tetto, a 1 m</t>
        </is>
      </c>
      <c r="E219" s="10" t="inlineStr">
        <is>
          <t>UNI EN 81-20:2020, 5.4.10.1 e 5.4.10.4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5.4.4</t>
        </is>
      </c>
      <c r="D220" s="10" t="inlineStr">
        <is>
          <t>materiali della cabina secondo EN 13501-1: pavimento Cfl-s2, pareti C-s2,d1, soffitto C-s2,d0</t>
        </is>
      </c>
      <c r="E220" s="10" t="inlineStr">
        <is>
          <t>UNI EN 81-20:2020, 5.4.4</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95" customHeight="1">
      <c r="A221" s="10" t="n">
        <v>219</v>
      </c>
      <c r="B221" s="10" t="inlineStr">
        <is>
          <t>Collaudo: UNI EN 81-20:2020 e UNI EN 81-50:2020</t>
        </is>
      </c>
      <c r="C221" s="10" t="inlineStr">
        <is>
          <t>UNI EN 81-20:2020, 6.3.1</t>
        </is>
      </c>
      <c r="D22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1" s="10" t="inlineStr">
        <is>
          <t>UNI EN 81-20:2020, 6.3.1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69" customHeight="1">
      <c r="A222" s="10" t="n">
        <v>220</v>
      </c>
      <c r="B222" s="10" t="inlineStr">
        <is>
          <t>Collaudo: UNI EN 81-20:2020 e UNI EN 81-50:2020</t>
        </is>
      </c>
      <c r="C222" s="10" t="inlineStr">
        <is>
          <t>UNI EN 81-20:2020, 6.3.2</t>
        </is>
      </c>
      <c r="D222" s="10" t="inlineStr">
        <is>
          <t>impianto elettrico: esame a vista, continuità dei conduttori di protezione, isolamento circuito per circuito con l’elettronica scollegata, efficacia dell’interruzione automatica in caso di guasto</t>
        </is>
      </c>
      <c r="E222" s="10" t="inlineStr">
        <is>
          <t>UNI EN 81-20:2020, 6.3.2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82" customHeight="1">
      <c r="A223" s="10" t="n">
        <v>221</v>
      </c>
      <c r="B223" s="10" t="inlineStr">
        <is>
          <t>Collaudo: UNI EN 81-20:2020 e UNI EN 81-50:2020</t>
        </is>
      </c>
      <c r="C223" s="10" t="inlineStr">
        <is>
          <t>UNI EN 81-20:2020, 6.3.3</t>
        </is>
      </c>
      <c r="D22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3" s="10" t="inlineStr">
        <is>
          <t>UNI EN 81-20:2020, 6.3.3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EN 81-20:2020 e UNI EN 81-50:2020</t>
        </is>
      </c>
      <c r="C224" s="10" t="inlineStr">
        <is>
          <t>UNI EN 81-20:2020, 6.3.4, 6.3.5 e 6.3.7</t>
        </is>
      </c>
      <c r="D22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4" s="10" t="inlineStr">
        <is>
          <t>UNI EN 81-20:2020, 6.3.4, 6.3.5 e 6.3.7</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08" customHeight="1">
      <c r="A225" s="10" t="n">
        <v>223</v>
      </c>
      <c r="B225" s="10" t="inlineStr">
        <is>
          <t>Collaudo: UNI EN 81-20:2020 e UNI EN 81-50:2020</t>
        </is>
      </c>
      <c r="C225" s="10" t="inlineStr">
        <is>
          <t>UNI EN 81-20:2020, 6.3.11, 6.3.12 e 6.3.13</t>
        </is>
      </c>
      <c r="D22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5" s="10" t="inlineStr">
        <is>
          <t>UNI EN 81-20:2020, 6.3.11, 6.3.12 e 6.3.13</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43" customHeight="1">
      <c r="A226" s="10" t="n">
        <v>224</v>
      </c>
      <c r="B226" s="10" t="inlineStr">
        <is>
          <t>Collaudo: UNI EN 81-20:2020 e UNI EN 81-50:2020</t>
        </is>
      </c>
      <c r="C226" s="10" t="inlineStr">
        <is>
          <t>UNI EN 81-20:2020, 6.3.14</t>
        </is>
      </c>
      <c r="D226" s="10" t="inlineStr">
        <is>
          <t>cabina fuori dalla zona di sbloccaggio e porta di piano tenuta aperta di 100 mm: lasciata, la porta si richiude e si blocca</t>
        </is>
      </c>
      <c r="E226" s="10" t="inlineStr">
        <is>
          <t>UNI EN 81-20:2020, 6.3.14</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43" customHeight="1">
      <c r="A227" s="10" t="n">
        <v>225</v>
      </c>
      <c r="B227" s="10" t="inlineStr">
        <is>
          <t>Collaudo: UNI EN 81-20:2020 e UNI EN 81-50:2020</t>
        </is>
      </c>
      <c r="C227" s="10" t="inlineStr">
        <is>
          <t>UNI EN 81-20:2020, C.2 e 7.3.2</t>
        </is>
      </c>
      <c r="D227" s="10" t="inlineStr">
        <is>
          <t>la sostituzione della macchina o della puleggia di frizione è una trasformazione importante: si annota nel registro dell’impianto, da aggiornare</t>
        </is>
      </c>
      <c r="E227" s="10" t="inlineStr">
        <is>
          <t>UNI EN 81-20:2020, C.2 e 7.3.2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5.3.5.3.2, 5.3.5.3.4, 5.3.6.2.2.1 b) e 5.3.15.2 b)</t>
        </is>
      </c>
      <c r="D22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8" s="10" t="inlineStr">
        <is>
          <t>UNI EN 81-20:2020, 5.3.5.3.2, 5.3.5.3.4, 5.3.6.2.2.1 b) e 5.3.15.2 b)</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21" customHeight="1">
      <c r="A229" s="10" t="n">
        <v>227</v>
      </c>
      <c r="B229" s="10" t="inlineStr">
        <is>
          <t>Collaudo: UNI EN 81-20:2020 e UNI EN 81-50:2020</t>
        </is>
      </c>
      <c r="C229" s="10" t="inlineStr">
        <is>
          <t>UNI EN 81-20:2020, 5.3.6.2.2.1 a)–d)</t>
        </is>
      </c>
      <c r="D229"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9" s="10" t="inlineStr">
        <is>
          <t>UNI EN 81-20:2020, 5.3.6.2.2.1 a)–d)</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10411-1:2024</t>
        </is>
      </c>
      <c r="C230" s="10" t="inlineStr">
        <is>
          <t>UNI 10411-1:2024, scopo</t>
        </is>
      </c>
      <c r="D230" s="10" t="inlineStr">
        <is>
          <t>impianti elettrici a frizione fuori dalla 95/16/CE e dalla 2014/33/UE; esclude le modifiche che cambiano le misure antincendio (per queste, a nostro giudizio, il DM 15/09/2005 o il Codice V.3)</t>
        </is>
      </c>
      <c r="E230" s="10" t="inlineStr">
        <is>
          <t>UNI 10411-1:2024, scopo</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34" customHeight="1">
      <c r="A231" s="10" t="n">
        <v>229</v>
      </c>
      <c r="B231" s="10" t="inlineStr">
        <is>
          <t>Collaudo: UNI 10411-1:2024</t>
        </is>
      </c>
      <c r="C231" s="10" t="inlineStr">
        <is>
          <t>UNI 10411-1:2024, 9.1–9.2</t>
        </is>
      </c>
      <c r="D231"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1" s="10" t="inlineStr">
        <is>
          <t>UNI 10411-1:2024, 9.1–9.2</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10411-1:2024</t>
        </is>
      </c>
      <c r="C232" s="10" t="inlineStr">
        <is>
          <t>UNI 10411-1:2024, 5 e App. C (5, 9 e 14)</t>
        </is>
      </c>
      <c r="D232"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2" s="10" t="inlineStr">
        <is>
          <t>UNI 10411-1:2024, 5 e App. C (5, 9 e 14)</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21" customHeight="1">
      <c r="A233" s="10" t="n">
        <v>231</v>
      </c>
      <c r="B233" s="10" t="inlineStr">
        <is>
          <t>Collaudo: UNI 10411-1:2024</t>
        </is>
      </c>
      <c r="C233" s="10" t="inlineStr">
        <is>
          <t>UNI 10411-1:2024, 14.4 a)–g)</t>
        </is>
      </c>
      <c r="D233"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3" s="10" t="inlineStr">
        <is>
          <t>UNI 10411-1:2024, 14.4 a)–g)</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56" customHeight="1">
      <c r="A234" s="10" t="n">
        <v>232</v>
      </c>
      <c r="B234" s="10" t="inlineStr">
        <is>
          <t>Collaudo: UNI 10411-11:2024</t>
        </is>
      </c>
      <c r="C234" s="10" t="inlineStr">
        <is>
          <t>UNI 10411-11:2024, scopo</t>
        </is>
      </c>
      <c r="D234" s="10" t="inlineStr">
        <is>
          <t>impianti elettrici a frizione marcati CE secondo la Direttiva; esclude le modifiche che cambiano le misure antincendio (per queste, a nostro giudizio, il DM 15/09/2005 o il Codice V.3)</t>
        </is>
      </c>
      <c r="E234" s="10" t="inlineStr">
        <is>
          <t>UNI 10411-11:2024, scopo</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08" customHeight="1">
      <c r="A235" s="10" t="n">
        <v>233</v>
      </c>
      <c r="B235" s="10" t="inlineStr">
        <is>
          <t>Collaudo: UNI 10411-11:2024</t>
        </is>
      </c>
      <c r="C235" s="10" t="inlineStr">
        <is>
          <t>UNI 10411-11:2024, 14.3 a) e App. A (14); UNI EN 81-20:2020, 5.6.6.2 e 5.6.7.3</t>
        </is>
      </c>
      <c r="D235"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5" s="10" t="inlineStr">
        <is>
          <t>UNI 10411-11:2024, 14.3 a) e App. A (14); UNI EN 81-20:2020, 5.6.6.2 e 5.6.7.3</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95" customHeight="1">
      <c r="A236" s="10" t="n">
        <v>234</v>
      </c>
      <c r="B236" s="10" t="inlineStr">
        <is>
          <t>Collaudo: UNI 10411-11:2024</t>
        </is>
      </c>
      <c r="C236" s="10" t="inlineStr">
        <is>
          <t>UNI 10411-11:2024, 5 e 9.2</t>
        </is>
      </c>
      <c r="D236"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6" s="10" t="inlineStr">
        <is>
          <t>UNI 10411-11:2024, 5 e 9.2</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14.3 b)</t>
        </is>
      </c>
      <c r="D237" s="10" t="inlineStr">
        <is>
          <t>senza UCM conforme alla 5.6.7 e con il rallentamento controllato: macchinario senza alimentazione se il freno non si apre, al più tardi all’arrivo al piano, con ripristino solo manuale</t>
        </is>
      </c>
      <c r="E237" s="10" t="inlineStr">
        <is>
          <t>UNI 10411-11:2024, 14.3 b)</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56" customHeight="1">
      <c r="A238" s="10" t="n">
        <v>236</v>
      </c>
      <c r="B238" s="10" t="inlineStr">
        <is>
          <t>Collaudo: UNI EN 81-21:2022 (ascensori nuovi in edifici esistenti)</t>
        </is>
      </c>
      <c r="C238" s="10" t="inlineStr">
        <is>
          <t>UNI EN 81-21:2022, 1</t>
        </is>
      </c>
      <c r="D238" s="10" t="inlineStr">
        <is>
          <t>ascensori nuovi in un edificio esistente, dove l’edificio non permette di rispettare tutta la UNI EN 81-20:2020; esclusi gli impianti montati prima della sua pubblicazione</t>
        </is>
      </c>
      <c r="E238" s="10" t="inlineStr">
        <is>
          <t>UNI EN 81-21:2022, 1</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EN 81-21:2022 (ascensori nuovi in edifici esistenti)</t>
        </is>
      </c>
      <c r="C239" s="10" t="inlineStr">
        <is>
          <t>UNI EN 81-21:2022, 6.2 e 7.1</t>
        </is>
      </c>
      <c r="D23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9" s="10" t="inlineStr">
        <is>
          <t>UNI EN 81-21:2022, 6.2 e 7.1</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82" customHeight="1">
      <c r="A240" s="10" t="n">
        <v>238</v>
      </c>
      <c r="B240" s="10" t="inlineStr">
        <is>
          <t>Collaudo: UNI EN 81-21:2022 (ascensori nuovi in edifici esistenti)</t>
        </is>
      </c>
      <c r="C240" s="10" t="inlineStr">
        <is>
          <t>DPR 162/1999, art. 17-bis; DM 19/03/2015; linee guida MIMIT 2022</t>
        </is>
      </c>
      <c r="D24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0" s="10" t="inlineStr">
        <is>
          <t>DPR 162/1999, art. 17-bis; DM 19/03/2015; linee guida MIMIT 2022</t>
        </is>
      </c>
      <c r="F240" s="10" t="inlineStr">
        <is>
          <t>ricerca, cap. 16 (testi ufficiali e schede UNI, 2026-10-02)</t>
        </is>
      </c>
      <c r="G240" s="10" t="inlineStr">
        <is>
          <t>confermato</t>
        </is>
      </c>
      <c r="H240" s="10" t="inlineStr">
        <is>
          <t>—</t>
        </is>
      </c>
      <c r="I240" s="11" t="n"/>
      <c r="J240" s="11" t="n"/>
      <c r="K240" s="11" t="n"/>
      <c r="L240" s="11" t="n"/>
      <c r="M240" s="11" t="n"/>
      <c r="N240" s="11" t="n"/>
    </row>
    <row r="241" ht="82" customHeight="1">
      <c r="A241" s="10" t="n">
        <v>239</v>
      </c>
      <c r="B241" s="10" t="inlineStr">
        <is>
          <t>Collaudo: UNI EN 81-28:2022 (teleallarme)</t>
        </is>
      </c>
      <c r="C241" s="10" t="inlineStr">
        <is>
          <t>UNI EN 81-20:2020, 5.12.3.1; UNI EN 81-28:2004, 4.1.3, 4.2.1 e 7</t>
        </is>
      </c>
      <c r="D24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1" s="10" t="inlineStr">
        <is>
          <t>UNI EN 81-20:2020, 5.12.3.1; UNI EN 81-28:2004, 4.1.3, 4.2.1 e 7</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56" customHeight="1">
      <c r="A242" s="10" t="n">
        <v>240</v>
      </c>
      <c r="B242" s="10" t="inlineStr">
        <is>
          <t>Collaudo: UNI EN 81-28:2022 (teleallarme)</t>
        </is>
      </c>
      <c r="C242" s="10" t="inlineStr">
        <is>
          <t>UNI EN 81-28:2022</t>
        </is>
      </c>
      <c r="D242" s="10" t="inlineStr">
        <is>
          <t>requisiti dell’edizione citata in GUUE da verificare sul testo; nelle modifiche la UNI 10411-1/-11:2024 (punto 23) ammette l’allarme nuovo secondo la EN 81-20 5.12.3.1 o la UNI EN 81-28:2022</t>
        </is>
      </c>
      <c r="E242" s="10" t="inlineStr">
        <is>
          <t>UNI EN 81-28:2022</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81-58:2022 (resistenza al fuoco delle porte di piano)</t>
        </is>
      </c>
      <c r="C243" s="10" t="inlineStr">
        <is>
          <t>UNI EN 81-58:2022; DM 15/09/2005, 3.2–3.3 e art. 1 c.2 lett. c)</t>
        </is>
      </c>
      <c r="D24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3" s="10" t="inlineStr">
        <is>
          <t>UNI EN 81-58:2022; DM 15/09/2005, 3.2–3.3 e art. 1 c.2 lett. c)</t>
        </is>
      </c>
      <c r="F243" s="10" t="inlineStr">
        <is>
          <t>ricerca, cap. 16 (testi ufficiali e schede UNI, 2026-10-02)</t>
        </is>
      </c>
      <c r="G243" s="10" t="inlineStr">
        <is>
          <t>confermato</t>
        </is>
      </c>
      <c r="H243" s="10" t="inlineStr">
        <is>
          <t>—</t>
        </is>
      </c>
      <c r="I243" s="11" t="n"/>
      <c r="J243" s="11" t="n"/>
      <c r="K243" s="11" t="n"/>
      <c r="L243" s="11" t="n"/>
      <c r="M243" s="11" t="n"/>
      <c r="N243" s="11" t="n"/>
    </row>
    <row r="244" ht="95" customHeight="1">
      <c r="A244" s="10" t="n">
        <v>242</v>
      </c>
      <c r="B244" s="10" t="inlineStr">
        <is>
          <t>Collaudo: UNI EN 81-70:2022 (accessibilità)</t>
        </is>
      </c>
      <c r="C244" s="10" t="inlineStr">
        <is>
          <t>UNI EN 81-70:2022, 5.3.1</t>
        </is>
      </c>
      <c r="D24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4" s="10" t="inlineStr">
        <is>
          <t>UNI EN 81-70:2022, 5.3.1</t>
        </is>
      </c>
      <c r="F244" s="10" t="inlineStr">
        <is>
          <t>ricerca, cap. 16 (testi ufficiali e schede UNI, 2026-10-02)</t>
        </is>
      </c>
      <c r="G244" s="10" t="inlineStr">
        <is>
          <t>da verificare</t>
        </is>
      </c>
      <c r="H244" s="10" t="inlineStr">
        <is>
          <t>—</t>
        </is>
      </c>
      <c r="I244" s="11" t="n"/>
      <c r="J244" s="11" t="n"/>
      <c r="K244" s="11" t="n"/>
      <c r="L244" s="11" t="n"/>
      <c r="M244" s="11" t="n"/>
      <c r="N244" s="11" t="n"/>
    </row>
    <row r="245" ht="95" customHeight="1">
      <c r="A245" s="10" t="n">
        <v>243</v>
      </c>
      <c r="B245" s="10" t="inlineStr">
        <is>
          <t>Collaudo: UNI EN 81-70:2022 (accessibilità)</t>
        </is>
      </c>
      <c r="C245" s="10" t="inlineStr">
        <is>
          <t>UNI EN 81-70:2022, 5.3.2 e 5.4</t>
        </is>
      </c>
      <c r="D24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5" s="10" t="inlineStr">
        <is>
          <t>UNI EN 81-70:2022, 5.3.2 e 5.4</t>
        </is>
      </c>
      <c r="F245" s="10" t="inlineStr">
        <is>
          <t>ricerca, cap. 16 (testi ufficiali e schede UNI, 2026-10-02)</t>
        </is>
      </c>
      <c r="G245" s="10" t="inlineStr">
        <is>
          <t>da verificare</t>
        </is>
      </c>
      <c r="H245" s="10" t="inlineStr">
        <is>
          <t>—</t>
        </is>
      </c>
      <c r="I245" s="11" t="n"/>
      <c r="J245" s="11" t="n"/>
      <c r="K245" s="11" t="n"/>
      <c r="L245" s="11" t="n"/>
      <c r="M245" s="11" t="n"/>
      <c r="N245" s="11" t="n"/>
    </row>
    <row r="246" ht="43" customHeight="1">
      <c r="A246" s="10" t="n">
        <v>244</v>
      </c>
      <c r="B246" s="10" t="inlineStr">
        <is>
          <t>Collaudo: UNI EN 81-70:2022 (accessibilità)</t>
        </is>
      </c>
      <c r="C246" s="10" t="inlineStr">
        <is>
          <t>UNI EN 81-70:2022, scopo</t>
        </is>
      </c>
      <c r="D246" s="10" t="inlineStr">
        <is>
          <t>si usa con la UNI EN 81-20:2020; per gli impianti esistenti vale la UNI EN 81-82</t>
        </is>
      </c>
      <c r="E246" s="10" t="inlineStr">
        <is>
          <t>UNI EN 81-70:2022, scopo</t>
        </is>
      </c>
      <c r="F246" s="10" t="inlineStr">
        <is>
          <t>ricerca, cap. 16 (testi ufficiali e schede UNI, 2026-10-02)</t>
        </is>
      </c>
      <c r="G246" s="10" t="inlineStr">
        <is>
          <t>confermato</t>
        </is>
      </c>
      <c r="H246" s="10" t="inlineStr">
        <is>
          <t>—</t>
        </is>
      </c>
      <c r="I246" s="11" t="n"/>
      <c r="J246" s="11" t="n"/>
      <c r="K246" s="11" t="n"/>
      <c r="L246" s="11" t="n"/>
      <c r="M246" s="11" t="n"/>
      <c r="N246" s="11" t="n"/>
    </row>
    <row r="247" ht="43" customHeight="1">
      <c r="A247" s="10" t="n">
        <v>245</v>
      </c>
      <c r="B247" s="10" t="inlineStr">
        <is>
          <t>Collaudo: UNI EN 81-71 (ascensori antivandalo)</t>
        </is>
      </c>
      <c r="C247" s="10" t="inlineStr">
        <is>
          <t>UNI EN 81-71</t>
        </is>
      </c>
      <c r="D247" s="10" t="inlineStr">
        <is>
          <t>categoria antivandalo da concordare con il committente; per la presunzione di conformità vale l’edizione 2005+A1:2006</t>
        </is>
      </c>
      <c r="E247" s="10" t="inlineStr">
        <is>
          <t>UNI EN 81-71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108" customHeight="1">
      <c r="A248" s="10" t="n">
        <v>246</v>
      </c>
      <c r="B248" s="10" t="inlineStr">
        <is>
          <t>Collaudo: UNI EN 81-72:2020 (ascensori antincendio)</t>
        </is>
      </c>
      <c r="C248" s="10" t="inlineStr">
        <is>
          <t>DM 15/09/2005, punto 7 (valori); Codice V.3.3.4</t>
        </is>
      </c>
      <c r="D24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8" s="10" t="inlineStr">
        <is>
          <t>DM 15/09/2005, punto 7 (valori); Codice V.3.3.4</t>
        </is>
      </c>
      <c r="F248" s="10" t="inlineStr">
        <is>
          <t>ricerca, cap. 16 (testi ufficiali e schede UNI, 2026-10-02)</t>
        </is>
      </c>
      <c r="G248" s="10" t="inlineStr">
        <is>
          <t>confermato</t>
        </is>
      </c>
      <c r="H248" s="10" t="inlineStr">
        <is>
          <t>—</t>
        </is>
      </c>
      <c r="I248" s="11" t="n"/>
      <c r="J248" s="11" t="n"/>
      <c r="K248" s="11" t="n"/>
      <c r="L248" s="11" t="n"/>
      <c r="M248" s="11" t="n"/>
      <c r="N248" s="11" t="n"/>
    </row>
    <row r="249" ht="56" customHeight="1">
      <c r="A249" s="10" t="n">
        <v>247</v>
      </c>
      <c r="B249" s="10" t="inlineStr">
        <is>
          <t>Collaudo: UNI EN 81-72:2020 (ascensori antincendio)</t>
        </is>
      </c>
      <c r="C249" s="10" t="inlineStr">
        <is>
          <t>Codice S.10, Tab. S.10-2</t>
        </is>
      </c>
      <c r="D249" s="10" t="inlineStr">
        <is>
          <t>alimentazione di sicurezza dell’ascensore antincendio: interruzione al massimo 15 s, autonomia oltre 30 min</t>
        </is>
      </c>
      <c r="E249" s="10" t="inlineStr">
        <is>
          <t>Codice S.10, Tab. S.10-2</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81-72:2020 (ascensori antincendio)</t>
        </is>
      </c>
      <c r="C250" s="10" t="inlineStr">
        <is>
          <t>UNI EN 81-72:2020</t>
        </is>
      </c>
      <c r="D250" s="10" t="inlineStr">
        <is>
          <t>requisiti propri della norma (cabina, tempi, protezione dall’acqua) da verificare sul testo</t>
        </is>
      </c>
      <c r="E250" s="10" t="inlineStr">
        <is>
          <t>UNI EN 81-72:2020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81-73:2020 (comportamento in caso d’incendio)</t>
        </is>
      </c>
      <c r="C251" s="10" t="inlineStr">
        <is>
          <t>DM 15/09/2005, punto 6; Codice V.3.3.1</t>
        </is>
      </c>
      <c r="D251" s="10" t="inlineStr">
        <is>
          <t>quando la compartimentazione lo richiede, su comando della rivelazione incendio la cabina va al piano prestabilito e lascia uscire i passeggeri; con il Codice l’ascensore «dovrebbe» essere conforme alla UNI EN 81-73</t>
        </is>
      </c>
      <c r="E251" s="10" t="inlineStr">
        <is>
          <t>DM 15/09/2005, punto 6; Codice V.3.3.1</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81-73:2020 (comportamento in caso d’incendio)</t>
        </is>
      </c>
      <c r="C252" s="10" t="inlineStr">
        <is>
          <t>UNI EN 81-73:2020</t>
        </is>
      </c>
      <c r="D252" s="10" t="inlineStr">
        <is>
          <t>segnali e comportamento della manovra da verificare sul testo; la norma serve anche da base per migliorare gli esistenti (così la UNI EN 81-73:2005 letta, punto 1)</t>
        </is>
      </c>
      <c r="E252" s="10" t="inlineStr">
        <is>
          <t>UNI EN 81-73:2020</t>
        </is>
      </c>
      <c r="F252" s="10" t="inlineStr">
        <is>
          <t>ricerca, cap. 16 (testi ufficiali e schede UNI, 2026-10-02)</t>
        </is>
      </c>
      <c r="G252" s="10" t="inlineStr">
        <is>
          <t>da verificare</t>
        </is>
      </c>
      <c r="H252" s="10" t="inlineStr">
        <is>
          <t>—</t>
        </is>
      </c>
      <c r="I252" s="11" t="n"/>
      <c r="J252" s="11" t="n"/>
      <c r="K252" s="11" t="n"/>
      <c r="L252" s="11" t="n"/>
      <c r="M252" s="11" t="n"/>
      <c r="N252" s="11" t="n"/>
    </row>
    <row r="253" ht="69" customHeight="1">
      <c r="A253" s="10" t="n">
        <v>251</v>
      </c>
      <c r="B253" s="10" t="inlineStr">
        <is>
          <t>Collaudo: UNI EN 81-76:2025 (evacuazione delle persone con disabilità)</t>
        </is>
      </c>
      <c r="C253" s="10" t="inlineStr">
        <is>
          <t>UNI EN 81-76:2025</t>
        </is>
      </c>
      <c r="D253" s="10" t="inlineStr">
        <is>
          <t>evacuazione delle persone con disabilità con l’ascensore: requisiti aggiuntivi alla EN 81-20 (manovra, alimentazione) da verificare sul testo</t>
        </is>
      </c>
      <c r="E253" s="10" t="inlineStr">
        <is>
          <t>UNI EN 81-76:2025</t>
        </is>
      </c>
      <c r="F253" s="10" t="inlineStr">
        <is>
          <t>ricerca, cap. 16 (testi ufficiali e schede UNI, 2026-10-02)</t>
        </is>
      </c>
      <c r="G253" s="10" t="inlineStr">
        <is>
          <t>da verificare</t>
        </is>
      </c>
      <c r="H253" s="10" t="inlineStr">
        <is>
          <t>—</t>
        </is>
      </c>
      <c r="I253" s="11" t="n"/>
      <c r="J253" s="11" t="n"/>
      <c r="K253" s="11" t="n"/>
      <c r="L253" s="11" t="n"/>
      <c r="M253" s="11" t="n"/>
      <c r="N253" s="11" t="n"/>
    </row>
    <row r="254" ht="56" customHeight="1">
      <c r="A254" s="10" t="n">
        <v>252</v>
      </c>
      <c r="B254" s="10" t="inlineStr">
        <is>
          <t>Collaudo: UNI EN 81-77:2022 (azioni sismiche)</t>
        </is>
      </c>
      <c r="C254" s="10" t="inlineStr">
        <is>
          <t>UNI EN 81-77:2022, 1</t>
        </is>
      </c>
      <c r="D254" s="10" t="inlineStr">
        <is>
          <t>con accelerazione di progetto a_d fino a 1 m/s² nessuna prescrizione specifica; a_d e la posizione dei rilevatori si concordano con il progettista dell’edificio</t>
        </is>
      </c>
      <c r="E254" s="10" t="inlineStr">
        <is>
          <t>UNI EN 81-77:2022, 1</t>
        </is>
      </c>
      <c r="F254" s="10" t="inlineStr">
        <is>
          <t>ricerca, cap. 16 (testi ufficiali e schede UNI, 2026-10-02)</t>
        </is>
      </c>
      <c r="G254" s="10" t="inlineStr">
        <is>
          <t>confermato</t>
        </is>
      </c>
      <c r="H254" s="10" t="inlineStr">
        <is>
          <t>—</t>
        </is>
      </c>
      <c r="I254" s="11" t="n"/>
      <c r="J254" s="11" t="n"/>
      <c r="K254" s="11" t="n"/>
      <c r="L254" s="11" t="n"/>
      <c r="M254" s="11" t="n"/>
      <c r="N254" s="11" t="n"/>
    </row>
    <row r="255" ht="95" customHeight="1">
      <c r="A255" s="10" t="n">
        <v>253</v>
      </c>
      <c r="B255" s="10" t="inlineStr">
        <is>
          <t>Collaudo: UNI EN 81-77:2022 (azioni sismiche)</t>
        </is>
      </c>
      <c r="C255" s="10" t="inlineStr">
        <is>
          <t>UNI EN 81-77:2022, 5.4–5.10, All. A, B, D</t>
        </is>
      </c>
      <c r="D25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5" s="10" t="inlineStr">
        <is>
          <t>UNI EN 81-77:2022, 5.4–5.10, All. A, B, D</t>
        </is>
      </c>
      <c r="F255" s="10" t="inlineStr">
        <is>
          <t>ricerca, cap. 16 (testi ufficiali e schede UNI, 2026-10-02)</t>
        </is>
      </c>
      <c r="G255" s="10" t="inlineStr">
        <is>
          <t>da verificare</t>
        </is>
      </c>
      <c r="H255" s="10" t="inlineStr">
        <is>
          <t>—</t>
        </is>
      </c>
      <c r="I255" s="11" t="n"/>
      <c r="J255" s="11" t="n"/>
      <c r="K255" s="11" t="n"/>
      <c r="L255" s="11" t="n"/>
      <c r="M255" s="11" t="n"/>
      <c r="N255" s="11" t="n"/>
    </row>
    <row r="256" ht="43" customHeight="1">
      <c r="A256" s="10" t="n">
        <v>254</v>
      </c>
      <c r="B256" s="10" t="inlineStr">
        <is>
          <t>Collaudo: UNI EN 81-77:2022 (azioni sismiche)</t>
        </is>
      </c>
      <c r="C256" s="10" t="inlineStr">
        <is>
          <t>UNI EN 81-77:2022, 0.3</t>
        </is>
      </c>
      <c r="D256" s="10" t="inlineStr">
        <is>
          <t>non si applica agli impianti installati prima della sua pubblicazione</t>
        </is>
      </c>
      <c r="E256" s="10" t="inlineStr">
        <is>
          <t>UNI EN 81-77:2022, 0.3</t>
        </is>
      </c>
      <c r="F256" s="10" t="inlineStr">
        <is>
          <t>ricerca, cap. 16 (testi ufficiali e schede UNI, 2026-10-02)</t>
        </is>
      </c>
      <c r="G256" s="10" t="inlineStr">
        <is>
          <t>confermato</t>
        </is>
      </c>
      <c r="H256" s="10" t="inlineStr">
        <is>
          <t>—</t>
        </is>
      </c>
      <c r="I256" s="11" t="n"/>
      <c r="J256" s="11" t="n"/>
      <c r="K256" s="11" t="n"/>
      <c r="L256" s="11" t="n"/>
      <c r="M256" s="11" t="n"/>
      <c r="N256" s="11" t="n"/>
    </row>
    <row r="257" ht="69" customHeight="1">
      <c r="A257" s="10" t="n">
        <v>255</v>
      </c>
      <c r="B257" s="10" t="inlineStr">
        <is>
          <t>Collaudo: UNI EN 81-80:2019 (miglioramento della sicurezza degli esistenti)</t>
        </is>
      </c>
      <c r="C257" s="10" t="inlineStr">
        <is>
          <t>UNI EN 81-80:2004 e 2009, 1 e appendice A</t>
        </is>
      </c>
      <c r="D257" s="10" t="inlineStr">
        <is>
          <t>analisi dei rischi dell’impianto esistente e piano di miglioramento per priorità; quali misure e in che tempi lo decide la legislazione nazionale, non la norma</t>
        </is>
      </c>
      <c r="E257" s="10" t="inlineStr">
        <is>
          <t>UNI EN 81-80:2004 e 2009, 1 e appendice A</t>
        </is>
      </c>
      <c r="F257" s="10" t="inlineStr">
        <is>
          <t>testo della norma, letto il 2026-10-06 (punti e valori con parole nostre)</t>
        </is>
      </c>
      <c r="G257" s="10" t="inlineStr">
        <is>
          <t>confermato</t>
        </is>
      </c>
      <c r="H257" s="10" t="inlineStr">
        <is>
          <t>—</t>
        </is>
      </c>
      <c r="I257" s="11" t="n"/>
      <c r="J257" s="11" t="n"/>
      <c r="K257" s="11" t="n"/>
      <c r="L257" s="11" t="n"/>
      <c r="M257" s="11" t="n"/>
      <c r="N257" s="11" t="n"/>
    </row>
    <row r="258" ht="69" customHeight="1">
      <c r="A258" s="10" t="n">
        <v>256</v>
      </c>
      <c r="B258" s="10" t="inlineStr">
        <is>
          <t>Collaudo: UNI EN 81-80:2019 (miglioramento della sicurezza degli esistenti)</t>
        </is>
      </c>
      <c r="C258" s="10" t="inlineStr">
        <is>
          <t>UNI EN 81-80:2019</t>
        </is>
      </c>
      <c r="D258" s="10" t="inlineStr">
        <is>
          <t>la stessa analisi nell’edizione in vigore, con una struttura diversa: da verificare sul testo</t>
        </is>
      </c>
      <c r="E258" s="10" t="inlineStr">
        <is>
          <t>UNI EN 81-80:2019</t>
        </is>
      </c>
      <c r="F258" s="10" t="inlineStr">
        <is>
          <t>ricerca, cap. 16 (testi ufficiali e schede UNI, 2026-10-02)</t>
        </is>
      </c>
      <c r="G258" s="10" t="inlineStr">
        <is>
          <t>da verificare</t>
        </is>
      </c>
      <c r="H258" s="10" t="inlineStr">
        <is>
          <t>—</t>
        </is>
      </c>
      <c r="I258" s="11" t="n"/>
      <c r="J258" s="11" t="n"/>
      <c r="K258" s="11" t="n"/>
      <c r="L258" s="11" t="n"/>
      <c r="M258" s="11" t="n"/>
      <c r="N258" s="11" t="n"/>
    </row>
    <row r="259" ht="56" customHeight="1">
      <c r="A259" s="10" t="n">
        <v>257</v>
      </c>
      <c r="B259" s="10" t="inlineStr">
        <is>
          <t>Collaudo: UNI EN 81-82:2026 (accessibilità degli esistenti)</t>
        </is>
      </c>
      <c r="C259" s="10" t="inlineStr">
        <is>
          <t>UNI EN 81-82:2026</t>
        </is>
      </c>
      <c r="D259" s="10" t="inlineStr">
        <is>
          <t>miglioramento dell’accessibilità di un impianto esistente secondo i requisiti della EN 81-70</t>
        </is>
      </c>
      <c r="E259" s="10" t="inlineStr">
        <is>
          <t>UNI EN 81-82:2026</t>
        </is>
      </c>
      <c r="F259" s="10" t="inlineStr">
        <is>
          <t>ricerca, cap. 16 (testi ufficiali e schede UNI, 2026-10-02)</t>
        </is>
      </c>
      <c r="G259" s="10" t="inlineStr">
        <is>
          <t>confermato</t>
        </is>
      </c>
      <c r="H259" s="10" t="inlineStr">
        <is>
          <t>—</t>
        </is>
      </c>
      <c r="I259" s="11" t="n"/>
      <c r="J259" s="11" t="n"/>
      <c r="K259" s="11" t="n"/>
      <c r="L259" s="11" t="n"/>
      <c r="M259" s="11" t="n"/>
      <c r="N259" s="11" t="n"/>
    </row>
    <row r="260" ht="56" customHeight="1">
      <c r="A260" s="10" t="n">
        <v>258</v>
      </c>
      <c r="B260" s="10" t="inlineStr">
        <is>
          <t>Collaudo: UNI EN 81-83:2026 (antivandalo degli esistenti)</t>
        </is>
      </c>
      <c r="C260" s="10" t="inlineStr">
        <is>
          <t>UNI EN 81-83:2026</t>
        </is>
      </c>
      <c r="D260" s="10" t="inlineStr">
        <is>
          <t>miglioramento della resistenza agli atti vandalici di un impianto esistente secondo la EN 81-71:2022 (voce 1.2 della Tab. A.1 della EN 81-80)</t>
        </is>
      </c>
      <c r="E260" s="10" t="inlineStr">
        <is>
          <t>UNI EN 81-83:2026</t>
        </is>
      </c>
      <c r="F260" s="10" t="inlineStr">
        <is>
          <t>ricerca, cap. 16 (testi ufficiali e schede UNI, 2026-10-02)</t>
        </is>
      </c>
      <c r="G260" s="10" t="inlineStr">
        <is>
          <t>confermato</t>
        </is>
      </c>
      <c r="H260" s="10" t="inlineStr">
        <is>
          <t>—</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piattaforma di distribuzione davanti alla porta di cabina: 1,50 × 1,50 m negli edifici nuovi, 1,40 × 1,40 m nell’adeguamento (fuori dal vano: in sito)</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t>
        </is>
      </c>
      <c r="D262" s="10" t="inlineStr">
        <is>
          <t>porte di cabina e di piano a scorrimento automatico (nell’adeguamento la porta di piano può essere a battente se ad apertura automatica); porte aperte almeno 8 s, chiusura in almeno 4 s</t>
        </is>
      </c>
      <c r="E262" s="10" t="inlineStr">
        <is>
          <t>DM 236/1989, 8.1.12</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82" customHeight="1">
      <c r="A263" s="10" t="n">
        <v>261</v>
      </c>
      <c r="B263" s="10" t="inlineStr">
        <is>
          <t>Collaudo: DM 236/1989 (barriere architettoniche)</t>
        </is>
      </c>
      <c r="C263" s="10" t="inlineStr">
        <is>
          <t>DM 236/1989, 8.1.12</t>
        </is>
      </c>
      <c r="D263" s="10" t="inlineStr">
        <is>
          <t>arresto ai piani con autolivellamento entro ± 2 cm; sosta ai piani con le porte chiuse</t>
        </is>
      </c>
      <c r="E263" s="10" t="inlineStr">
        <is>
          <t>DM 236/1989, 8.1.12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8.1.12 e 8.0.1</t>
        </is>
      </c>
      <c r="D264" s="10" t="inlineStr">
        <is>
          <t>pulsanti di cabina e di piano: il più alto tra 1,10 e 1,40 m, misurato all’asse del comando; bottoniera di cabina su una parete laterale ad almeno 0,35 m dalla porta</t>
        </is>
      </c>
      <c r="E264" s="10" t="inlineStr">
        <is>
          <t>DM 236/1989, 8.1.12 e 8.0.1</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95" customHeight="1">
      <c r="A265" s="10" t="n">
        <v>263</v>
      </c>
      <c r="B265" s="10" t="inlineStr">
        <is>
          <t>Collaudo: DM 236/1989 (barriere architettoniche)</t>
        </is>
      </c>
      <c r="C265" s="10" t="inlineStr">
        <is>
          <t>DM 236/1989, 8.1.12 e 4.1.12</t>
        </is>
      </c>
      <c r="D26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5" s="10" t="inlineStr">
        <is>
          <t>DM 236/1989, 8.1.12 e 4.1.12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3.2; L. 13/1989, art. 1 c.3 lett. d)</t>
        </is>
      </c>
      <c r="D266" s="10" t="inlineStr">
        <is>
          <t>ascensore obbligatorio oltre il terzo livello (contati interrati e porticati); negli immobili con più di tre livelli fuori terra un ascensore per ogni scala principale</t>
        </is>
      </c>
      <c r="E266" s="10" t="inlineStr">
        <is>
          <t>DM 236/1989, 3.2; L. 13/1989, art. 1 c.3 lett. d)</t>
        </is>
      </c>
      <c r="F266" s="10" t="inlineStr">
        <is>
          <t>testo ufficiale del DM 236/1989; L. 13/1989: ricerca, cap. 16</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7.5; DPR 503/1996, art. 19</t>
        </is>
      </c>
      <c r="D267" s="10" t="inlineStr">
        <is>
          <t>nelle ristrutturazioni deroghe per impossibilità tecnica strutturale o impiantistica (privati: concesse dal Sindaco); edifici vincolati: deroga se le opere pregiudicano il bene</t>
        </is>
      </c>
      <c r="E267" s="10" t="inlineStr">
        <is>
          <t>DM 236/1989, 7.5; DPR 503/1996, art. 19</t>
        </is>
      </c>
      <c r="F267" s="10" t="inlineStr">
        <is>
          <t>testo ufficiale del DM 236/1989; DPR 503/1996: ricerca, cap. 16</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3/8/2015, art. 5 c.1-bis lett. e)</t>
        </is>
      </c>
      <c r="D268" s="10" t="inlineStr">
        <is>
          <t>il progettista applica il DM 15/09/2005 oppure la RTV V.3 del Codice: dove si usa il Codice il DM 2005 non si applica</t>
        </is>
      </c>
      <c r="E268" s="10" t="inlineStr">
        <is>
          <t>DM 3/8/2015, art. 5 c.1-bis lett. e)</t>
        </is>
      </c>
      <c r="F268" s="10" t="inlineStr">
        <is>
          <t>ricerca, cap. 16 (testi ufficiali e schede UNI, 2026-10-02)</t>
        </is>
      </c>
      <c r="G268" s="10" t="inlineStr">
        <is>
          <t>confermato</t>
        </is>
      </c>
      <c r="H268" s="10" t="inlineStr">
        <is>
          <t>—</t>
        </is>
      </c>
      <c r="I268" s="11" t="n"/>
      <c r="J268" s="11" t="n"/>
      <c r="K268" s="11" t="n"/>
      <c r="L268" s="11" t="n"/>
      <c r="M268" s="11" t="n"/>
      <c r="N268" s="11" t="n"/>
    </row>
    <row r="269" ht="95" customHeight="1">
      <c r="A269" s="10" t="n">
        <v>267</v>
      </c>
      <c r="B269" s="10" t="inlineStr">
        <is>
          <t>Collaudo: DM 15/09/2005 o Codice di prevenzione incendi, RTV V.3 (antincendio)</t>
        </is>
      </c>
      <c r="C269" s="10" t="inlineStr">
        <is>
          <t>DM 15/09/2005, art. 1 c.2</t>
        </is>
      </c>
      <c r="D26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9" s="10" t="inlineStr">
        <is>
          <t>DM 15/09/2005, art. 1 c.2</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DM 15/09/2005, 3.1–3.3; Codice V.3.2</t>
        </is>
      </c>
      <c r="D270" s="10" t="inlineStr">
        <is>
          <t>tipo di vano: aperto, protetto o a prova di fumo (Codice: classi da SA a SE)</t>
        </is>
      </c>
      <c r="E270" s="10" t="inlineStr">
        <is>
          <t>DM 15/09/2005, 3.1–3.3; Codice V.3.2</t>
        </is>
      </c>
      <c r="F270" s="10" t="inlineStr">
        <is>
          <t>ricerca, cap. 16 (testi ufficiali e schede UNI, 2026-10-02)</t>
        </is>
      </c>
      <c r="G270" s="10" t="inlineStr">
        <is>
          <t>confermato</t>
        </is>
      </c>
      <c r="H270" s="10" t="inlineStr">
        <is>
          <t>—</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15/09/2005, punto 2</t>
        </is>
      </c>
      <c r="D271" s="10" t="inlineStr">
        <is>
          <t>pareti del vano, locale macchina e pulegge, setti e arcata non combustibili; pareti, pavimento e tetto della cabina in classe di reazione al fuoco non oltre 1</t>
        </is>
      </c>
      <c r="E271" s="10" t="inlineStr">
        <is>
          <t>DM 15/09/2005, punto 2</t>
        </is>
      </c>
      <c r="F271" s="10" t="inlineStr">
        <is>
          <t>ricerca, cap. 16 (testi ufficiali e schede UNI, 2026-10-02)</t>
        </is>
      </c>
      <c r="G271" s="10" t="inlineStr">
        <is>
          <t>confermato</t>
        </is>
      </c>
      <c r="H271" s="10" t="inlineStr">
        <is>
          <t>—</t>
        </is>
      </c>
      <c r="I271" s="11" t="n"/>
      <c r="J271" s="11" t="n"/>
      <c r="K271" s="11" t="n"/>
      <c r="L271" s="11" t="n"/>
      <c r="M271" s="11" t="n"/>
      <c r="N271" s="11" t="n"/>
    </row>
    <row r="272" ht="108" customHeight="1">
      <c r="A272" s="10" t="n">
        <v>270</v>
      </c>
      <c r="B272" s="10" t="inlineStr">
        <is>
          <t>Collaudo: DM 15/09/2005 o Codice di prevenzione incendi, RTV V.3 (antincendio)</t>
        </is>
      </c>
      <c r="C272" s="10" t="inlineStr">
        <is>
          <t>DM 15/03/2005 (tabella di confronto); UNI EN 81-20:2020, 5.4.4</t>
        </is>
      </c>
      <c r="D27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2" s="10" t="inlineStr">
        <is>
          <t>DM 15/03/2005 (tabella di confronto); UNI EN 81-20:2020, 5.4.4</t>
        </is>
      </c>
      <c r="F272" s="10" t="inlineStr">
        <is>
          <t>ricerca, cap. 16 (testi ufficiali e schede UNI, 2026-10-02)</t>
        </is>
      </c>
      <c r="G272" s="10" t="inlineStr">
        <is>
          <t>da verificare</t>
        </is>
      </c>
      <c r="H272" s="10" t="inlineStr">
        <is>
          <t>—</t>
        </is>
      </c>
      <c r="I272" s="11" t="n"/>
      <c r="J272" s="11" t="n"/>
      <c r="K272" s="11" t="n"/>
      <c r="L272" s="11" t="n"/>
      <c r="M272" s="11" t="n"/>
      <c r="N272" s="11" t="n"/>
    </row>
    <row r="273" ht="82" customHeight="1">
      <c r="A273" s="10" t="n">
        <v>271</v>
      </c>
      <c r="B273" s="10" t="inlineStr">
        <is>
          <t>Collaudo: DM 15/09/2005 o Codice di prevenzione incendi, RTV V.3 (antincendio)</t>
        </is>
      </c>
      <c r="C273" s="10" t="inlineStr">
        <is>
          <t>DM 15/09/2005, punto 5</t>
        </is>
      </c>
      <c r="D27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3" s="10" t="inlineStr">
        <is>
          <t>DM 15/09/2005, punto 5</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6; Codice V.3.3.1 c.5</t>
        </is>
      </c>
      <c r="D274" s="10" t="inlineStr">
        <is>
          <t>estintore 21A89BC vicino all’accesso al macchinario; richiamo della cabina al piano prestabilito su comando della rivelazione quando la compartimentazione lo richiede</t>
        </is>
      </c>
      <c r="E274" s="10" t="inlineStr">
        <is>
          <t>DM 15/09/2005, punto 6; Codice V.3.3.1 c.5</t>
        </is>
      </c>
      <c r="F274" s="10" t="inlineStr">
        <is>
          <t>ricerca, cap. 16 (testi ufficiali e schede UNI, 2026-10-02)</t>
        </is>
      </c>
      <c r="G274" s="10" t="inlineStr">
        <is>
          <t>confermato</t>
        </is>
      </c>
      <c r="H274" s="10" t="inlineStr">
        <is>
          <t>—</t>
        </is>
      </c>
      <c r="I274" s="11" t="n"/>
      <c r="J274" s="11" t="n"/>
      <c r="K274" s="11" t="n"/>
      <c r="L274" s="11" t="n"/>
      <c r="M274" s="11" t="n"/>
      <c r="N274" s="11" t="n"/>
    </row>
    <row r="275" ht="69" customHeight="1">
      <c r="A275" s="10" t="n">
        <v>273</v>
      </c>
      <c r="B275" s="10" t="inlineStr">
        <is>
          <t>Collaudo: DM 15/09/2005 o Codice di prevenzione incendi, RTV V.3 (antincendio)</t>
        </is>
      </c>
      <c r="C275" s="10" t="inlineStr">
        <is>
          <t>Codice S.9, Tab. S.9-3</t>
        </is>
      </c>
      <c r="D275" s="10" t="inlineStr">
        <is>
          <t>piani tra 32 e 54 m: almeno un ascensore antincendio; oltre 54 m: almeno uno di soccorso; interrati tra −10 e −15 m: antincendio; sotto −15 m: soccorso</t>
        </is>
      </c>
      <c r="E275" s="10" t="inlineStr">
        <is>
          <t>Codice S.9, Tab. S.9-3</t>
        </is>
      </c>
      <c r="F275" s="10" t="inlineStr">
        <is>
          <t>ricerca, cap. 16 (testi ufficiali e schede UNI, 2026-10-02)</t>
        </is>
      </c>
      <c r="G275" s="10" t="inlineStr">
        <is>
          <t>confermato</t>
        </is>
      </c>
      <c r="H275" s="10" t="inlineStr">
        <is>
          <t>—</t>
        </is>
      </c>
      <c r="I275" s="11" t="n"/>
      <c r="J275" s="11" t="n"/>
      <c r="K275" s="11" t="n"/>
      <c r="L275" s="11" t="n"/>
      <c r="M275" s="11" t="n"/>
      <c r="N275" s="11" t="n"/>
    </row>
    <row r="276" ht="82" customHeight="1">
      <c r="A276" s="10" t="n">
        <v>274</v>
      </c>
      <c r="B276" s="10" t="inlineStr">
        <is>
          <t>Collaudo: NTC 2018 (strutture e azioni sismiche)</t>
        </is>
      </c>
      <c r="C276" s="10" t="inlineStr">
        <is>
          <t>NTC 2018, §3.1.4</t>
        </is>
      </c>
      <c r="D276" s="10" t="inlineStr">
        <is>
          <t>carichi del macchinario valutati caso per caso sui massimi prevedibili e riportati nel progetto e nel collaudo statico</t>
        </is>
      </c>
      <c r="E276" s="10" t="inlineStr">
        <is>
          <t>NTC 2018, §3.1.4</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82" customHeight="1">
      <c r="A277" s="10" t="n">
        <v>275</v>
      </c>
      <c r="B277" s="10" t="inlineStr">
        <is>
          <t>Collaudo: NTC 2018 (strutture e azioni sismiche)</t>
        </is>
      </c>
      <c r="C277" s="10" t="inlineStr">
        <is>
          <t>NTC 2018, §8.4.1</t>
        </is>
      </c>
      <c r="D277" s="10" t="inlineStr">
        <is>
          <t>su un edificio esistente l’intervento è locale: verifica limitata alle parti interessate, senza ridurre la sicurezza preesistente</t>
        </is>
      </c>
      <c r="E277" s="10" t="inlineStr">
        <is>
          <t>NTC 2018, §8.4.1</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§11.4.1</t>
        </is>
      </c>
      <c r="D278" s="10" t="inlineStr">
        <is>
          <t>ancoranti per uso strutturale qualificati; con azioni sismiche categoria C2 per tutte le classi d’uso</t>
        </is>
      </c>
      <c r="E278" s="10" t="inlineStr">
        <is>
          <t>NTC 2018, §11.4.1</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08" customHeight="1">
      <c r="A279" s="10" t="n">
        <v>277</v>
      </c>
      <c r="B279" s="10" t="inlineStr">
        <is>
          <t>Collaudo: NTC 2018 (strutture e azioni sismiche)</t>
        </is>
      </c>
      <c r="C279" s="10" t="inlineStr">
        <is>
          <t>NTC 2018, §7.2.3–7.2.4</t>
        </is>
      </c>
      <c r="D27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9" s="10" t="inlineStr">
        <is>
          <t>NTC 2018, §7.2.3–7.2.4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Tab. 7.3.III e §7.3.6.3</t>
        </is>
      </c>
      <c r="D280" s="10" t="inlineStr">
        <is>
          <t>impianti: stabilità allo SLV per tutte le classi d’uso; nelle classi III e IV anche funzionamento allo SLO</t>
        </is>
      </c>
      <c r="E280" s="10" t="inlineStr">
        <is>
          <t>NTC 2018, Tab. 7.3.III e §7.3.6.3</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22</t>
        </is>
      </c>
      <c r="D281"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1" s="10" t="inlineStr">
        <is>
          <t>UNI 10411-1:2024, 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12.1 e 12.3</t>
        </is>
      </c>
      <c r="D282" s="10" t="inlineStr">
        <is>
          <t>meccanismi delle porte di cabina nuovi secondo la UNI EN 81-20 5.3.3.2, 5.3.3.3 e da 5.3.8 a 5.3.14; porte motorizzate anche 5.3.6.2 e 5.3.6.3</t>
        </is>
      </c>
      <c r="E282" s="10" t="inlineStr">
        <is>
          <t>UNI 10411-1:2024, 12.1 e 12.3</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34" customHeight="1">
      <c r="A283" s="10" t="n">
        <v>281</v>
      </c>
      <c r="B283" s="10" t="inlineStr">
        <is>
          <t>Collaudo: UNI 10411-1:2024, parti sostituite oltre la macchina</t>
        </is>
      </c>
      <c r="C283" s="10" t="inlineStr">
        <is>
          <t>UNI 10411-1:2024, 19 e 12.2</t>
        </is>
      </c>
      <c r="D283"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3" s="10" t="inlineStr">
        <is>
          <t>UNI 10411-1:2024, 19 e 12.2</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56" customHeight="1">
      <c r="A284" s="10" t="n">
        <v>282</v>
      </c>
      <c r="B284" s="10" t="inlineStr">
        <is>
          <t>Collaudo: UNI 10411-1:2024, parti sostituite oltre la macchina</t>
        </is>
      </c>
      <c r="C284" s="10" t="inlineStr">
        <is>
          <t>UNI 10411-1:2024, 6.2 e 22 b)</t>
        </is>
      </c>
      <c r="D284" s="10" t="inlineStr">
        <is>
          <t>arcata nuova: il contatto di allentamento delle funi, che interviene anche per una sola fune, si conserva, anche con cabina e arcata sostituite insieme</t>
        </is>
      </c>
      <c r="E284" s="10" t="inlineStr">
        <is>
          <t>UNI 10411-1:2024, 6.2 e 22 b)</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108" customHeight="1">
      <c r="A285" s="10" t="n">
        <v>283</v>
      </c>
      <c r="B285" s="10" t="inlineStr">
        <is>
          <t>Collaudo: UNI 10411-1:2024, parti sostituite oltre la macchina</t>
        </is>
      </c>
      <c r="C285" s="10" t="inlineStr">
        <is>
          <t>UNI 10411-1:2024, 11.1</t>
        </is>
      </c>
      <c r="D285"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5" s="10" t="inlineStr">
        <is>
          <t>UNI 10411-1:2024, 11.1</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69" customHeight="1">
      <c r="A286" s="10" t="n">
        <v>284</v>
      </c>
      <c r="B286" s="10" t="inlineStr">
        <is>
          <t>Collaudo: UNI 10411-1:2024, parti sostituite oltre la macchina</t>
        </is>
      </c>
      <c r="C286" s="10" t="inlineStr">
        <is>
          <t>UNI 10411-1:2024, 17</t>
        </is>
      </c>
      <c r="D286" s="10" t="inlineStr">
        <is>
          <t>funi nuove secondo la UNI EN 81-20 5.5.1 e attacchi d’estremità controllati (17.1); diametro o carico di rottura diversi da quelli documentati: verifiche della 14.1 anche con la stessa puleggia (17.2)</t>
        </is>
      </c>
      <c r="E286" s="10" t="inlineStr">
        <is>
          <t>UNI 10411-1:2024, 17</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18</t>
        </is>
      </c>
      <c r="D287" s="10" t="inlineStr">
        <is>
          <t>limitatore, tenditore, fune e contatti nuovi secondo la UNI EN 81-20 5.6.2.2.1 e 5.5.7.1, con l’intervento del paracadute entro i limiti della norma in vigore all’installazione</t>
        </is>
      </c>
      <c r="E287" s="10" t="inlineStr">
        <is>
          <t>UNI 10411-1:2024, 18</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21" customHeight="1">
      <c r="A288" s="10" t="n">
        <v>286</v>
      </c>
      <c r="B288" s="10" t="inlineStr">
        <is>
          <t>Collaudo: UNI 10411-1:2024, parti sostituite oltre la macchina</t>
        </is>
      </c>
      <c r="C288" s="10" t="inlineStr">
        <is>
          <t>UNI 10411-1:2024, 6.6, 6.7, 15.3 e 15.6</t>
        </is>
      </c>
      <c r="D288"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8" s="10" t="inlineStr">
        <is>
          <t>UNI 10411-1:2024, 6.6, 6.7, 15.3 e 15.6</t>
        </is>
      </c>
      <c r="F288" s="10" t="inlineStr">
        <is>
          <t>ricerca, cap. 16 (testi ufficiali e schede UNI, 2026-10-02)</t>
        </is>
      </c>
      <c r="G288" s="10" t="inlineStr">
        <is>
          <t>da verificare</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6.12, 15.4 e 14.4 c)–d)</t>
        </is>
      </c>
      <c r="D289"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9" s="10" t="inlineStr">
        <is>
          <t>UNI 10411-1:2024, 6.12, 15.4 e 14.4 c)–d)</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23</t>
        </is>
      </c>
      <c r="D290" s="10" t="inlineStr">
        <is>
          <t>allarme di emergenza nuovo secondo la UNI EN 81-20 5.12.3.1 (con il suo rinvio alla UNI EN 81-28:2004) oppure secondo la UNI EN 81-28:2022</t>
        </is>
      </c>
      <c r="E290" s="10" t="inlineStr">
        <is>
          <t>UNI 10411-1:2024, 23</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10411-1:2024, parti sostituite oltre la macchina</t>
        </is>
      </c>
      <c r="C291" s="10" t="inlineStr">
        <is>
          <t>UNI 10411-1:2024, 8</t>
        </is>
      </c>
      <c r="D291"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1" s="10" t="inlineStr">
        <is>
          <t>UNI 10411-1:2024, 8</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173" customHeight="1">
      <c r="A292" s="10" t="n">
        <v>290</v>
      </c>
      <c r="B292" s="10" t="inlineStr">
        <is>
          <t>Collaudo: UNI 10411-1:2024, parti sostituite oltre la macchina</t>
        </is>
      </c>
      <c r="C292" s="10" t="inlineStr">
        <is>
          <t>UNI 10411-1:2024, 13.1.1–13.2.4</t>
        </is>
      </c>
      <c r="D292"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2" s="10" t="inlineStr">
        <is>
          <t>UNI 10411-1:2024, 13.1.1–13.2.4</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108" customHeight="1">
      <c r="A293" s="10" t="n">
        <v>291</v>
      </c>
      <c r="B293" s="10" t="inlineStr">
        <is>
          <t>Collaudo: UNI 10411-11:2024, parti sostituite oltre la macchina</t>
        </is>
      </c>
      <c r="C293" s="10" t="inlineStr">
        <is>
          <t>UNI 10411-11:2024, 22</t>
        </is>
      </c>
      <c r="D293"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3" s="10" t="inlineStr">
        <is>
          <t>UNI 10411-11:2024, 22</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12.1–12.3</t>
        </is>
      </c>
      <c r="D294" s="10" t="inlineStr">
        <is>
          <t>meccanismi delle porte di cabina nuovi secondo la UNI EN 81-20 5.3.3.2, 5.3.3.3 e da 5.3.8 a 5.3.14; porte motorizzate anche 5.3.6.2 e 5.3.6.3</t>
        </is>
      </c>
      <c r="E294" s="10" t="inlineStr">
        <is>
          <t>UNI 10411-11:2024, 12.1–12.3</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69" customHeight="1">
      <c r="A295" s="10" t="n">
        <v>293</v>
      </c>
      <c r="B295" s="10" t="inlineStr">
        <is>
          <t>Collaudo: UNI 10411-11:2024, parti sostituite oltre la macchina</t>
        </is>
      </c>
      <c r="C295" s="10" t="inlineStr">
        <is>
          <t>UNI 10411-11:2024, 19</t>
        </is>
      </c>
      <c r="D295" s="10" t="inlineStr">
        <is>
          <t>porte di piano nuove come le originali, altrimenti secondo la UNI EN 81-20 5.3 (la UNI EN 81-21 5.12 se i luoghi non consentono la 5.3.2.1), con la valutazione 4.3; resistenza al fuoco non inferiore all’esistente</t>
        </is>
      </c>
      <c r="E295" s="10" t="inlineStr">
        <is>
          <t>UNI 10411-11:2024, 19</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95" customHeight="1">
      <c r="A296" s="10" t="n">
        <v>294</v>
      </c>
      <c r="B296" s="10" t="inlineStr">
        <is>
          <t>Collaudo: UNI 10411-11:2024, parti sostituite oltre la macchina</t>
        </is>
      </c>
      <c r="C296" s="10" t="inlineStr">
        <is>
          <t>UNI 10411-11:2024, 11.1</t>
        </is>
      </c>
      <c r="D296"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6" s="10" t="inlineStr">
        <is>
          <t>UNI 10411-11:2024, 11.1</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17</t>
        </is>
      </c>
      <c r="D297" s="10" t="inlineStr">
        <is>
          <t>funi nuove e attacchi d’estremità come gli originali, altrimenti verificati per l’impianto con la valutazione 4.3</t>
        </is>
      </c>
      <c r="E297" s="10" t="inlineStr">
        <is>
          <t>UNI 10411-11:2024, 17</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parti sostituite oltre la macchina</t>
        </is>
      </c>
      <c r="C298" s="10" t="inlineStr">
        <is>
          <t>UNI 10411-11:2024, 18</t>
        </is>
      </c>
      <c r="D298" s="10" t="inlineStr">
        <is>
          <t>limitatore, tenditore, fune e contatti come gli originali, altrimenti verificati per l’impianto con la valutazione 4.3</t>
        </is>
      </c>
      <c r="E298" s="10" t="inlineStr">
        <is>
          <t>UNI 10411-11:2024, 18</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6.6 e 6.7</t>
        </is>
      </c>
      <c r="D299" s="10" t="inlineStr">
        <is>
          <t>paracadute nuovo (di cabina o del contrappeso) verificato per l’impianto, con il suo sistema di azionamento e il limitatore; altrimenti come l’originale; valutazione 4.3</t>
        </is>
      </c>
      <c r="E299" s="10" t="inlineStr">
        <is>
          <t>UNI 10411-11:2024, 6.6 e 6.7</t>
        </is>
      </c>
      <c r="F299" s="10" t="inlineStr">
        <is>
          <t>ricerca, cap. 16 (testi ufficiali e schede UNI, 2026-10-02)</t>
        </is>
      </c>
      <c r="G299" s="10" t="inlineStr">
        <is>
          <t>da verificare</t>
        </is>
      </c>
      <c r="H299" s="10" t="inlineStr">
        <is>
          <t>—</t>
        </is>
      </c>
      <c r="I299" s="11" t="n"/>
      <c r="J299" s="11" t="n"/>
      <c r="K299" s="11" t="n"/>
      <c r="L299" s="11" t="n"/>
      <c r="M299" s="11" t="n"/>
      <c r="N299" s="11" t="n"/>
    </row>
    <row r="300" ht="95" customHeight="1">
      <c r="A300" s="10" t="n">
        <v>298</v>
      </c>
      <c r="B300" s="10" t="inlineStr">
        <is>
          <t>Collaudo: UNI 10411-11:2024, parti sostituite oltre la macchina</t>
        </is>
      </c>
      <c r="C300" s="10" t="inlineStr">
        <is>
          <t>UNI 10411-11:2024, 6.10, 15 c), 15 i) e 14.3 a)</t>
        </is>
      </c>
      <c r="D300"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0" s="10" t="inlineStr">
        <is>
          <t>UNI 10411-11:2024, 6.10, 15 c), 15 i) e 14.3 a)</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23</t>
        </is>
      </c>
      <c r="D301" s="10" t="inlineStr">
        <is>
          <t>allarme di emergenza nuovo secondo la UNI EN 81-20 5.12.3.1 (con il suo rinvio alla UNI EN 81-28:2004) oppure secondo la UNI EN 81-28:2022</t>
        </is>
      </c>
      <c r="E301" s="10" t="inlineStr">
        <is>
          <t>UNI 10411-11:2024, 23</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8</t>
        </is>
      </c>
      <c r="D302" s="10" t="inlineStr">
        <is>
          <t>spazio del macchinario nuovo o modificato secondo la UNI EN 81-20 5.2.6; sulle aree di lavoro 2,10 m di altezza libera, oppure quella esistente se non si raggiunge; valutazione 4.3</t>
        </is>
      </c>
      <c r="E302" s="10" t="inlineStr">
        <is>
          <t>UNI 10411-11:2024, 8</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147" customHeight="1">
      <c r="A303" s="10" t="n">
        <v>301</v>
      </c>
      <c r="B303" s="10" t="inlineStr">
        <is>
          <t>Collaudo: UNI 10411-11:2024, parti sostituite oltre la macchina</t>
        </is>
      </c>
      <c r="C303" s="10" t="inlineStr">
        <is>
          <t>UNI 10411-11:2024, 13.1.1–13.2.4</t>
        </is>
      </c>
      <c r="D303"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3" s="10" t="inlineStr">
        <is>
          <t>UNI 10411-11:2024, 13.1.1–13.2.4</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225" customHeight="1">
      <c r="A304" s="10" t="n">
        <v>302</v>
      </c>
      <c r="B304" s="10" t="inlineStr">
        <is>
          <t>Collaudo: UNI 10411-1:2024, velocità, carichi e corsa variati</t>
        </is>
      </c>
      <c r="C304" s="10" t="inlineStr">
        <is>
          <t>UNI 10411-1:2024, 15.1–15.15</t>
        </is>
      </c>
      <c r="D304"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4" s="10" t="inlineStr">
        <is>
          <t>UNI 10411-1:2024, 15.1–15.15</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82" customHeight="1">
      <c r="A305" s="10" t="n">
        <v>303</v>
      </c>
      <c r="B305" s="10" t="inlineStr">
        <is>
          <t>Collaudo: UNI 10411-1:2024, velocità, carichi e corsa variati</t>
        </is>
      </c>
      <c r="C305" s="10" t="inlineStr">
        <is>
          <t>UNI 10411-1:2024, 15.16–15.17</t>
        </is>
      </c>
      <c r="D305" s="10" t="inlineStr">
        <is>
          <t>velocità ridotta di più del 5 % sotto l’iniziale o quella documentata con verbale: ammortizzatori secondo la UNI EN 81-20 5.8 (15.2) e paracadute fatto intervenire dal limitatore entro i limiti della normativa in vigore all’installazione (15.17)</t>
        </is>
      </c>
      <c r="E305" s="10" t="inlineStr">
        <is>
          <t>UNI 10411-1:2024, 15.16–15.17</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15.1 e 15.16</t>
        </is>
      </c>
      <c r="D306"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6" s="10" t="inlineStr">
        <is>
          <t>UNI 10411-1:2024, 15.1 e 15.16</t>
        </is>
      </c>
      <c r="F306" s="10" t="inlineStr">
        <is>
          <t>ricerca, cap. 16 (testi ufficiali e schede UNI, 2026-10-02)</t>
        </is>
      </c>
      <c r="G306" s="10" t="inlineStr">
        <is>
          <t>da verificare</t>
        </is>
      </c>
      <c r="H306" s="10" t="inlineStr">
        <is>
          <t>—</t>
        </is>
      </c>
      <c r="I306" s="11" t="n"/>
      <c r="J306" s="11" t="n"/>
      <c r="K306" s="11" t="n"/>
      <c r="L306" s="11" t="n"/>
      <c r="M306" s="11" t="n"/>
      <c r="N306" s="11" t="n"/>
    </row>
    <row r="307" ht="147" customHeight="1">
      <c r="A307" s="10" t="n">
        <v>305</v>
      </c>
      <c r="B307" s="10" t="inlineStr">
        <is>
          <t>Collaudo: UNI 10411-1:2024, velocità, carichi e corsa variati</t>
        </is>
      </c>
      <c r="C307" s="10" t="inlineStr">
        <is>
          <t>UNI 10411-1:2024, 15.1 e 15.16</t>
        </is>
      </c>
      <c r="D307"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07" s="10" t="inlineStr">
        <is>
          <t>UNI 10411-1:2024, 15.1 e 15.16</t>
        </is>
      </c>
      <c r="F307" s="10" t="inlineStr">
        <is>
          <t>ricerca, cap. 16 (testi ufficiali e schede UNI, 2026-10-02)</t>
        </is>
      </c>
      <c r="G307" s="10" t="inlineStr">
        <is>
          <t>da verificare</t>
        </is>
      </c>
      <c r="H307" s="10" t="inlineStr">
        <is>
          <t>—</t>
        </is>
      </c>
      <c r="I307" s="11" t="n"/>
      <c r="J307" s="11" t="n"/>
      <c r="K307" s="11" t="n"/>
      <c r="L307" s="11" t="n"/>
      <c r="M307" s="11" t="n"/>
      <c r="N307" s="11" t="n"/>
    </row>
    <row r="308" ht="121" customHeight="1">
      <c r="A308" s="10" t="n">
        <v>306</v>
      </c>
      <c r="B308" s="10" t="inlineStr">
        <is>
          <t>Collaudo: UNI 10411-1:2024, velocità, carichi e corsa variati</t>
        </is>
      </c>
      <c r="C308" s="10" t="inlineStr">
        <is>
          <t>UNI 10411-1:2024, 6.1, 6.3–6.12 e 6.15</t>
        </is>
      </c>
      <c r="D308"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8" s="10" t="inlineStr">
        <is>
          <t>UNI 10411-1:2024, 6.1, 6.3–6.12 e 6.15</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6.1, 6.4, 6.5, 6.8 e 6.13–6.15</t>
        </is>
      </c>
      <c r="D309"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9" s="10" t="inlineStr">
        <is>
          <t>UNI 10411-1:2024, 6.1, 6.4, 6.5, 6.8 e 6.13–6.15</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6.1</t>
        </is>
      </c>
      <c r="D310" s="10" t="inlineStr">
        <is>
          <t>T* o contrappeso diminuiti: ammortizzatori esistenti secondo la UNI EN 81-20 5.8 e paracadute progressivo, se c’è, secondo la 5.6.2</t>
        </is>
      </c>
      <c r="E310" s="10" t="inlineStr">
        <is>
          <t>UNI 10411-1:2024, 6.1</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82" customHeight="1">
      <c r="A311" s="10" t="n">
        <v>309</v>
      </c>
      <c r="B311" s="10" t="inlineStr">
        <is>
          <t>Collaudo: UNI 10411-1:2024, velocità, carichi e corsa variati</t>
        </is>
      </c>
      <c r="C311" s="10" t="inlineStr">
        <is>
          <t>UNI 10411-1:2024, 6.1</t>
        </is>
      </c>
      <c r="D311"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1" s="10" t="inlineStr">
        <is>
          <t>UNI 10411-1:2024, 6.1</t>
        </is>
      </c>
      <c r="F311" s="10" t="inlineStr">
        <is>
          <t>ricerca, cap. 16 (testi ufficiali e schede UNI, 2026-10-02)</t>
        </is>
      </c>
      <c r="G311" s="10" t="inlineStr">
        <is>
          <t>da verificare</t>
        </is>
      </c>
      <c r="H311" s="10" t="inlineStr">
        <is>
          <t>—</t>
        </is>
      </c>
      <c r="I311" s="11" t="n"/>
      <c r="J311" s="11" t="n"/>
      <c r="K311" s="11" t="n"/>
      <c r="L311" s="11" t="n"/>
      <c r="M311" s="11" t="n"/>
      <c r="N311" s="11" t="n"/>
    </row>
    <row r="312" ht="82" customHeight="1">
      <c r="A312" s="10" t="n">
        <v>310</v>
      </c>
      <c r="B312" s="10" t="inlineStr">
        <is>
          <t>Collaudo: UNI 10411-1:2024, velocità, carichi e corsa variati</t>
        </is>
      </c>
      <c r="C312" s="10" t="inlineStr">
        <is>
          <t>UNI 10411-1:2024, 6.1 e App. D</t>
        </is>
      </c>
      <c r="D312"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2" s="10" t="inlineStr">
        <is>
          <t>UNI 10411-1:2024, 6.1 e App. D</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147" customHeight="1">
      <c r="A313" s="10" t="n">
        <v>311</v>
      </c>
      <c r="B313" s="10" t="inlineStr">
        <is>
          <t>Collaudo: UNI 10411-1:2024, velocità, carichi e corsa variati</t>
        </is>
      </c>
      <c r="C313" s="10" t="inlineStr">
        <is>
          <t>UNI 10411-1:2024, 16 a)–l)</t>
        </is>
      </c>
      <c r="D313"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3" s="10" t="inlineStr">
        <is>
          <t>UNI 10411-1:2024, 16 a)–l)</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10411-1:2024, velocità, carichi e corsa variati</t>
        </is>
      </c>
      <c r="C314" s="10" t="inlineStr">
        <is>
          <t>UNI 10411-1:2024, 16</t>
        </is>
      </c>
      <c r="D314" s="10" t="inlineStr">
        <is>
          <t>⚠ corsa allungata di oltre 8 m rispetto al primo collaudo: l’intervento conta come nuova installazione; la procedura la conferma il tecnico con il soggetto che esegue la verifica</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56" customHeight="1">
      <c r="A315" s="10" t="n">
        <v>313</v>
      </c>
      <c r="B315" s="10" t="inlineStr">
        <is>
          <t>Collaudo: UNI 10411-1:2024, velocità, carichi e corsa variati</t>
        </is>
      </c>
      <c r="C315" s="10" t="inlineStr">
        <is>
          <t>UNI 10411-1:2024, 16 e 4</t>
        </is>
      </c>
      <c r="D315" s="10" t="inlineStr">
        <is>
          <t>corsa accorciata: il punto 16 tratta solo l’allungamento; la modifica (DPR 162/1999, art. 2 c.1 lett. cc) n. 3)) si valuta secondo il punto 4</t>
        </is>
      </c>
      <c r="E315" s="10" t="inlineStr">
        <is>
          <t>UNI 10411-1:2024, 16 e 4</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08" customHeight="1">
      <c r="A316" s="10" t="n">
        <v>314</v>
      </c>
      <c r="B316" s="10" t="inlineStr">
        <is>
          <t>Collaudo: UNI 10411-1:2024, velocità, carichi e corsa variati</t>
        </is>
      </c>
      <c r="C316" s="10" t="inlineStr">
        <is>
          <t>UNI 10411-1:2024, 15.1 e 15.16</t>
        </is>
      </c>
      <c r="D316"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6" s="10" t="inlineStr">
        <is>
          <t>UNI 10411-1:2024, 15.1 e 15.16</t>
        </is>
      </c>
      <c r="F316" s="10" t="inlineStr">
        <is>
          <t>ricerca, cap. 16 (testi ufficiali e schede UNI, 2026-10-02)</t>
        </is>
      </c>
      <c r="G316" s="10" t="inlineStr">
        <is>
          <t>da verificare</t>
        </is>
      </c>
      <c r="H316" s="10" t="inlineStr">
        <is>
          <t>—</t>
        </is>
      </c>
      <c r="I316" s="11" t="n"/>
      <c r="J316" s="11" t="n"/>
      <c r="K316" s="11" t="n"/>
      <c r="L316" s="11" t="n"/>
      <c r="M316" s="11" t="n"/>
      <c r="N316" s="11" t="n"/>
    </row>
    <row r="317" ht="82" customHeight="1">
      <c r="A317" s="10" t="n">
        <v>315</v>
      </c>
      <c r="B317" s="10" t="inlineStr">
        <is>
          <t>Collaudo: UNI 10411-1:2024, velocità, carichi e corsa variati</t>
        </is>
      </c>
      <c r="C317" s="10" t="inlineStr">
        <is>
          <t>UNI 10411-1:2024, 16</t>
        </is>
      </c>
      <c r="D317" s="10" t="inlineStr">
        <is>
          <t>corsa indicata come variata, ma quella del progetto coincide con la corsa del primo collaudo entro l’arrotondamento dei dati: le lettere a)–l) del punto 16 valgono solo se il tecnico accerta un allungamento (un accorciamento si valuta secondo il punto 4)</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82" customHeight="1">
      <c r="A318" s="10" t="n">
        <v>316</v>
      </c>
      <c r="B318" s="10" t="inlineStr">
        <is>
          <t>Collaudo: UNI 10411-1:2024, velocità, carichi e corsa variati</t>
        </is>
      </c>
      <c r="C318" s="10" t="inlineStr">
        <is>
          <t>UNI 10411-1:2024, 22 e 6.1</t>
        </is>
      </c>
      <c r="D318" s="10" t="inlineStr">
        <is>
          <t>cabina nuova sull’arcata esistente con i carichi del progetto uguali a quelli documentati: P va confermata come massa della cabina nuova completa (arcata, porte e operatore compresi); se cambia, i carichi si confrontano di nuovo con quelli documentati</t>
        </is>
      </c>
      <c r="E318" s="10" t="inlineStr">
        <is>
          <t>UNI 10411-1:2024, 22 e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t>
        </is>
      </c>
      <c r="D319" s="10" t="inlineStr">
        <is>
          <t>cabina e arcata nuove con i carichi del progetto uguali a quelli documentati: P va confermata come massa della cabina nuova completa (arcata, porte e operatore compresi); se cambia, i carichi si confrontano di nuovo con quelli documentati</t>
        </is>
      </c>
      <c r="E319" s="10" t="inlineStr">
        <is>
          <t>UNI 10411-1:2024, 6.1</t>
        </is>
      </c>
      <c r="F319" s="10" t="inlineStr">
        <is>
          <t>ricerca, cap. 16 (testi ufficiali e schede UNI, 2026-10-02)</t>
        </is>
      </c>
      <c r="G319" s="10" t="inlineStr">
        <is>
          <t>da verificare</t>
        </is>
      </c>
      <c r="H319" s="10" t="inlineStr">
        <is>
          <t>—</t>
        </is>
      </c>
      <c r="I319" s="11" t="n"/>
      <c r="J319" s="11" t="n"/>
      <c r="K319" s="11" t="n"/>
      <c r="L319" s="11" t="n"/>
      <c r="M319" s="11" t="n"/>
      <c r="N319" s="11" t="n"/>
    </row>
    <row r="320" ht="199" customHeight="1">
      <c r="A320" s="10" t="n">
        <v>318</v>
      </c>
      <c r="B320" s="10" t="inlineStr">
        <is>
          <t>Collaudo: UNI 10411-1:2024, velocità, carichi e corsa variati</t>
        </is>
      </c>
      <c r="C320" s="10" t="inlineStr">
        <is>
          <t>UNI 10411-1:2024, 6.1 e D.1</t>
        </is>
      </c>
      <c r="D320"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0" s="10" t="inlineStr">
        <is>
          <t>UNI 10411-1:2024, 6.1 e D.1</t>
        </is>
      </c>
      <c r="F320" s="10" t="inlineStr">
        <is>
          <t>UNI 10411-1:2024, testo della norma, letto il 2026-10-06, p. 33 (D.1); il confronto alla prova del freno: scelta del software</t>
        </is>
      </c>
      <c r="G320" s="10" t="inlineStr">
        <is>
          <t>da verificare</t>
        </is>
      </c>
      <c r="H320" s="10" t="inlineStr">
        <is>
          <t>—</t>
        </is>
      </c>
      <c r="I320" s="11" t="n"/>
      <c r="J320" s="11" t="n"/>
      <c r="K320" s="11" t="n"/>
      <c r="L320" s="11" t="n"/>
      <c r="M320" s="11" t="n"/>
      <c r="N320" s="11" t="n"/>
    </row>
    <row r="321" ht="69" customHeight="1">
      <c r="A321" s="10" t="n">
        <v>319</v>
      </c>
      <c r="B321" s="10" t="inlineStr">
        <is>
          <t>Collaudo: UNI 10411-1:2024, velocità, carichi e corsa variati</t>
        </is>
      </c>
      <c r="C321" s="10" t="inlineStr">
        <is>
          <t>UNI 10411-1:2024, 6.1 e D.1</t>
        </is>
      </c>
      <c r="D321" s="10" t="inlineStr">
        <is>
          <t>la D.1 non regge nemmeno con il C1 minimo della fascia di velocità: nessuna decelerazione misurata alla prova del freno la rispetta, e il rapporto tra i carichi va rivisto con il soggetto della verifica</t>
        </is>
      </c>
      <c r="E321" s="10" t="inlineStr">
        <is>
          <t>UNI 10411-1:2024, 6.1 e D.1</t>
        </is>
      </c>
      <c r="F321" s="10" t="inlineStr">
        <is>
          <t>UNI 10411-1:2024, testo della norma, letto il 2026-10-06, p. 33 (D.1); il confronto alla prova del freno: scelta del software</t>
        </is>
      </c>
      <c r="G321" s="10" t="inlineStr">
        <is>
          <t>da verificare</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15 a)–k) e 4.3</t>
        </is>
      </c>
      <c r="D32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2" s="10" t="inlineStr">
        <is>
          <t>UNI 10411-11:2024, 15 a)–k) e 4.3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15 i)</t>
        </is>
      </c>
      <c r="D323" s="10" t="inlineStr">
        <is>
          <t>protezione UCM secondo la UNI EN 81-20 5.6.7, salvo con una variazione della velocità entro il 5 % su un impianto dove la 5.6.7 non era applicata</t>
        </is>
      </c>
      <c r="E323" s="10" t="inlineStr">
        <is>
          <t>UNI 10411-11:2024, 15 i)</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108" customHeight="1">
      <c r="A324" s="10" t="n">
        <v>322</v>
      </c>
      <c r="B324" s="10" t="inlineStr">
        <is>
          <t>Collaudo: UNI 10411-11:2024, velocità, carichi e corsa variati</t>
        </is>
      </c>
      <c r="C324" s="10" t="inlineStr">
        <is>
          <t>UNI 10411-11:2024, 6.1–6.13</t>
        </is>
      </c>
      <c r="D32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4" s="10" t="inlineStr">
        <is>
          <t>UNI 10411-11:2024, 6.1–6.13</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56" customHeight="1">
      <c r="A325" s="10" t="n">
        <v>323</v>
      </c>
      <c r="B325" s="10" t="inlineStr">
        <is>
          <t>Collaudo: UNI 10411-11:2024, velocità, carichi e corsa variati</t>
        </is>
      </c>
      <c r="C325" s="10" t="inlineStr">
        <is>
          <t>UNI 10411-11:2024, 6.1–6.13</t>
        </is>
      </c>
      <c r="D325" s="10" t="inlineStr">
        <is>
          <t>contrappeso aumentato: i punti da 6.2 a 6.13 per i nuovi carichi, tranne l’arcata (6.9)</t>
        </is>
      </c>
      <c r="E325" s="10" t="inlineStr">
        <is>
          <t>UNI 10411-11:2024, 6.1–6.13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6.1</t>
        </is>
      </c>
      <c r="D326" s="10" t="inlineStr">
        <is>
          <t>T* o contrappeso diminuiti: ammortizzatori e, se c’è, paracadute progressivo verificati per i nuovi carichi</t>
        </is>
      </c>
      <c r="E326" s="10" t="inlineStr">
        <is>
          <t>UNI 10411-11:2024, 6.1</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82" customHeight="1">
      <c r="A327" s="10" t="n">
        <v>325</v>
      </c>
      <c r="B327" s="10" t="inlineStr">
        <is>
          <t>Collaudo: UNI 10411-11:2024, velocità, carichi e corsa variati</t>
        </is>
      </c>
      <c r="C327" s="10" t="inlineStr">
        <is>
          <t>UNI 10411-11:2024, 6.1</t>
        </is>
      </c>
      <c r="D327"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7" s="10" t="inlineStr">
        <is>
          <t>UNI 10411-11:2024, 6.1</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16 a)–i) e 4.3</t>
        </is>
      </c>
      <c r="D328"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8" s="10" t="inlineStr">
        <is>
          <t>UNI 10411-11:2024, 16 a)–i) e 4.3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16 e 4.3</t>
        </is>
      </c>
      <c r="D329" s="10" t="inlineStr">
        <is>
          <t>corsa accorciata: il punto 16 tratta solo l’allungamento; la modifica (DPR 162/1999, art. 2 c.1 lett. cc) n. 3)) si valuta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95" customHeight="1">
      <c r="A330" s="10" t="n">
        <v>328</v>
      </c>
      <c r="B330" s="10" t="inlineStr">
        <is>
          <t>Collaudo: UNI 10411-11:2024, velocità, carichi e corsa variati</t>
        </is>
      </c>
      <c r="C330" s="10" t="inlineStr">
        <is>
          <t>UNI 10411-11:2024, 15 e 4.3</t>
        </is>
      </c>
      <c r="D330"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0" s="10" t="inlineStr">
        <is>
          <t>UNI 10411-11:2024, 15 e 4.3</t>
        </is>
      </c>
      <c r="F330" s="10" t="inlineStr">
        <is>
          <t>ricerca, cap. 16 (testi ufficiali e schede UNI, 2026-10-02)</t>
        </is>
      </c>
      <c r="G330" s="10" t="inlineStr">
        <is>
          <t>da verificare</t>
        </is>
      </c>
      <c r="H330" s="10" t="inlineStr">
        <is>
          <t>—</t>
        </is>
      </c>
      <c r="I330" s="11" t="n"/>
      <c r="J330" s="11" t="n"/>
      <c r="K330" s="11" t="n"/>
      <c r="L330" s="11" t="n"/>
      <c r="M330" s="11" t="n"/>
      <c r="N330" s="11" t="n"/>
    </row>
    <row r="331" ht="82" customHeight="1">
      <c r="A331" s="10" t="n">
        <v>329</v>
      </c>
      <c r="B331" s="10" t="inlineStr">
        <is>
          <t>Collaudo: UNI 10411-11:2024, velocità, carichi e corsa variati</t>
        </is>
      </c>
      <c r="C331" s="10" t="inlineStr">
        <is>
          <t>UNI 10411-11:2024, 16 e 4.3</t>
        </is>
      </c>
      <c r="D331" s="10" t="inlineStr">
        <is>
          <t>corsa indicata come variata, ma quella del progetto coincide con la documentata entro l’arrotondamento dei dati: le lettere a)–i) del punto 16 e la valutazione 4.3 valgono solo se il tecnico accerta un allungamento (un accorciamento con la 4.3)</t>
        </is>
      </c>
      <c r="E331" s="10" t="inlineStr">
        <is>
          <t>UNI 10411-11:2024, 16 e 4.3</t>
        </is>
      </c>
      <c r="F331" s="10" t="inlineStr">
        <is>
          <t>ricerca, cap. 16 (testi ufficiali e schede UNI, 2026-10-02)</t>
        </is>
      </c>
      <c r="G331" s="10" t="inlineStr">
        <is>
          <t>da verificare</t>
        </is>
      </c>
      <c r="H331" s="10" t="inlineStr">
        <is>
          <t>—</t>
        </is>
      </c>
      <c r="I331" s="11" t="n"/>
      <c r="J331" s="11" t="n"/>
      <c r="K331" s="11" t="n"/>
      <c r="L331" s="11" t="n"/>
      <c r="M331" s="11" t="n"/>
      <c r="N331" s="11" t="n"/>
    </row>
    <row r="332" ht="82" customHeight="1">
      <c r="A332" s="10" t="n">
        <v>330</v>
      </c>
      <c r="B332" s="10" t="inlineStr">
        <is>
          <t>Collaudo: UNI 10411-11:2024, velocità, carichi e corsa variati</t>
        </is>
      </c>
      <c r="C332" s="10" t="inlineStr">
        <is>
          <t>UNI 10411-11:2024, 22 e 6.1</t>
        </is>
      </c>
      <c r="D332" s="10" t="inlineStr">
        <is>
          <t>cabina nuova sull’arcata esistente con i carichi del progetto uguali a quelli documentati: P va confermata come massa della cabina nuova completa (arcata, porte e operatore compresi); se cambia, i carichi si confrontano di nuovo con quelli documentati</t>
        </is>
      </c>
      <c r="E332" s="10" t="inlineStr">
        <is>
          <t>UNI 10411-11:2024, 22 e 6.1</t>
        </is>
      </c>
      <c r="F332" s="10" t="inlineStr">
        <is>
          <t>ricerca, cap. 16 (testi ufficiali e schede UNI, 2026-10-02)</t>
        </is>
      </c>
      <c r="G332" s="10" t="inlineStr">
        <is>
          <t>da verificare</t>
        </is>
      </c>
      <c r="H332" s="10" t="inlineStr">
        <is>
          <t>—</t>
        </is>
      </c>
      <c r="I332" s="11" t="n"/>
      <c r="J332" s="11" t="n"/>
      <c r="K332" s="11" t="n"/>
      <c r="L332" s="11" t="n"/>
      <c r="M332" s="11" t="n"/>
      <c r="N332" s="11" t="n"/>
    </row>
    <row r="333" ht="69" customHeight="1">
      <c r="A333" s="10" t="n">
        <v>331</v>
      </c>
      <c r="B333" s="10" t="inlineStr">
        <is>
          <t>Collaudo: UNI 10411-11:2024, velocità, carichi e corsa variati</t>
        </is>
      </c>
      <c r="C333" s="10" t="inlineStr">
        <is>
          <t>UNI 10411-11:2024, 6.1</t>
        </is>
      </c>
      <c r="D333" s="10" t="inlineStr">
        <is>
          <t>cabina e arcata nuove con i carichi del progetto uguali a quelli documentati: P va confermata come massa della cabina nuova completa (arcata, porte e operatore compresi); se cambia, i carichi si confrontano di nuovo con quelli documentati</t>
        </is>
      </c>
      <c r="E333" s="10" t="inlineStr">
        <is>
          <t>UNI 10411-11:2024, 6.1</t>
        </is>
      </c>
      <c r="F333" s="10" t="inlineStr">
        <is>
          <t>ricerca, cap. 16 (testi ufficiali e schede UNI, 2026-10-02)</t>
        </is>
      </c>
      <c r="G333" s="10" t="inlineStr">
        <is>
          <t>da verificare</t>
        </is>
      </c>
      <c r="H333" s="10" t="inlineStr">
        <is>
          <t>—</t>
        </is>
      </c>
      <c r="I333" s="11" t="n"/>
      <c r="J333" s="11" t="n"/>
      <c r="K333" s="11" t="n"/>
      <c r="L333" s="11" t="n"/>
      <c r="M333" s="11" t="n"/>
      <c r="N333" s="11" t="n"/>
    </row>
    <row r="334" ht="1473" customHeight="1">
      <c r="A334" s="10" t="n">
        <v>332</v>
      </c>
      <c r="B334" s="10" t="inlineStr">
        <is>
          <t>Relazione tecnica di modifica: sezioni, documenti e strutture</t>
        </is>
      </c>
      <c r="C334" s="10" t="inlineStr">
        <is>
          <t>Sezioni della relazione per le parti e i casi della modifica — i casi che portano solo punti (corsa oltre 8 m o accorciata, velocità entro i limiti, variazioni smentite dai documenti) li stampano in «Adeguamenti e adempimenti»; con la UNI 10411-11 le lettere dei punti 15 e 16 sono quelle del testo e, dove il testo non nomina il componente, la sezione cita l’intervallo del caso (6.1–6.13); le regole di decisione di modelli di terzi non sono usate</t>
        </is>
      </c>
      <c r="D334" s="10" t="inlineStr">
        <is>
          <t>una sezione entra quando una sua parte è sostituita o modificata, quando un suo caso è tra quelli che i documenti danno al calcolo, o quando il tecnico la aggiunge con un motivo; quelle portate dalla regola non si tolgono. «Quadro di manovra»: con la UNI 10411-1:2024 quadro di manovra (11.1), portata o T* oltre il prospetto 1 (6.11), velocità aumentata di oltre il 5 % sul riferimento (15.9, 15.14 e 15.15), corsa allungata (16 f)); con la UNI 10411-11:2024 quadro di manovra (11.1), T* aumentato (6.11), contrappeso aumentato (6.1–6.13), velocità cambiata (15 g) e 15 h)), corsa allungata (16 e)). «Cabina e carichi»: con la UNI 10411-1:2024 cabina (22), arcata (6.2 e 22 b)), porte di cabina: da battente a scorrevoli (13.1.1), portata o T* oltre il prospetto 1 (6.9), contrappeso oltre il prospetto 2 (6.1), T* o contrappeso diminuiti (6.1), rapporto tra i carichi appesi lato cabina e lato contrappeso cambiato (6.1), carichi indicati come variati, entro i prospetti secondo i carichi documentati (6.1), cabina nuova sull’arcata esistente, con i carichi documentati (22), cabina e arcata nuove, con i carichi documentati (6.1); con la UNI 10411-11:2024 cabina (22), arcata (6.9), porte di cabina: da battente a scorrevoli (13.1.1), T* aumentato (6.9), T* o contrappeso diminuiti (6.1), carichi indicati come variati, invariati secondo i carichi documentati (6.1), cabina nuova sull’arcata esistente, con i carichi documentati (22), cabina e arcata nuove, con i carichi documentati (6.1). «Funi di trazione»: con la UNI 10411-1:2024 funi (17), macchina (argano) (14.1), portata o T* oltre il prospetto 1 (6.8), contrappeso oltre il prospetto 2 (6.8), rapporto tra i carichi appesi lato cabina e lato contrappeso cambiato (App. D), velocità aumentata di oltre il 5 % sul riferimento (15.8), corsa allungata (16 h)); con la UNI 10411-11:2024 funi (17), macchina (argano) (14), T* aumentato (6.3), contrappeso aumentato (6.1–6.13), velocità cambiata (15 d)), corsa allungata (16 g)). «Argano»: con la UNI 10411-1:2024 macchina (argano) (14), protezioni ACOP e UCM (6.12 e 14.4 c)–d)), portata o T* oltre il prospetto 1 (6.10 e 6.12); con la UNI 10411-11:2024 macchina (argano) (14), protezioni ACOP e UCM (6.10 e 14.3 a)), T* aumentato (6.10 e 6.12), contrappeso aumentato (6.1–6.13), velocità cambiata: protezione UCM (15 i)). «Locale del macchinario» (sul percorso del locale sempre; sul progetto del vano con il locale disegnato sopra il vano): con la UNI 10411-1:2024 macchina (argano) (9.1–9.2), locale del macchinario (8); con la UNI 10411-11:2024 macchina (argano) (9.2), locale del macchinario (8). «Guide della cabina»: con la UNI 10411-1:2024 guide (4), paracadute (15.6), portata o T* oltre il prospetto 1 (6.5), contrappeso oltre il prospetto 2 (6.5), velocità aumentata di oltre il 5 % sul riferimento (15.5 e 15.6), corsa allungata (16 g)); con la UNI 10411-11:2024 guide (4.3), T* aumentato (6.5), contrappeso aumentato (6.1–6.13), velocità cambiata (15 j)), corsa allungata (16 f)). «Guide del contrappeso»: con la UNI 10411-1:2024 guide (4), contrappeso (6.13), contrappeso oltre il prospetto 2 (6.13), velocità aumentata di oltre il 5 % sul riferimento (15.7), corsa allungata (16 a)); con la UNI 10411-11:2024 guide (4.3), contrappeso (6.1), contrappeso aumentato (6.1–6.13), velocità cambiata (15 k)), corsa allungata (16 f)). «Ammortizzatori»: con la UNI 10411-1:2024 ammortizzatori (4), portata o T* oltre il prospetto 1 (6.4), contrappeso oltre il prospetto 2 (6.4), T* o contrappeso diminuiti (6.1), rapporto tra i carichi appesi lato cabina e lato contrappeso cambiato (6.1), velocità aumentata di oltre il 5 % sul riferimento (15.2), velocità ridotta di oltre il 5 % (15.2); con la UNI 10411-11:2024 ammortizzatori (4.3), T* aumentato (6.4), contrappeso aumentato (6.1–6.13), T* o contrappeso diminuiti (6.1), velocità cambiata (15 a)). «Limitatore di velocità e paracadute»: con la UNI 10411-1:2024 limitatore di velocità (18), paracadute (6.6 e 6.7), portata o T* oltre il prospetto 1 (6.6), T* o contrappeso diminuiti (6.1), velocità aumentata di oltre il 5 % sul riferimento (15.3 e 15.13), velocità ridotta di oltre il 5 % (15.17), corsa allungata (16 i)); con la UNI 10411-11:2024 limitatore di velocità (18), paracadute (6.6 e 6.7), T* aumentato (6.6), contrappeso aumentato (6.1–6.13), T* o contrappeso diminuiti (6.1), velocità cambiata (15 b) e 15 f)), corsa allungata (16 h)). «Porte di piano e di cabina»: con la UNI 10411-1:2024 porte di piano (19 e 12.2), porte di cabina (12.1 e 12.3), porte di cabina: da battente a scorrevoli (13.1.2), velocità aumentata di oltre il 5 % sul riferimento (15.10), corsa allungata (16 k)); con la UNI 10411-11:2024 porte di piano (19), porte di cabina (12.1–12.3), porte di cabina: da battente a scorrevoli (13.1.2). «Contrappeso»: con la UNI 10411-1:2024 contrappeso (6.1), contrappeso oltre il prospetto 2 (6.13), T* o contrappeso diminuiti (6.1), rapporto tra i carichi appesi lato cabina e lato contrappeso cambiato (6.1), velocità aumentata di oltre il 5 % sul riferimento (15.7), corsa allungata (16 a)); con la UNI 10411-11:2024 contrappeso (6.1), contrappeso aumentato (6.1–6.13), T* o contrappeso diminuiti (6.1). «Vano, fossa e testata» (solo sul progetto del vano): con la UNI 10411-1:2024 velocità aumentata di oltre il 5 % sul riferimento (15.11 e 15.12), corsa allungata (16 j)); con la UNI 10411-11:2024 velocità cambiata (15 e)), corsa allungata (16 i))</t>
        </is>
      </c>
      <c r="E334" s="10" t="inlineStr">
        <is>
          <t>UNI 10411-1:2024 e UNI 10411-11:2024, i punti indicati per ciascuna parte e ciascun caso</t>
        </is>
      </c>
      <c r="F334" s="10" t="inlineStr">
        <is>
          <t>lettura del software dei punti per parte e per caso del registro (UNI 10411-1:2024, testo della norma, letto il 2026-10-06, pp. 6–21; UNI 10411-11:2024, testo della norma, letto il 2026-10-06, pp. 7–14); risposte dell’esperto di norme del 2026-10-21</t>
        </is>
      </c>
      <c r="G334" s="10" t="inlineStr">
        <is>
          <t>derivazione</t>
        </is>
      </c>
      <c r="H334" s="10" t="inlineStr">
        <is>
          <t>—</t>
        </is>
      </c>
      <c r="I334" s="11" t="n"/>
      <c r="J334" s="11" t="n"/>
      <c r="K334" s="11" t="n"/>
      <c r="L334" s="11" t="n"/>
      <c r="M334" s="11" t="n"/>
      <c r="N334" s="11" t="n"/>
    </row>
    <row r="335" ht="1018" customHeight="1">
      <c r="A335" s="10" t="n">
        <v>333</v>
      </c>
      <c r="B335" s="10" t="inlineStr">
        <is>
          <t>Relazione tecnica di modifica: sezioni, documenti e strutture</t>
        </is>
      </c>
      <c r="C335" s="10" t="inlineStr">
        <is>
          <t>Documenti attesi della relazione — quale file è quale documento è una scelta del software (tipo e componente) o del tecnico; per i componenti di aziende con qualità totale vale anche il documento analogo al certificato d’esame del tipo</t>
        </is>
      </c>
      <c r="D335" s="10" t="inlineStr">
        <is>
          <t>Schema elettrico del quadro di manovra: quadro nuovo (UNI 10411-1:2024, App. C (11.1); UNI 10411-11:2024, App. A (11.1)); Dichiarazioni e certificati dei dispositivi elettrici di sicurezza del quadro: quadro nuovo (UNI 10411-1:2024, App. C (11.1); UNI 10411-11:2024, App. A (11.1)); Dati e dichiarazioni del costruttore della macchina: macchina nuova (UNI 10411-1:2024, App. C (14); UNI 10411-11:2024, App. A (14)); Relazione sulla taratura del variatore di frequenza per la velocità dichiarata: con la UNI 10411-1 macchina o quadro nuovi, con la UNI 10411-11 quadro nuovo (UNI 10411-1:2024, App. C (14) e (11.1); UNI 10411-11:2024, App. A (11.1)); Certificati delle funi di trazione: funi nuove (UNI 10411-1:2024, 17.1 e App. C (17); UNI 10411-11:2024, App. A (17)); Dichiarazione UE del limitatore di velocità: limitatore nuovo (UNI 10411-1:2024, App. C (18); UNI 10411-11:2024, App. A (18)); Certificato d’esame UE del tipo del limitatore di velocità: limitatore nuovo; con la UNI 10411-1 anche il limitatore che resta, con la velocità aumentata (UNI 10411-1:2024, 15.13, App. C (15, 18); UNI 10411-11:2024, App. A (18)); Certificato della fune del limitatore: limitatore nuovo o corsa allungata (UNI 10411-1:2024, 16 i) e 18; UNI 10411-11:2024, App. A (16 h) e 18)); Certificato d’esame UE del tipo e dichiarazione del paracadute: paracadute nuovo; con la UNI 10411-1 anche il paracadute che resta, con la portata o T* oltre il prospetto 1 o la velocità aumentata, e quello a presa progressiva con T* o contrappeso diminuiti (UNI 10411-1:2024, 6.1, 6.6, 6.7, 15.3 e App. C (6, 15); UNI 10411-11:2024, 6.6, 6.7 e App. A (6, 15 b))); Certificati d’esame UE del tipo e dichiarazioni dei dispositivi ACOP e UCM: protezioni ACOP e UCM nuove; con la UNI 10411-1 anche con la portata o T* oltre il prospetto 1 o la velocità aumentata (UNI 10411-1:2024, 6.12, 15.4 e App. C (6, 14, 15); UNI 10411-11:2024, 6.10, 15 c) e App. A (6, 14, 15)); Certificato d’esame del tipo e dichiarazione degli ammortizzatori non lineari o idraulici: sezione degli ammortizzatori nella relazione, con ammortizzatori in poliuretano o idraulici (quelli a molla: il calcolo è la sezione stessa) (UNI 10411-1:2024, App. C (6.4, 15.2); UNI 10411-11:2024, App. A (6.4, 15 a))); Certificati d’esame del tipo delle serrature di piano: porte di piano o serrature nuove (UNI 10411-1:2024, 12.2 e App. C (12, 19); UNI 10411-11:2024, App. A (12, 19)); Porte di piano resistenti al fuoco: certificato della classe: porte di piano nuove dove la porta esistente o quella nuova ha una classe di resistenza al fuoco (UNI 10411-1:2024, 19.2 e App. C (19); UNI 10411-11:2024, 19 e App. A (19)); Dichiarazione del proprietario sull’idoneità delle strutture dell’edificio: secondo la regola delle strutture (voce relazione.strutture) (UNI 10411-1:2024, 5 e App. C (5); UNI 10411-11:2024, 5 e App. A (5)); Dichiarazione di idoneità degli ancoraggi delle guide al vano: sezione delle guide di cabina o del contrappeso nella relazione (UNI 10411-1:2024, App. C (6.5, 15.5); UNI 10411-11:2024, App. A (6.5, 16 f))); Attestazione del dispositivo di allarme di emergenza (UNI EN 81-28): allarme nuovo; con la UNI 10411-1 anche con il quadro nuovo (UNI 10411-1:2024, 23 e App. C (11.1, 23); UNI 10411-11:2024, 23 e App. A (23)); Copia del libretto o dell’ultimo verbale di verifica: sempre (consigliato) (UNI 10411-1:2024, App. C (dati generali); UNI 10411-11:2024, App. A (dati generali)). Un documento è allegato quando il tecnico ne sceglie il file, o quando un solo documento atteso aperto ha il tipo e il componente di un file della relazione; altrimenti «da allegare ⚠», senza bloccare l’emissione; gli ammortizzatori a molla non chiedono un file: il loro calcolo è la sezione</t>
        </is>
      </c>
      <c r="E335" s="10" t="inlineStr">
        <is>
          <t>UNI 10411-1:2024, appendice C; UNI 10411-11:2024, appendice A</t>
        </is>
      </c>
      <c r="F335" s="10" t="inlineStr">
        <is>
          <t>UNI 10411-1:2024, testo della norma, letto il 2026-10-06, pp. 27–32; UNI 10411-11:2024, testo della norma, letto il 2026-10-06, pp. 17–21</t>
        </is>
      </c>
      <c r="G335" s="10" t="inlineStr">
        <is>
          <t>derivazione</t>
        </is>
      </c>
      <c r="H335" s="10" t="inlineStr">
        <is>
          <t>—</t>
        </is>
      </c>
      <c r="I335" s="11" t="n"/>
      <c r="J335" s="11" t="n"/>
      <c r="K335" s="11" t="n"/>
      <c r="L335" s="11" t="n"/>
      <c r="M335" s="11" t="n"/>
      <c r="N335" s="11" t="n"/>
    </row>
    <row r="336" ht="238" customHeight="1">
      <c r="A336" s="10" t="n">
        <v>334</v>
      </c>
      <c r="B336" s="10" t="inlineStr">
        <is>
          <t>Relazione tecnica di modifica: sezioni, documenti e strutture</t>
        </is>
      </c>
      <c r="C336" s="10" t="inlineStr">
        <is>
          <t>Strutture dell’edificio — se una macchina nuova aumenti o sposti le forze sulle strutture lo giudica il tecnico: la relazione gli chiede la risposta</t>
        </is>
      </c>
      <c r="D336" s="10" t="inlineStr">
        <is>
          <t>con la UNI 10411-1 la dichiarazione del proprietario sull’idoneità delle strutture è richiesta con la portata o T* oltre il prospetto 1 (6.3); con la macchina nuova, le apparecchiature del locale spostate o aggiunte o la disposizione cambiata il tecnico dice se le forze sulle strutture aumentano o si spostano in modo sfavorevole (5, 9.1, App. C (14)): sì, la dichiarazione è richiesta; no, la relazione stampa la sua dichiarazione; con il contrappeso oltre il prospetto 2 il tecnico dice se la dichiarazione è pertinente (App. C (6)); con la UNI 10411-11 una variazione dei carichi oltre il 10 %, anche sommata alle modifiche precedenti, la richiede e fino a lì il punto 5 non si applica (6.2). Senza una di queste strade la relazione dice che nessun caso richiama il punto 5: mai una dichiarazione di «nessuna variazione significativa»</t>
        </is>
      </c>
      <c r="E336" s="10" t="inlineStr">
        <is>
          <t>UNI 10411-1:2024, 5, 6.3, 9.1, App. C (5), (6) e (14); UNI 10411-11:2024, 5 e 6.2</t>
        </is>
      </c>
      <c r="F336" s="10" t="inlineStr">
        <is>
          <t>UNI 10411-1:2024, testo della norma, letto il 2026-10-06, pp. 6, 7, 9, 27 e 30; UNI 10411-11:2024, testo della norma, letto il 2026-10-06, pp. 7–8; risposte dell’esperto di norme del 2026-10-21</t>
        </is>
      </c>
      <c r="G336" s="10" t="inlineStr">
        <is>
          <t>confermato</t>
        </is>
      </c>
      <c r="H336" s="10" t="inlineStr">
        <is>
          <t>—</t>
        </is>
      </c>
      <c r="I336" s="11" t="n"/>
      <c r="J336" s="11" t="n"/>
      <c r="K336" s="11" t="n"/>
      <c r="L336" s="11" t="n"/>
      <c r="M336" s="11" t="n"/>
      <c r="N336" s="11" t="n"/>
    </row>
    <row r="337" ht="121" customHeight="1">
      <c r="A337" s="10" t="n">
        <v>335</v>
      </c>
      <c r="B337" s="10" t="inlineStr">
        <is>
          <t>Relazione tecnica di modifica: sezioni, documenti e strutture</t>
        </is>
      </c>
      <c r="C337" s="10" t="inlineStr">
        <is>
          <t>Testata e fossa con la velocità o la corsa cambiate — la tabella dell’ambito dell’esame (relazione di calcolo, progetto dell’ascensore) porta queste tre verifiche con meno parti: allinearla sposta le versioni dei motori, decisione del titolare</t>
        </is>
      </c>
      <c r="D337" s="10" t="inlineStr">
        <is>
          <t>con la velocità aumentata o cambiata e con la corsa allungata gli spazi liberi in testata e in fossa seguono la UNI EN 81-20 5.2.5.7 e 5.2.5.8 per intero: nella sezione «Vano, fossa e testata» anche la traversa dell’arcata sotto il soffitto (5.2.5.7.2), il posto in piedi sul tetto (5.2.5.7.1 e 5.2.5.7.3) e la posizione degli ammortizzatori rispetto al rifugio in fossa (5.2.5.8.1) sono verifiche richieste dalla modifica</t>
        </is>
      </c>
      <c r="E337" s="10" t="inlineStr">
        <is>
          <t>UNI 10411-1:2024, 15.11 e 16 j); UNI 10411-11:2024, 15 e) e 16 i); UNI EN 81-20:2020, 5.2.5.7 e 5.2.5.8</t>
        </is>
      </c>
      <c r="F337" s="10" t="inlineStr">
        <is>
          <t>UNI 10411-1:2024, testo della norma, letto il 2026-10-06, pp. 15–16; UNI 10411-11:2024, testo della norma, letto il 2026-10-06, pp. 12–13</t>
        </is>
      </c>
      <c r="G337" s="10" t="inlineStr">
        <is>
          <t>confermato</t>
        </is>
      </c>
      <c r="H337" s="10" t="inlineStr">
        <is>
          <t>—</t>
        </is>
      </c>
      <c r="I337" s="11" t="n"/>
      <c r="J337" s="11" t="n"/>
      <c r="K337" s="11" t="n"/>
      <c r="L337" s="11" t="n"/>
      <c r="M337" s="11" t="n"/>
      <c r="N337" s="11" t="n"/>
    </row>
    <row r="338" ht="225" customHeight="1">
      <c r="A338" s="10" t="n">
        <v>336</v>
      </c>
      <c r="B338" s="10" t="inlineStr">
        <is>
          <t>Relazione tecnica di modifica: dati dell’impianto</t>
        </is>
      </c>
      <c r="C338" s="10" t="inlineStr">
        <is>
          <t>Legge di approvazione dell’impianto — gli anni sono una stima del software: la data di un atto non è quella da cui gli impianti dovevano seguirlo; gli atti e il loro campo sono letti, il DPR 268/1994 era nominato per gli ascensori elettrici nello scopo delle edizioni della UNI 10411-1 fino a quella del 2008</t>
        </is>
      </c>
      <c r="D338" s="10" t="inlineStr">
        <is>
          <t>D.Lgt. 600/1945, UNI 10411-1: derivato con l’impianto installato dal 1945 al 1962; DPR 1497/1963, UNI 10411-1: derivato con l’impianto installato dal 1963 al 1987; DM 587/1987, UNI 10411-1: derivato con l’impianto installato dal 1988 al 1998; DPR 268/1994, UNI 10411-1: mai derivato dall’anno (non più citato nello scopo della UNI 10411-1 dal 2013); DPR 162/1999 (marcatura CE), UNI 10411-11: con la marcatura CE del calcolo; installato prima del 1945 o nel 1999 (la marcatura CE dal 01/07/1999): nessuna derivazione, lo sceglie il tecnico; il DM 1635/1979 non è offerto (ascensori a vite, a cremagliera e idraulici). Il regime derivato è stampato «derivato dall’anno, da confermare ⚠»; l’emissione chiede un regime scelto, o derivato e confermato sul libretto, ammesso dalla parte della UNI 10411 del calcolo</t>
        </is>
      </c>
      <c r="E338" s="10" t="inlineStr">
        <is>
          <t>UNI 10411-1:2024, 1, 15.17 e 18; UNI 10411-11:2024, 1; DPR 162/1999, art. 19</t>
        </is>
      </c>
      <c r="F338" s="10" t="inlineStr">
        <is>
          <t>UNI 10411-1:2024, testo della norma, letto il 2026-10-06, pp. 5, 15 e 17; UNI 10411-11:2024, testo della norma, letto il 2026-10-06, p. 5; risposte dell’esperto di norme del 2026-10-21</t>
        </is>
      </c>
      <c r="G338" s="10" t="inlineStr">
        <is>
          <t>scelta del software</t>
        </is>
      </c>
      <c r="H338" s="10" t="inlineStr">
        <is>
          <t>—</t>
        </is>
      </c>
      <c r="I338" s="11" t="n"/>
      <c r="J338" s="11" t="n"/>
      <c r="K338" s="11" t="n"/>
      <c r="L338" s="11" t="n"/>
      <c r="M338" s="11" t="n"/>
      <c r="N338" s="11" t="n"/>
    </row>
    <row r="339" ht="121" customHeight="1">
      <c r="A339" s="10" t="n">
        <v>337</v>
      </c>
      <c r="B339" s="10" t="inlineStr">
        <is>
          <t>Relazione tecnica di modifica: quadro di manovra</t>
        </is>
      </c>
      <c r="C339" s="10" t="inlineStr">
        <is>
          <t>Tensioni del quadro nuovo e dei contatti delle serrature — le tensioni sono dati del quadro con la loro fonte; senza il dato la verifica stampa «Dati mancanti ⚠» e un punto da verificare in sito; i contatti delle serrature solo con la UNI 10411-1 (con la UNI 10411-11 il punto 11.1.2 elenca le deroghe, non questa regola)</t>
        </is>
      </c>
      <c r="D339" s="10" t="inlineStr">
        <is>
          <t>con il quadro nuovo i circuiti di comando e di sicurezza non oltre 250 V (valore medio in corrente continua, efficace in alternata); tenendo la parte elettrica esistente perché compatibile e con i conduttori contrassegnati, i contatti delle serrature di piano esistenti accessibili al dito di prova non oltre 25 V in corrente alternata o 50 V in continua</t>
        </is>
      </c>
      <c r="E339" s="10" t="inlineStr">
        <is>
          <t>UNI EN 81-20:2020, 5.10.1.3.2; UNI 10411-1:2024, 11.1.2</t>
        </is>
      </c>
      <c r="F339" s="10" t="inlineStr">
        <is>
          <t>UNI EN 81-20:2020, testo della norma, letto il 2026-10-06, p. 115; UNI 10411-1:2024, testo della norma, letto il 2026-10-06, p. 10</t>
        </is>
      </c>
      <c r="G339" s="10" t="inlineStr">
        <is>
          <t>confermato</t>
        </is>
      </c>
      <c r="H339" s="10" t="inlineStr">
        <is>
          <t>quadro nuovo: tensione dei circuiti di comando e di sicurezza; quadro nuovo: tensione dei contatti delle serrature di piano esistenti</t>
        </is>
      </c>
      <c r="I339" s="11" t="n"/>
      <c r="J339" s="11" t="n"/>
      <c r="K339" s="11" t="n"/>
      <c r="L339" s="11" t="n"/>
      <c r="M339" s="11" t="n"/>
      <c r="N339" s="11" t="n"/>
    </row>
    <row r="340" ht="95" customHeight="1">
      <c r="A340" s="10" t="n">
        <v>338</v>
      </c>
      <c r="B340" s="10" t="inlineStr">
        <is>
          <t>Relazione tecnica di modifica: cabina e carichi</t>
        </is>
      </c>
      <c r="C340" s="10" t="inlineStr">
        <is>
          <t>Cabina che resta con la portata cambiata — entro il limite la riga è un’informazione, mai «Soddisfatta»: la norma non la chiede</t>
        </is>
      </c>
      <c r="D340" s="10" t="inlineStr">
        <is>
          <t>la superficie utile documentata della cabina che resta si confronta con la massima del prospetto 6 per la nuova portata (voce vano.cabina.superficie): con la portata aumentata il limite cresce; con la portata ridotta la cabina esistente può superarlo e la relazione lo segnala come attenzione, mai come esito negativo</t>
        </is>
      </c>
      <c r="E340" s="10" t="inlineStr">
        <is>
          <t>UNI EN 81-20:2020, 5.4.2.1 (prospetto 6; lettura del software: la UNI 10411 non la chiede per la cabina che resta)</t>
        </is>
      </c>
      <c r="F340" s="10" t="inlineStr">
        <is>
          <t>risposte dell’esperto di norme del 2026-10-21: la UNI 10411-1 non chiede questa verifica per la cabina che resta</t>
        </is>
      </c>
      <c r="G340" s="10" t="inlineStr">
        <is>
          <t>scelta del software</t>
        </is>
      </c>
      <c r="H340" s="10" t="inlineStr">
        <is>
          <t>cabina che resta: superficie utile per la nuova portata</t>
        </is>
      </c>
      <c r="I340" s="11" t="n"/>
      <c r="J340" s="11" t="n"/>
      <c r="K340" s="11" t="n"/>
      <c r="L340" s="11" t="n"/>
      <c r="M340" s="11" t="n"/>
      <c r="N340" s="11" t="n"/>
    </row>
    <row r="341" ht="160" customHeight="1">
      <c r="A341" s="10" t="n">
        <v>339</v>
      </c>
      <c r="B341" s="10" t="inlineStr">
        <is>
          <t>Relazione tecnica di modifica: guide</t>
        </is>
      </c>
      <c r="C341" s="10" t="inlineStr">
        <is>
          <t>Guide esistenti: acciaio e allungamento — λ sotto 20: ω di λ 20 come per l’acciaio Rm 370; λ oltre 250 non verificabile; l’allungamento non dato è preso oltre 12 % e stampato come ipotesi</t>
        </is>
      </c>
      <c r="D341" s="10" t="inlineStr">
        <is>
          <t>acciaio con Rm tra 370 e 520 N/mm² (fuori la verifica non si fa: il metodo omega non lo copre); Rm 520: ω = 0,0000824·λ^2,06 + 1,021 fino a λ 50, 0,00001895·λ^2,41 + 1,05 fino a 70, 0,00002447·λ^2,36 + 1,03 fino a 89, 0,0002533·λ^2 fino a 250; tra 370 e 520 ω si interpola linearmente tra quello di 370 (voce vano.guide.verifica) e quello di 520; Rm non dato: 370, il più basso (scelta del software); allungamento A5 da 8 a 12 %: St = 3,75 in servizio normale e 3,0 all’intervento del paracadute (oltre 12 %: 2,25 e 1,8); sotto 8 % il materiale non è ammesso</t>
        </is>
      </c>
      <c r="E341" s="10" t="inlineStr">
        <is>
          <t>UNI EN 81-50:2020, 5.10.3; UNI EN 81-20:2020, 5.7.4.5 (prospetto 15)</t>
        </is>
      </c>
      <c r="F341" s="10" t="inlineStr">
        <is>
          <t>UNI EN 81-50:2020, testo della norma, letto il 2026-10-06, p. 37; UNI EN 81-20:2020, testo della norma, letto il 2026-10-06, pp. 96–97</t>
        </is>
      </c>
      <c r="G341" s="10" t="inlineStr">
        <is>
          <t>confermato</t>
        </is>
      </c>
      <c r="H341" s="10" t="inlineStr">
        <is>
          <t>—</t>
        </is>
      </c>
      <c r="I341" s="11" t="n"/>
      <c r="J341" s="11" t="n"/>
      <c r="K341" s="11" t="n"/>
      <c r="L341" s="11" t="n"/>
      <c r="M341" s="11" t="n"/>
      <c r="N341" s="11" t="n"/>
    </row>
    <row r="342" ht="108" customHeight="1">
      <c r="A342" s="10" t="n">
        <v>340</v>
      </c>
      <c r="B342" s="10" t="inlineStr">
        <is>
          <t>Relazione tecnica di modifica: guide</t>
        </is>
      </c>
      <c r="C342" s="10" t="inlineStr">
        <is>
          <t>Punto di sospensione della cabina nelle forze sulle guide</t>
        </is>
      </c>
      <c r="D342" s="10" t="inlineStr">
        <is>
          <t>in marcia e al carico al piano le forze sulle guide si calcolano rispetto al punto di sospensione (xS, yS): non dato, sull’asse delle guide (con il centro della cabina sullo stesso asse, scelta del software stampata come ipotesi); con l’arcata a zaino il centro della cabina e il punto di sospensione vanno inseriti; all’intervento del paracadute il punto di sospensione non entra</t>
        </is>
      </c>
      <c r="E342" s="10" t="inlineStr">
        <is>
          <t>UNI EN 81-20:2020, 5.7.2.3.1; UNI EN 81-50:2020, appendice C</t>
        </is>
      </c>
      <c r="F342" s="10" t="inlineStr">
        <is>
          <t>UNI EN 81-20:2020, testo della norma, letto il 2026-10-06, p. 94; UNI EN 81-50:2020, testo della norma, letto il 2026-10-06, pp. 77–78</t>
        </is>
      </c>
      <c r="G342" s="10" t="inlineStr">
        <is>
          <t>scelta del software</t>
        </is>
      </c>
      <c r="H342" s="10" t="inlineStr">
        <is>
          <t>—</t>
        </is>
      </c>
      <c r="I342" s="11" t="n"/>
      <c r="J342" s="11" t="n"/>
      <c r="K342" s="11" t="n"/>
      <c r="L342" s="11" t="n"/>
      <c r="M342" s="11" t="n"/>
      <c r="N342" s="11" t="n"/>
    </row>
    <row r="343" ht="56" customHeight="1">
      <c r="A343" s="10" t="n">
        <v>341</v>
      </c>
      <c r="B343" s="10" t="inlineStr">
        <is>
          <t>Relazione tecnica di modifica: guide</t>
        </is>
      </c>
      <c r="C343" s="10" t="inlineStr">
        <is>
          <t>Spinta delle staffe sulle guide (Fp)</t>
        </is>
      </c>
      <c r="D343" s="10" t="inlineStr">
        <is>
          <t>la spinta delle staffe per l’assestamento dell’edificio è trascurata con la corsa fino a 40 m; oltre, la verifica è un’attenzione e Fp va dato dal progettista</t>
        </is>
      </c>
      <c r="E343" s="10" t="inlineStr">
        <is>
          <t>UNI EN 81-20:2020, 5.7.2.3.5</t>
        </is>
      </c>
      <c r="F343" s="10" t="inlineStr">
        <is>
          <t>UNI EN 81-20:2020, testo della norma, letto il 2026-10-06, pp. 94–95</t>
        </is>
      </c>
      <c r="G343" s="10" t="inlineStr">
        <is>
          <t>confermato</t>
        </is>
      </c>
      <c r="H343" s="10" t="inlineStr">
        <is>
          <t>—</t>
        </is>
      </c>
      <c r="I343" s="11" t="n"/>
      <c r="J343" s="11" t="n"/>
      <c r="K343" s="11" t="n"/>
      <c r="L343" s="11" t="n"/>
      <c r="M343" s="11" t="n"/>
      <c r="N343" s="11" t="n"/>
    </row>
    <row r="344" ht="82" customHeight="1">
      <c r="A344" s="10" t="n">
        <v>342</v>
      </c>
      <c r="B344" s="10" t="inlineStr">
        <is>
          <t>Relazione tecnica di modifica: guide</t>
        </is>
      </c>
      <c r="C344" s="10" t="inlineStr">
        <is>
          <t>Flessione della suola con pattini a strisciamento</t>
        </is>
      </c>
      <c r="D344" s="10" t="inlineStr">
        <is>
          <t>con pattini a rulli la flessione della suola si verifica (σF = 1,85·Fx/c², voce vano.guide.verifica); con pattini a strisciamento la formula chiede le misure della guarnizione del pattino, che il software non ha: la riga stampa «non calcolata» e un punto da verificare</t>
        </is>
      </c>
      <c r="E344" s="10" t="inlineStr">
        <is>
          <t>UNI EN 81-50:2020, 5.10.5</t>
        </is>
      </c>
      <c r="F344" s="10" t="inlineStr">
        <is>
          <t>UNI EN 81-50:2020, testo della norma, letto il 2026-10-06, p. 38</t>
        </is>
      </c>
      <c r="G344" s="10" t="inlineStr">
        <is>
          <t>scelta del software</t>
        </is>
      </c>
      <c r="H344" s="10" t="inlineStr">
        <is>
          <t>—</t>
        </is>
      </c>
      <c r="I344" s="11" t="n"/>
      <c r="J344" s="11" t="n"/>
      <c r="K344" s="11" t="n"/>
      <c r="L344" s="11" t="n"/>
      <c r="M344" s="11" t="n"/>
      <c r="N344" s="11" t="n"/>
    </row>
    <row r="345" ht="95" customHeight="1">
      <c r="A345" s="10" t="n">
        <v>343</v>
      </c>
      <c r="B345" s="10" t="inlineStr">
        <is>
          <t>Relazione tecnica di modifica: guide</t>
        </is>
      </c>
      <c r="C345" s="10" t="inlineStr">
        <is>
          <t>Guide del contrappeso in marcia</t>
        </is>
      </c>
      <c r="D345" s="10" t="inlineStr">
        <is>
          <t>forze sulle guide con k2 = 1,2 e la massa del contrappeso spostata dal centro del 5 % della larghezza e del 10 % della profondità; σm e σm + Fv/A non oltre Rm/St con St in servizio normale; freccia non oltre 10 mm senza paracadute del contrappeso, 5 mm con il paracadute (all’intervento: voce vano.guide.contrappeso)</t>
        </is>
      </c>
      <c r="E345" s="10" t="inlineStr">
        <is>
          <t>UNI EN 81-20:2020, 5.7.2.3.3, 5.7.4.5 e 5.7.4.6; UNI EN 81-50:2020, 5.10</t>
        </is>
      </c>
      <c r="F345" s="10" t="inlineStr">
        <is>
          <t>UNI EN 81-20:2020, testo della norma, letto il 2026-10-06, pp. 94–97</t>
        </is>
      </c>
      <c r="G345" s="10" t="inlineStr">
        <is>
          <t>confermato</t>
        </is>
      </c>
      <c r="H345" s="10" t="inlineStr">
        <is>
          <t>guide del contrappeso in marcia</t>
        </is>
      </c>
      <c r="I345" s="11" t="n"/>
      <c r="J345" s="11" t="n"/>
      <c r="K345" s="11" t="n"/>
      <c r="L345" s="11" t="n"/>
      <c r="M345" s="11" t="n"/>
      <c r="N345" s="11" t="n"/>
    </row>
    <row r="346" ht="95" customHeight="1">
      <c r="A346" s="10" t="n">
        <v>344</v>
      </c>
      <c r="B346" s="10" t="inlineStr">
        <is>
          <t>Relazione tecnica di modifica: ammortizzatori</t>
        </is>
      </c>
      <c r="C346" s="10" t="inlineStr">
        <is>
          <t>Ammortizzatori a molla: forza a corsa completa — la norma dice «tra» senza dire degli estremi: compresi, scelta del software da confermare; senza la forza la verifica stampa «Dati mancanti ⚠» e un punto da verificare con la scheda del costruttore</t>
        </is>
      </c>
      <c r="D346" s="10" t="inlineStr">
        <is>
          <t>la forza a corsa completa (dato del costruttore) tra 2,5 e 4 volte il peso che grava su ciascun ammortizzatore — (P + Q)/n per la cabina, Mcw/n per il contrappeso —, estremi compresi</t>
        </is>
      </c>
      <c r="E346" s="10" t="inlineStr">
        <is>
          <t>UNI EN 81-20:2020, 5.8.2.1.1.2</t>
        </is>
      </c>
      <c r="F346" s="10" t="inlineStr">
        <is>
          <t>UNI EN 81-20:2020, testo della norma, letto il 2026-10-06, p. 98</t>
        </is>
      </c>
      <c r="G346" s="10" t="inlineStr">
        <is>
          <t>confermato</t>
        </is>
      </c>
      <c r="H346" s="10" t="inlineStr">
        <is>
          <t>ammortizzatori a molla: forza a corsa completa</t>
        </is>
      </c>
      <c r="I346" s="11" t="n"/>
      <c r="J346" s="11" t="n"/>
      <c r="K346" s="11" t="n"/>
      <c r="L346" s="11" t="n"/>
      <c r="M346" s="11" t="n"/>
      <c r="N346" s="11" t="n"/>
    </row>
    <row r="347" ht="69" customHeight="1">
      <c r="A347" s="10" t="n">
        <v>345</v>
      </c>
      <c r="B347" s="10" t="inlineStr">
        <is>
          <t>Relazione tecnica di modifica: ammortizzatori</t>
        </is>
      </c>
      <c r="C347" s="10" t="inlineStr">
        <is>
          <t>Ammortizzatori in poliuretano e idraulici: velocità d’urto</t>
        </is>
      </c>
      <c r="D347" s="10" t="inlineStr">
        <is>
          <t>1,15 volte la velocità nominale dopo la modifica non oltre la velocità d’urto massima del certificato d’esame del tipo</t>
        </is>
      </c>
      <c r="E347" s="10" t="inlineStr">
        <is>
          <t>UNI EN 81-20:2020, 5.8.2.1.2.1 e 5.8.2.2.3; UNI EN 81-50:2020, 5.5.4</t>
        </is>
      </c>
      <c r="F347" s="10" t="inlineStr">
        <is>
          <t>UNI EN 81-20:2020, testo della norma, letto il 2026-10-06, pp. 98–99; UNI EN 81-50:2020, testo della norma, letto il 2026-10-06, p. 24</t>
        </is>
      </c>
      <c r="G347" s="10" t="inlineStr">
        <is>
          <t>confermato</t>
        </is>
      </c>
      <c r="H347" s="10" t="inlineStr">
        <is>
          <t>ammortizzatori in poliuretano e idraulici: velocità d’urto del certificato</t>
        </is>
      </c>
      <c r="I347" s="11" t="n"/>
      <c r="J347" s="11" t="n"/>
      <c r="K347" s="11" t="n"/>
      <c r="L347" s="11" t="n"/>
      <c r="M347" s="11" t="n"/>
      <c r="N347" s="11" t="n"/>
    </row>
    <row r="348" ht="95" customHeight="1">
      <c r="A348" s="10" t="n">
        <v>346</v>
      </c>
      <c r="B348" s="10" t="inlineStr">
        <is>
          <t>Relazione tecnica di modifica: ammortizzatori</t>
        </is>
      </c>
      <c r="C348" s="10" t="inlineStr">
        <is>
          <t>Ammortizzatori in poliuretano e idraulici: masse del certificato — il certificato dà la massa minima e la massima; che vi rientri anche la cabina vuota è una lettura del software (la cabina vuota può urtare l’ammortizzatore), non scritta nella norma</t>
        </is>
      </c>
      <c r="D348" s="10" t="inlineStr">
        <is>
          <t>la massa su ciascun ammortizzatore entro il campo minimo–massimo del certificato d’esame del tipo: cabina a pieno carico (P + Q)/n e cabina vuota P/n, contrappeso Mcw/n</t>
        </is>
      </c>
      <c r="E348" s="10" t="inlineStr">
        <is>
          <t>UNI EN 81-50:2020, 5.5.4; UNI EN 81-20:2020, 5.8.2.1.2.1 e 5.8.2.2.3</t>
        </is>
      </c>
      <c r="F348" s="10" t="inlineStr">
        <is>
          <t>UNI EN 81-50:2020, testo della norma, letto il 2026-10-06, p. 24; UNI EN 81-20:2020, testo della norma, letto il 2026-10-06, pp. 98–99; risposte dell’esperto di norme del 2026-10-21</t>
        </is>
      </c>
      <c r="G348" s="10" t="inlineStr">
        <is>
          <t>scelta del software</t>
        </is>
      </c>
      <c r="H348" s="10" t="inlineStr">
        <is>
          <t>ammortizzatori in poliuretano e idraulici: masse del certificato</t>
        </is>
      </c>
      <c r="I348" s="11" t="n"/>
      <c r="J348" s="11" t="n"/>
      <c r="K348" s="11" t="n"/>
      <c r="L348" s="11" t="n"/>
      <c r="M348" s="11" t="n"/>
      <c r="N348" s="11" t="n"/>
    </row>
    <row r="349" ht="82" customHeight="1">
      <c r="A349" s="10" t="n">
        <v>347</v>
      </c>
      <c r="B349" s="10" t="inlineStr">
        <is>
          <t>Relazione tecnica di modifica: limitatore di velocità e paracadute</t>
        </is>
      </c>
      <c r="C349" s="10" t="inlineStr">
        <is>
          <t>Velocità d’intervento di targa del limitatore — con la velocità ridotta (UNI 10411-1, 15.17) e con il limitatore nuovo (18) vale anche il limite della norma in vigore all’installazione: voce limitatore.origine</t>
        </is>
      </c>
      <c r="D349" s="10" t="inlineStr">
        <is>
          <t>almeno 1,15 volte la velocità nominale e sotto il limite del paracadute: 0,80 m/s con presa istantanea, 1 m/s istantanea a rullo, 1,5 m/s progressiva fino a 1 m/s di velocità nominale, 1,25·v + 0,25/v oltre (voce vano.limitatore.scatto)</t>
        </is>
      </c>
      <c r="E349" s="10" t="inlineStr">
        <is>
          <t>UNI EN 81-20:2020, 5.6.2.2.1.1 a) e 5.6.2.2.1.8 d)</t>
        </is>
      </c>
      <c r="F349" s="10" t="inlineStr">
        <is>
          <t>UNI EN 81-20:2020, testo della norma, letto il 2026-10-06, pp. 82 e 84</t>
        </is>
      </c>
      <c r="G349" s="10" t="inlineStr">
        <is>
          <t>confermato</t>
        </is>
      </c>
      <c r="H349" s="10" t="inlineStr">
        <is>
          <t>limitatore: velocità d’intervento di targa</t>
        </is>
      </c>
      <c r="I349" s="11" t="n"/>
      <c r="J349" s="11" t="n"/>
      <c r="K349" s="11" t="n"/>
      <c r="L349" s="11" t="n"/>
      <c r="M349" s="11" t="n"/>
      <c r="N349" s="11" t="n"/>
    </row>
    <row r="350" ht="108" customHeight="1">
      <c r="A350" s="10" t="n">
        <v>348</v>
      </c>
      <c r="B350" s="10" t="inlineStr">
        <is>
          <t>Relazione tecnica di modifica: limitatore di velocità e paracadute</t>
        </is>
      </c>
      <c r="C350" s="10" t="inlineStr">
        <is>
          <t>Limite d’intervento della norma in vigore all’installazione — il software non conosce i limiti di questi atti e non li prende da altre norme: senza il valore e la sua fonte la verifica stampa «Dati mancanti ⚠»</t>
        </is>
      </c>
      <c r="D350" s="10" t="inlineStr">
        <is>
          <t>con la UNI 10411-1, velocità ridotta oltre il 5 % (15.17) o limitatore nuovo (18): la velocità d’intervento di targa non oltre il limite della norma in vigore alla data di installazione, sempre dato del tecnico con la sua fonte (gli impianti senza marcatura CE seguivano, in successione, il D.Lgt. 600/1945, il DPR 1497/1963 e il DM 587/1987: il valore va letto sul testo dell’atto)</t>
        </is>
      </c>
      <c r="E350" s="10" t="inlineStr">
        <is>
          <t>UNI 10411-1:2024, 15.17 e 18</t>
        </is>
      </c>
      <c r="F350" s="10" t="inlineStr">
        <is>
          <t>UNI 10411-1:2024, testo della norma, letto il 2026-10-06, pp. 15 e 17; risposte dell’esperto di norme del 2026-10-21</t>
        </is>
      </c>
      <c r="G350" s="10" t="inlineStr">
        <is>
          <t>confermato</t>
        </is>
      </c>
      <c r="H350" s="10" t="inlineStr">
        <is>
          <t>limitatore: limite della norma in vigore all’installazione</t>
        </is>
      </c>
      <c r="I350" s="11" t="n"/>
      <c r="J350" s="11" t="n"/>
      <c r="K350" s="11" t="n"/>
      <c r="L350" s="11" t="n"/>
      <c r="M350" s="11" t="n"/>
      <c r="N350" s="11" t="n"/>
    </row>
    <row r="351" ht="56" customHeight="1">
      <c r="A351" s="10" t="n">
        <v>349</v>
      </c>
      <c r="B351" s="10" t="inlineStr">
        <is>
          <t>Relazione tecnica di modifica: limitatore di velocità e paracadute</t>
        </is>
      </c>
      <c r="C351" s="10" t="inlineStr">
        <is>
          <t>Forza del limitatore sulla fune all’intervento</t>
        </is>
      </c>
      <c r="D351" s="10" t="inlineStr">
        <is>
          <t>la forza di trazione nella fune all’intervento (dal certificato del limitatore) almeno la maggiore tra 2 volte la forza che fa prendere il paracadute (dato del paracadute) e 300 N</t>
        </is>
      </c>
      <c r="E351" s="10" t="inlineStr">
        <is>
          <t>UNI EN 81-20:2020, 5.6.2.2.1.1 d)</t>
        </is>
      </c>
      <c r="F351" s="10" t="inlineStr">
        <is>
          <t>UNI EN 81-20:2020, testo della norma, letto il 2026-10-06, p. 82</t>
        </is>
      </c>
      <c r="G351" s="10" t="inlineStr">
        <is>
          <t>confermato</t>
        </is>
      </c>
      <c r="H351" s="10" t="inlineStr">
        <is>
          <t>limitatore: forza sulla fune all’intervento</t>
        </is>
      </c>
      <c r="I351" s="11" t="n"/>
      <c r="J351" s="11" t="n"/>
      <c r="K351" s="11" t="n"/>
      <c r="L351" s="11" t="n"/>
      <c r="M351" s="11" t="n"/>
      <c r="N351" s="11" t="n"/>
    </row>
    <row r="352" ht="121" customHeight="1">
      <c r="A352" s="10" t="n">
        <v>350</v>
      </c>
      <c r="B352" s="10" t="inlineStr">
        <is>
          <t>Relazione tecnica di modifica: limitatore di velocità e paracadute</t>
        </is>
      </c>
      <c r="C352" s="10" t="inlineStr">
        <is>
          <t>Fune del limitatore: carico di rottura — con la corsa allungata (UNI 10411-1, 16 i)) la fune nuova si verifica secondo la UNI EN 81-1:1987 9.9.6 o la UNI EN 81-20 5.6.2.2.1.3: il software applica la seconda; il diametro minimo della fune della UNI EN 81-1 non è nella UNI EN 81-20:2020 e non si verifica</t>
        </is>
      </c>
      <c r="D352" s="10" t="inlineStr">
        <is>
          <t>il carico minimo di rottura della fune del limitatore almeno 8 volte la forza di trazione all’intervento</t>
        </is>
      </c>
      <c r="E352" s="10" t="inlineStr">
        <is>
          <t>UNI EN 81-20:2020, 5.6.2.2.1.3 b)</t>
        </is>
      </c>
      <c r="F352" s="10" t="inlineStr">
        <is>
          <t>UNI EN 81-20:2020, testo della norma, letto il 2026-10-06, pp. 82–83</t>
        </is>
      </c>
      <c r="G352" s="10" t="inlineStr">
        <is>
          <t>confermato</t>
        </is>
      </c>
      <c r="H352" s="10" t="inlineStr">
        <is>
          <t>fune del limitatore: carico di rottura</t>
        </is>
      </c>
      <c r="I352" s="11" t="n"/>
      <c r="J352" s="11" t="n"/>
      <c r="K352" s="11" t="n"/>
      <c r="L352" s="11" t="n"/>
      <c r="M352" s="11" t="n"/>
      <c r="N352" s="11" t="n"/>
    </row>
    <row r="353" ht="95" customHeight="1">
      <c r="A353" s="10" t="n">
        <v>351</v>
      </c>
      <c r="B353" s="10" t="inlineStr">
        <is>
          <t>Relazione tecnica di modifica: porte di piano</t>
        </is>
      </c>
      <c r="C353" s="10" t="inlineStr">
        <is>
          <t>Porte di piano nuove: resistenza al fuoco — l’ordine fra le classi E ed EI è una lettura del software (la UNI EN 81-58 non è tra i testi letti); vale anche la classe chiesta dal certificato di prevenzione incendi dell’edificio</t>
        </is>
      </c>
      <c r="D353" s="10" t="inlineStr">
        <is>
          <t>dove la porta esistente ha una classe di resistenza al fuoco, quella nuova non inferiore: minuti non inferiori e, se l’esistente è EI, anche la nuova EI; con più minuti ma senza la I dell’esistente, o con la I in più ma meno minuti, il confronto non è deciso: attenzione e punto da verificare</t>
        </is>
      </c>
      <c r="E353" s="10" t="inlineStr">
        <is>
          <t>UNI 10411-1:2024, 19.2</t>
        </is>
      </c>
      <c r="F353" s="10" t="inlineStr">
        <is>
          <t>UNI 10411-1:2024, testo della norma, letto il 2026-10-06, p. 17; risposte dell’esperto di norme del 2026-10-21</t>
        </is>
      </c>
      <c r="G353" s="10" t="inlineStr">
        <is>
          <t>scelta del software</t>
        </is>
      </c>
      <c r="H353" s="10" t="inlineStr">
        <is>
          <t>porte di piano nuove: resistenza al fuoco</t>
        </is>
      </c>
      <c r="I353" s="11" t="n"/>
      <c r="J353" s="11" t="n"/>
      <c r="K353" s="11" t="n"/>
      <c r="L353" s="11" t="n"/>
      <c r="M353" s="11" t="n"/>
      <c r="N353" s="11" t="n"/>
    </row>
    <row r="354" ht="147" customHeight="1">
      <c r="A354" s="10" t="n">
        <v>352</v>
      </c>
      <c r="B354" s="10" t="inlineStr">
        <is>
          <t>Relazione tecnica di modifica: porte di piano</t>
        </is>
      </c>
      <c r="C354" s="10" t="inlineStr">
        <is>
          <t>Porte di piano nuove: altezza — con la UNI 10411-11 (19.1) la UNI EN 81-21 5.12 vale dove i luoghi non consentono la 5.3.2.1: il software applica la stessa regola</t>
        </is>
      </c>
      <c r="D354" s="10" t="inlineStr">
        <is>
          <t>alte almeno 2000 mm (soddisfatta); più basse solo se le aperture dell’edificio non lo consentono, condizione che dichiara il tecnico (attenzione e punto da verificare), mai meno della porta esistente; sotto 1900 mm vale anche la UNI EN 81-21 5.12: alte quanto l’edificio consente e non meno di 1800 mm, con le segnalazioni in cabina e al piano e gli spigoli dell’architrave inclinati di non più di 30° fino a 2000 mm o rivestiti; sotto la porta esistente o sotto 1800 mm non soddisfatta</t>
        </is>
      </c>
      <c r="E354" s="10" t="inlineStr">
        <is>
          <t>UNI 10411-1:2024, 19.1; UNI EN 81-20:2020, 5.3.2.1; UNI EN 81-21:2022, 5.12</t>
        </is>
      </c>
      <c r="F354" s="10" t="inlineStr">
        <is>
          <t>UNI 10411-1:2024, testo della norma, letto il 2026-10-06, p. 17; UNI EN 81-21:2022, testo della norma, letto il 2026-10-06, p. 24</t>
        </is>
      </c>
      <c r="G354" s="10" t="inlineStr">
        <is>
          <t>confermato</t>
        </is>
      </c>
      <c r="H354" s="10" t="inlineStr">
        <is>
          <t>porte di piano nuove: altezza</t>
        </is>
      </c>
      <c r="I354" s="11" t="n"/>
      <c r="J354" s="11" t="n"/>
      <c r="K354" s="11" t="n"/>
      <c r="L354" s="11" t="n"/>
      <c r="M354" s="11" t="n"/>
      <c r="N354" s="11" t="n"/>
    </row>
    <row r="355" ht="264" customHeight="1">
      <c r="A355" s="10" t="n">
        <v>353</v>
      </c>
      <c r="B355" s="10" t="inlineStr">
        <is>
          <t>Relazione tecnica di modifica: parti sostituite senza un punto proprio della UNI 10411</t>
        </is>
      </c>
      <c r="C355" s="10" t="inlineStr">
        <is>
          <t>Guide nuove o sostituite — la UNI 10411 non ha un punto per questa parte sostituita da sola: la relazione la valuta con il punto 4 (-11: 4.3) e con i punti dei casi</t>
        </is>
      </c>
      <c r="D355" s="10" t="inlineStr">
        <is>
          <t>con la UNI 10411-1:2024: guide nuove o sostituite: la parte cambiata si valuta secondo il punto 4, con la UNI EN 81-20 5.7 e la verifica della UNI EN 81-50 5.10 (lettura del software); con i carichi oltre i prospetti 1 o 2 la resistenza di guide e ancoraggi con il metodo semplificato della UNI EN 81-1:1987 (punto 10, nota) o con la UNI EN 81-20 5.7 (6.5); con la velocità aumentata la UNI EN 81-20 5.7 e le caratteristiche del certificato del paracadute (15.5–15.6); i tratti aggiunti con la corsa allungata (16 g)) (UNI 10411-1:2024, 4, 6.5, 15.5–15.6 e 16 g)); con la UNI 10411-11:2024: guide nuove o sostituite: verificate per l’impianto con la valutazione 4.3; con i carichi aumentati la resistenza di guide e ancoraggi per i nuovi carichi (6.5); con la velocità cambiata coerenti con il certificato del paracadute e degli ACOP (15 j), k)); i tratti aggiunti con i loro ancoraggi per la nuova corsa (16 f)) (UNI 10411-11:2024, 4.3, 6.5, 15 j)–k) e 16 f))</t>
        </is>
      </c>
      <c r="E355" s="10" t="inlineStr">
        <is>
          <t>UNI 10411-1:2024, 4, 6.5, 15.5–15.6 e 16 g); UNI 10411-11:2024, 4.3, 6.5, 15 j)–k) e 16 f)</t>
        </is>
      </c>
      <c r="F355" s="10" t="inlineStr">
        <is>
          <t>lettura del software dei punti citati (risposte dell’esperto di norme del 2026-10-21)</t>
        </is>
      </c>
      <c r="G355" s="10" t="inlineStr">
        <is>
          <t>da verificare</t>
        </is>
      </c>
      <c r="H355" s="10" t="inlineStr">
        <is>
          <t>—</t>
        </is>
      </c>
      <c r="I355" s="11" t="n"/>
      <c r="J355" s="11" t="n"/>
      <c r="K355" s="11" t="n"/>
      <c r="L355" s="11" t="n"/>
      <c r="M355" s="11" t="n"/>
      <c r="N355" s="11" t="n"/>
    </row>
    <row r="356" ht="186" customHeight="1">
      <c r="A356" s="10" t="n">
        <v>354</v>
      </c>
      <c r="B356" s="10" t="inlineStr">
        <is>
          <t>Relazione tecnica di modifica: parti sostituite senza un punto proprio della UNI 10411</t>
        </is>
      </c>
      <c r="C356" s="10" t="inlineStr">
        <is>
          <t>Ammortizzatori nuovi o sostituiti — la UNI 10411 non ha un punto per questa parte sostituita da sola: la relazione la valuta con il punto 4 (-11: 4.3) e con i punti dei casi</t>
        </is>
      </c>
      <c r="D356" s="10" t="inlineStr">
        <is>
          <t>con la UNI 10411-1:2024: ammortizzatori nuovi o sostituiti: la parte cambiata si valuta secondo il punto 4, con la UNI EN 81-20 5.8 (lettura del software); con i carichi oltre i prospetti (6.4), diminuiti o con il rapporto cambiato (6.1) e con la velocità variata (15.2) secondo la UNI EN 81-20 5.8; non lineari e idraulici con certificato d’esame del tipo e dichiarazione, a molla con il calcolo e i diagrammi (appendice C) (UNI 10411-1:2024, 4, 6.1, 6.4 e 15.2); con la UNI 10411-11:2024: ammortizzatori nuovi o sostituiti: verificati per l’impianto con la valutazione 4.3, per i nuovi carichi (6.4) e per la nuova velocità (15 a)) (UNI 10411-11:2024, 4.3, 6.4 e 15 a))</t>
        </is>
      </c>
      <c r="E356" s="10" t="inlineStr">
        <is>
          <t>UNI 10411-1:2024, 4, 6.1, 6.4 e 15.2; UNI 10411-11:2024, 4.3, 6.4 e 15 a)</t>
        </is>
      </c>
      <c r="F356" s="10" t="inlineStr">
        <is>
          <t>lettura del software dei punti citati (risposte dell’esperto di norme del 2026-10-21)</t>
        </is>
      </c>
      <c r="G356" s="10" t="inlineStr">
        <is>
          <t>da verificare</t>
        </is>
      </c>
      <c r="H356" s="10" t="inlineStr">
        <is>
          <t>—</t>
        </is>
      </c>
      <c r="I356" s="11" t="n"/>
      <c r="J356" s="11" t="n"/>
      <c r="K356" s="11" t="n"/>
      <c r="L356" s="11" t="n"/>
      <c r="M356" s="11" t="n"/>
      <c r="N356" s="11" t="n"/>
    </row>
    <row r="357" ht="212" customHeight="1">
      <c r="A357" s="10" t="n">
        <v>355</v>
      </c>
      <c r="B357" s="10" t="inlineStr">
        <is>
          <t>Relazione tecnica di modifica: parti sostituite senza un punto proprio della UNI 10411</t>
        </is>
      </c>
      <c r="C357" s="10" t="inlineStr">
        <is>
          <t>Contrappeso nuovo o modificato — la UNI 10411 non ha un punto per questa parte sostituita da sola: la relazione la valuta con il punto 4 (-11: 4.3) e con i punti dei casi</t>
        </is>
      </c>
      <c r="D357" s="10" t="inlineStr">
        <is>
          <t>con la UNI 10411-1:2024: contrappeso nuovo o modificato (zavorre aggiunte o tolte): la sua massa si confronta con quella documentata, in aumento con il prospetto 2 e in diminuzione con le verifiche della 6.1; aumentata, guide secondo la UNI EN 81-20 5.7.1 e difesa del suo percorso secondo la 5.2.5.5.1 (6.13), così anche con la velocità aumentata (15.7) e con la corsa allungata (16 a)); la parte cambiata si valuta secondo il punto 4 (UNI 10411-1:2024, 4, 6.1, 6.13, 15.7 e 16 a)); con la UNI 10411-11:2024: contrappeso nuovo o modificato: la sua massa si confronta con quella documentata; ogni aumento porta i punti da 6.2 a 6.13, ogni diminuzione la verifica degli ammortizzatori e del paracadute progressivo (6.1); valutazione 4.3 (UNI 10411-11:2024, 4.3 e 6.1)</t>
        </is>
      </c>
      <c r="E357" s="10" t="inlineStr">
        <is>
          <t>UNI 10411-1:2024, 4, 6.1, 6.13, 15.7 e 16 a); UNI 10411-11:2024, 4.3 e 6.1</t>
        </is>
      </c>
      <c r="F357" s="10" t="inlineStr">
        <is>
          <t>lettura del software dei punti citati (risposte dell’esperto di norme del 2026-10-21)</t>
        </is>
      </c>
      <c r="G357" s="10" t="inlineStr">
        <is>
          <t>da verificare</t>
        </is>
      </c>
      <c r="H357" s="10" t="inlineStr">
        <is>
          <t>—</t>
        </is>
      </c>
      <c r="I357" s="11" t="n"/>
      <c r="J357" s="11" t="n"/>
      <c r="K357" s="11" t="n"/>
      <c r="L357" s="11" t="n"/>
      <c r="M357" s="11" t="n"/>
      <c r="N357" s="11" t="n"/>
    </row>
    <row r="358" ht="82" customHeight="1">
      <c r="A358" s="10" t="n">
        <v>356</v>
      </c>
      <c r="B358" s="10" t="inlineStr">
        <is>
          <t>Relazione tecnica di modifica: parti sostituite senza un punto proprio della UNI 10411</t>
        </is>
      </c>
      <c r="C358" s="10" t="inlineStr">
        <is>
          <t>Arcata nuova (UNI 10411-11) — la UNI 10411 non ha un punto per questa parte sostituita da sola: la relazione la valuta con il punto 4 (-11: 4.3) e con i punti dei casi</t>
        </is>
      </c>
      <c r="D358" s="10" t="inlineStr">
        <is>
          <t>con la UNI 10411-11:2024: arcata nuova: verificata per l’impianto con la valutazione 4.3 e, con i carichi aumentati, per i nuovi carichi (6.9) (UNI 10411-11:2024, 4.3 e 6.9)</t>
        </is>
      </c>
      <c r="E358" s="10" t="inlineStr">
        <is>
          <t>UNI 10411-11:2024, 4.3 e 6.9</t>
        </is>
      </c>
      <c r="F358" s="10" t="inlineStr">
        <is>
          <t>lettura del software dei punti citati (risposte dell’esperto di norme del 2026-10-21)</t>
        </is>
      </c>
      <c r="G358" s="10" t="inlineStr">
        <is>
          <t>da verificare</t>
        </is>
      </c>
      <c r="H358" s="10" t="inlineStr">
        <is>
          <t>—</t>
        </is>
      </c>
      <c r="I358" s="11" t="n"/>
      <c r="J358" s="11" t="n"/>
      <c r="K358" s="11" t="n"/>
      <c r="L358" s="11" t="n"/>
      <c r="M358" s="11" t="n"/>
      <c r="N358" s="11" t="n"/>
    </row>
  </sheetData>
  <autoFilter ref="A1:N358"/>
  <dataValidations count="1">
    <dataValidation sqref="I3:I35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COUNTIF(Voci!$G$3:$G$358,"da verificare")</f>
        <v/>
      </c>
    </row>
    <row r="5">
      <c r="A5" s="6" t="inlineStr">
        <is>
          <t>confermato</t>
        </is>
      </c>
      <c r="B5" s="6">
        <f>COUNTIF(Voci!$G$3:$G$358,"confermato")</f>
        <v/>
      </c>
    </row>
    <row r="6">
      <c r="A6" s="6" t="inlineStr">
        <is>
          <t>scelta del software</t>
        </is>
      </c>
      <c r="B6" s="6">
        <f>COUNTIF(Voci!$G$3:$G$358,"scelta del software")</f>
        <v/>
      </c>
    </row>
    <row r="7">
      <c r="A7" s="6" t="inlineStr">
        <is>
          <t>stima</t>
        </is>
      </c>
      <c r="B7" s="6">
        <f>COUNTIF(Voci!$G$3:$G$358,"stima")</f>
        <v/>
      </c>
    </row>
    <row r="8">
      <c r="A8" s="6" t="inlineStr">
        <is>
          <t>derivazione</t>
        </is>
      </c>
      <c r="B8" s="6">
        <f>COUNTIF(Voci!$G$3:$G$358,"derivazione")</f>
        <v/>
      </c>
    </row>
    <row r="9">
      <c r="A9" s="6" t="inlineStr">
        <is>
          <t>prassi di cantiere</t>
        </is>
      </c>
      <c r="B9" s="6">
        <f>COUNTIF(Voci!$G$3:$G$358,"prassi di cantiere")</f>
        <v/>
      </c>
    </row>
    <row r="10">
      <c r="A10" s="3" t="inlineStr">
        <is>
          <t>Totale voci</t>
        </is>
      </c>
      <c r="B10" s="3">
        <f>COUNTA(Voci!$A$3:$A$358)</f>
        <v/>
      </c>
    </row>
    <row r="12">
      <c r="A12" s="3" t="inlineStr">
        <is>
          <t>Esito</t>
        </is>
      </c>
    </row>
    <row r="13">
      <c r="A13" s="6" t="inlineStr">
        <is>
          <t>conforme</t>
        </is>
      </c>
      <c r="B13" s="6">
        <f>COUNTIF(Voci!$I$3:$I$358,"conforme")</f>
        <v/>
      </c>
    </row>
    <row r="14">
      <c r="A14" s="6" t="inlineStr">
        <is>
          <t>diverso</t>
        </is>
      </c>
      <c r="B14" s="6">
        <f>COUNTIF(Voci!$I$3:$I$358,"diverso")</f>
        <v/>
      </c>
    </row>
    <row r="15">
      <c r="A15" s="6" t="inlineStr">
        <is>
          <t>non applicabile</t>
        </is>
      </c>
      <c r="B15" s="6">
        <f>COUNTIF(Voci!$I$3:$I$358,"non applicabile")</f>
        <v/>
      </c>
    </row>
    <row r="16">
      <c r="A16" s="6" t="inlineStr">
        <is>
          <t>da compilare</t>
        </is>
      </c>
      <c r="B16" s="6">
        <f>COUNTBLANK(Voci!$I$3:$I$358)</f>
        <v/>
      </c>
    </row>
    <row r="18">
      <c r="A18" s="13" t="inlineStr">
        <is>
          <t>Conteggi sulle righe 3–358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2026-10-21T19:35:35Z</dcterms:created>
  <dcterms:modified xmlns:dcterms="http://purl.org/dc/terms/" xmlns:xsi="http://www.w3.org/2001/XMLSchema-instance" xsi:type="dcterms:W3CDTF">2026-10-21T19:35:36Z</dcterms:modified>
</cp:coreProperties>
</file>