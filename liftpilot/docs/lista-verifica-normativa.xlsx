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'Voci'!$A$1:$N$331</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3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95" customHeight="1">
      <c r="A304" s="10" t="n">
        <v>302</v>
      </c>
      <c r="B304" s="10" t="inlineStr">
        <is>
          <t>Collaudo: UNI 10411-1:2024, velocità, carichi e corsa variati</t>
        </is>
      </c>
      <c r="C304" s="10" t="inlineStr">
        <is>
          <t>UNI 10411-1:2024, 15.1 e 15.16</t>
        </is>
      </c>
      <c r="D304"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34" customHeight="1">
      <c r="A305" s="10" t="n">
        <v>303</v>
      </c>
      <c r="B305" s="10" t="inlineStr">
        <is>
          <t>Collaudo: UNI 10411-1:2024, velocità, carichi e corsa variati</t>
        </is>
      </c>
      <c r="C305" s="10" t="inlineStr">
        <is>
          <t>UNI 10411-1:2024, 15.1 e 15.16</t>
        </is>
      </c>
      <c r="D305"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una riduzione di oltre il 5 %; se sia comunque un cambio della velocità ai sensi del DPR 162/1999 (art. 2 c.1 lett. cc) n. 1)) lo valuta il tecnico</t>
        </is>
      </c>
      <c r="E305" s="10" t="inlineStr">
        <is>
          <t>UNI 10411-1:2024, 15.1 e 15.16</t>
        </is>
      </c>
      <c r="F305" s="10" t="inlineStr">
        <is>
          <t>ricerca, cap. 16 (testi ufficiali e schede UNI, 2026-10-02)</t>
        </is>
      </c>
      <c r="G305" s="10" t="inlineStr">
        <is>
          <t>da verificare</t>
        </is>
      </c>
      <c r="H305" s="10" t="inlineStr">
        <is>
          <t>—</t>
        </is>
      </c>
      <c r="I305" s="11" t="n"/>
      <c r="J305" s="11" t="n"/>
      <c r="K305" s="11" t="n"/>
      <c r="L305" s="11" t="n"/>
      <c r="M305" s="11" t="n"/>
      <c r="N305" s="11" t="n"/>
    </row>
    <row r="306" ht="121" customHeight="1">
      <c r="A306" s="10" t="n">
        <v>304</v>
      </c>
      <c r="B306" s="10" t="inlineStr">
        <is>
          <t>Collaudo: UNI 10411-1:2024, velocità, carichi e corsa variati</t>
        </is>
      </c>
      <c r="C306" s="10" t="inlineStr">
        <is>
          <t>UNI 10411-1:2024, 6.1, 6.3–6.12 e 6.15</t>
        </is>
      </c>
      <c r="D306"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6" s="10" t="inlineStr">
        <is>
          <t>UNI 10411-1:2024, 6.1, 6.3–6.12 e 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95" customHeight="1">
      <c r="A307" s="10" t="n">
        <v>305</v>
      </c>
      <c r="B307" s="10" t="inlineStr">
        <is>
          <t>Collaudo: UNI 10411-1:2024, velocità, carichi e corsa variati</t>
        </is>
      </c>
      <c r="C307" s="10" t="inlineStr">
        <is>
          <t>UNI 10411-1:2024, 6.1, 6.4, 6.5, 6.8 e 6.13–6.15</t>
        </is>
      </c>
      <c r="D307"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7" s="10" t="inlineStr">
        <is>
          <t>UNI 10411-1:2024, 6.1, 6.4, 6.5, 6.8 e 6.13–6.15</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56" customHeight="1">
      <c r="A308" s="10" t="n">
        <v>306</v>
      </c>
      <c r="B308" s="10" t="inlineStr">
        <is>
          <t>Collaudo: UNI 10411-1:2024, velocità, carichi e corsa variati</t>
        </is>
      </c>
      <c r="C308" s="10" t="inlineStr">
        <is>
          <t>UNI 10411-1:2024, 6.1</t>
        </is>
      </c>
      <c r="D308" s="10" t="inlineStr">
        <is>
          <t>T* o contrappeso diminuiti: ammortizzatori esistenti secondo la UNI EN 81-20 5.8 e paracadute progressivo, se c’è, secondo la 5.6.2</t>
        </is>
      </c>
      <c r="E308" s="10" t="inlineStr">
        <is>
          <t>UNI 10411-1:2024, 6.1</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t>
        </is>
      </c>
      <c r="D309"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9" s="10" t="inlineStr">
        <is>
          <t>UNI 10411-1:2024, 6.1</t>
        </is>
      </c>
      <c r="F309" s="10" t="inlineStr">
        <is>
          <t>ricerca, cap. 16 (testi ufficiali e schede UNI, 2026-10-02)</t>
        </is>
      </c>
      <c r="G309" s="10" t="inlineStr">
        <is>
          <t>da verificare</t>
        </is>
      </c>
      <c r="H309" s="10" t="inlineStr">
        <is>
          <t>—</t>
        </is>
      </c>
      <c r="I309" s="11" t="n"/>
      <c r="J309" s="11" t="n"/>
      <c r="K309" s="11" t="n"/>
      <c r="L309" s="11" t="n"/>
      <c r="M309" s="11" t="n"/>
      <c r="N309" s="11" t="n"/>
    </row>
    <row r="310" ht="82" customHeight="1">
      <c r="A310" s="10" t="n">
        <v>308</v>
      </c>
      <c r="B310" s="10" t="inlineStr">
        <is>
          <t>Collaudo: UNI 10411-1:2024, velocità, carichi e corsa variati</t>
        </is>
      </c>
      <c r="C310" s="10" t="inlineStr">
        <is>
          <t>UNI 10411-1:2024, 6.1 e App. D</t>
        </is>
      </c>
      <c r="D310"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0" s="10" t="inlineStr">
        <is>
          <t>UNI 10411-1:2024, 6.1 e App. D</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147" customHeight="1">
      <c r="A311" s="10" t="n">
        <v>309</v>
      </c>
      <c r="B311" s="10" t="inlineStr">
        <is>
          <t>Collaudo: UNI 10411-1:2024, velocità, carichi e corsa variati</t>
        </is>
      </c>
      <c r="C311" s="10" t="inlineStr">
        <is>
          <t>UNI 10411-1:2024, 16 a)–l)</t>
        </is>
      </c>
      <c r="D311"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1" s="10" t="inlineStr">
        <is>
          <t>UNI 10411-1:2024, 16 a)–l)</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t>
        </is>
      </c>
      <c r="D312" s="10" t="inlineStr">
        <is>
          <t>⚠ corsa allungata di oltre 8 m rispetto al primo collaudo: l’intervento conta come nuova installazione; la procedura la conferma il tecnico con il soggetto che esegue la verifica</t>
        </is>
      </c>
      <c r="E312" s="10" t="inlineStr">
        <is>
          <t>UNI 10411-1:2024, 16</t>
        </is>
      </c>
      <c r="F312" s="10" t="inlineStr">
        <is>
          <t>ricerca, cap. 16 (testi ufficiali e schede UNI, 2026-10-02)</t>
        </is>
      </c>
      <c r="G312" s="10" t="inlineStr">
        <is>
          <t>da verificare</t>
        </is>
      </c>
      <c r="H312" s="10" t="inlineStr">
        <is>
          <t>—</t>
        </is>
      </c>
      <c r="I312" s="11" t="n"/>
      <c r="J312" s="11" t="n"/>
      <c r="K312" s="11" t="n"/>
      <c r="L312" s="11" t="n"/>
      <c r="M312" s="11" t="n"/>
      <c r="N312" s="11" t="n"/>
    </row>
    <row r="313" ht="56" customHeight="1">
      <c r="A313" s="10" t="n">
        <v>311</v>
      </c>
      <c r="B313" s="10" t="inlineStr">
        <is>
          <t>Collaudo: UNI 10411-1:2024, velocità, carichi e corsa variati</t>
        </is>
      </c>
      <c r="C313" s="10" t="inlineStr">
        <is>
          <t>UNI 10411-1:2024, 16 e 4</t>
        </is>
      </c>
      <c r="D313" s="10" t="inlineStr">
        <is>
          <t>corsa accorciata: il punto 16 tratta solo l’allungamento; la modifica (DPR 162/1999, art. 2 c.1 lett. cc) n. 3)) si valuta secondo il punto 4</t>
        </is>
      </c>
      <c r="E313" s="10" t="inlineStr">
        <is>
          <t>UNI 10411-1:2024, 16 e 4</t>
        </is>
      </c>
      <c r="F313" s="10" t="inlineStr">
        <is>
          <t>ricerca, cap. 16 (testi ufficiali e schede UNI, 2026-10-02)</t>
        </is>
      </c>
      <c r="G313" s="10" t="inlineStr">
        <is>
          <t>da verificare</t>
        </is>
      </c>
      <c r="H313" s="10" t="inlineStr">
        <is>
          <t>—</t>
        </is>
      </c>
      <c r="I313" s="11" t="n"/>
      <c r="J313" s="11" t="n"/>
      <c r="K313" s="11" t="n"/>
      <c r="L313" s="11" t="n"/>
      <c r="M313" s="11" t="n"/>
      <c r="N313" s="11" t="n"/>
    </row>
    <row r="314" ht="108" customHeight="1">
      <c r="A314" s="10" t="n">
        <v>312</v>
      </c>
      <c r="B314" s="10" t="inlineStr">
        <is>
          <t>Collaudo: UNI 10411-1:2024, velocità, carichi e corsa variati</t>
        </is>
      </c>
      <c r="C314" s="10" t="inlineStr">
        <is>
          <t>UNI 10411-1:2024, 15.1 e 15.16</t>
        </is>
      </c>
      <c r="D314"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4" s="10" t="inlineStr">
        <is>
          <t>UNI 10411-1:2024, 15.1 e 15.16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82" customHeight="1">
      <c r="A315" s="10" t="n">
        <v>313</v>
      </c>
      <c r="B315" s="10" t="inlineStr">
        <is>
          <t>Collaudo: UNI 10411-1:2024, velocità, carichi e corsa variati</t>
        </is>
      </c>
      <c r="C315" s="10" t="inlineStr">
        <is>
          <t>UNI 10411-1:2024, 16</t>
        </is>
      </c>
      <c r="D315" s="10" t="inlineStr">
        <is>
          <t>corsa indicata come variata, ma quella del progetto coincide con la corsa del primo collaudo entro l’arrotondamento dei dati: le lettere a)–l) del punto 16 valgono solo se il tecnico accerta un allungamento (un accorciamento si valuta secondo il punto 4)</t>
        </is>
      </c>
      <c r="E315" s="10" t="inlineStr">
        <is>
          <t>UNI 10411-1:2024, 16</t>
        </is>
      </c>
      <c r="F315" s="10" t="inlineStr">
        <is>
          <t>ricerca, cap. 16 (testi ufficiali e schede UNI, 2026-10-02)</t>
        </is>
      </c>
      <c r="G315" s="10" t="inlineStr">
        <is>
          <t>da verificare</t>
        </is>
      </c>
      <c r="H315" s="10" t="inlineStr">
        <is>
          <t>—</t>
        </is>
      </c>
      <c r="I315" s="11" t="n"/>
      <c r="J315" s="11" t="n"/>
      <c r="K315" s="11" t="n"/>
      <c r="L315" s="11" t="n"/>
      <c r="M315" s="11" t="n"/>
      <c r="N315" s="11" t="n"/>
    </row>
    <row r="316" ht="82" customHeight="1">
      <c r="A316" s="10" t="n">
        <v>314</v>
      </c>
      <c r="B316" s="10" t="inlineStr">
        <is>
          <t>Collaudo: UNI 10411-1:2024, velocità, carichi e corsa variati</t>
        </is>
      </c>
      <c r="C316" s="10" t="inlineStr">
        <is>
          <t>UNI 10411-1:2024, 22 e 6.1</t>
        </is>
      </c>
      <c r="D316" s="10" t="inlineStr">
        <is>
          <t>cabina nuova sull’arcata esistente con i carichi del progetto uguali a quelli documentati: P va confermata come massa della cabina nuova completa (arcata, porte e operatore compresi); se cambia, i carichi si confrontano di nuovo con quelli documentati</t>
        </is>
      </c>
      <c r="E316" s="10" t="inlineStr">
        <is>
          <t>UNI 10411-1:2024, 22 e 6.1</t>
        </is>
      </c>
      <c r="F316" s="10" t="inlineStr">
        <is>
          <t>ricerca, cap. 16 (testi ufficiali e schede UNI, 2026-10-02)</t>
        </is>
      </c>
      <c r="G316" s="10" t="inlineStr">
        <is>
          <t>da verificare</t>
        </is>
      </c>
      <c r="H316" s="10" t="inlineStr">
        <is>
          <t>—</t>
        </is>
      </c>
      <c r="I316" s="11" t="n"/>
      <c r="J316" s="11" t="n"/>
      <c r="K316" s="11" t="n"/>
      <c r="L316" s="11" t="n"/>
      <c r="M316" s="11" t="n"/>
      <c r="N316" s="11" t="n"/>
    </row>
    <row r="317" ht="69" customHeight="1">
      <c r="A317" s="10" t="n">
        <v>315</v>
      </c>
      <c r="B317" s="10" t="inlineStr">
        <is>
          <t>Collaudo: UNI 10411-1:2024, velocità, carichi e corsa variati</t>
        </is>
      </c>
      <c r="C317" s="10" t="inlineStr">
        <is>
          <t>UNI 10411-1:2024, 6.1</t>
        </is>
      </c>
      <c r="D317" s="10" t="inlineStr">
        <is>
          <t>cabina e arcata nuove con i carichi del progetto uguali a quelli documentati: P va confermata come massa della cabina nuova completa (arcata, porte e operatore compresi); se cambia, i carichi si confrontano di nuovo con quelli documentati</t>
        </is>
      </c>
      <c r="E317" s="10" t="inlineStr">
        <is>
          <t>UNI 10411-1:2024, 6.1</t>
        </is>
      </c>
      <c r="F317" s="10" t="inlineStr">
        <is>
          <t>ricerca, cap. 16 (testi ufficiali e schede UNI, 2026-10-02)</t>
        </is>
      </c>
      <c r="G317" s="10" t="inlineStr">
        <is>
          <t>da verificare</t>
        </is>
      </c>
      <c r="H317" s="10" t="inlineStr">
        <is>
          <t>—</t>
        </is>
      </c>
      <c r="I317" s="11" t="n"/>
      <c r="J317" s="11" t="n"/>
      <c r="K317" s="11" t="n"/>
      <c r="L317" s="11" t="n"/>
      <c r="M317" s="11" t="n"/>
      <c r="N317" s="11" t="n"/>
    </row>
    <row r="318" ht="199" customHeight="1">
      <c r="A318" s="10" t="n">
        <v>316</v>
      </c>
      <c r="B318" s="10" t="inlineStr">
        <is>
          <t>Collaudo: UNI 10411-1:2024, velocità, carichi e corsa variati</t>
        </is>
      </c>
      <c r="C318" s="10" t="inlineStr">
        <is>
          <t>UNI 10411-1:2024, 6.1 e D.1</t>
        </is>
      </c>
      <c r="D318"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18" s="10" t="inlineStr">
        <is>
          <t>UNI 10411-1:2024, 6.1 e D.1</t>
        </is>
      </c>
      <c r="F318" s="10" t="inlineStr">
        <is>
          <t>UNI 10411-1:2024, testo della norma, letto il 2026-10-06, p. 33 (D.1); il confronto alla prova del freno: scelta del software</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 e D.1</t>
        </is>
      </c>
      <c r="D319" s="10" t="inlineStr">
        <is>
          <t>la D.1 non regge nemmeno con il C1 minimo della fascia di velocità: nessuna decelerazione misurata alla prova del freno la rispetta, e il rapporto tra i carichi va rivisto con il soggetto della verifica</t>
        </is>
      </c>
      <c r="E319" s="10" t="inlineStr">
        <is>
          <t>UNI 10411-1:2024, 6.1 e D.1</t>
        </is>
      </c>
      <c r="F319" s="10" t="inlineStr">
        <is>
          <t>UNI 10411-1:2024, testo della norma, letto il 2026-10-06, p. 33 (D.1); il confronto alla prova del freno: scelta del software</t>
        </is>
      </c>
      <c r="G319" s="10" t="inlineStr">
        <is>
          <t>da verificare</t>
        </is>
      </c>
      <c r="H319" s="10" t="inlineStr">
        <is>
          <t>—</t>
        </is>
      </c>
      <c r="I319" s="11" t="n"/>
      <c r="J319" s="11" t="n"/>
      <c r="K319" s="11" t="n"/>
      <c r="L319" s="11" t="n"/>
      <c r="M319" s="11" t="n"/>
      <c r="N319" s="11" t="n"/>
    </row>
    <row r="320" ht="108" customHeight="1">
      <c r="A320" s="10" t="n">
        <v>318</v>
      </c>
      <c r="B320" s="10" t="inlineStr">
        <is>
          <t>Collaudo: UNI 10411-11:2024, velocità, carichi e corsa variati</t>
        </is>
      </c>
      <c r="C320" s="10" t="inlineStr">
        <is>
          <t>UNI 10411-11:2024, 15 a)–k) e 4.3</t>
        </is>
      </c>
      <c r="D320"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0" s="10" t="inlineStr">
        <is>
          <t>UNI 10411-11:2024, 15 a)–k) e 4.3</t>
        </is>
      </c>
      <c r="F320" s="10" t="inlineStr">
        <is>
          <t>testo della norma, letto il 2026-10-06 (punti e valori con parole nostre)</t>
        </is>
      </c>
      <c r="G320" s="10" t="inlineStr">
        <is>
          <t>confermato</t>
        </is>
      </c>
      <c r="H320" s="10" t="inlineStr">
        <is>
          <t>—</t>
        </is>
      </c>
      <c r="I320" s="11" t="n"/>
      <c r="J320" s="11" t="n"/>
      <c r="K320" s="11" t="n"/>
      <c r="L320" s="11" t="n"/>
      <c r="M320" s="11" t="n"/>
      <c r="N320" s="11" t="n"/>
    </row>
    <row r="321" ht="56" customHeight="1">
      <c r="A321" s="10" t="n">
        <v>319</v>
      </c>
      <c r="B321" s="10" t="inlineStr">
        <is>
          <t>Collaudo: UNI 10411-11:2024, velocità, carichi e corsa variati</t>
        </is>
      </c>
      <c r="C321" s="10" t="inlineStr">
        <is>
          <t>UNI 10411-11:2024, 15 i)</t>
        </is>
      </c>
      <c r="D321" s="10" t="inlineStr">
        <is>
          <t>protezione UCM secondo la UNI EN 81-20 5.6.7, salvo con una variazione della velocità entro il 5 % su un impianto dove la 5.6.7 non era applicata</t>
        </is>
      </c>
      <c r="E321" s="10" t="inlineStr">
        <is>
          <t>UNI 10411-11:2024, 15 i)</t>
        </is>
      </c>
      <c r="F321" s="10" t="inlineStr">
        <is>
          <t>testo della norma, letto il 2026-10-06 (punti e valori con parole nostre)</t>
        </is>
      </c>
      <c r="G321" s="10" t="inlineStr">
        <is>
          <t>confermato</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6.1–6.13</t>
        </is>
      </c>
      <c r="D322"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2" s="10" t="inlineStr">
        <is>
          <t>UNI 10411-11:2024, 6.1–6.13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6.1–6.13</t>
        </is>
      </c>
      <c r="D323" s="10" t="inlineStr">
        <is>
          <t>contrappeso aumentato: i punti da 6.2 a 6.13 per i nuovi carichi, tranne l’arcata (6.9)</t>
        </is>
      </c>
      <c r="E323" s="10" t="inlineStr">
        <is>
          <t>UNI 10411-11:2024, 6.1–6.13</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56" customHeight="1">
      <c r="A324" s="10" t="n">
        <v>322</v>
      </c>
      <c r="B324" s="10" t="inlineStr">
        <is>
          <t>Collaudo: UNI 10411-11:2024, velocità, carichi e corsa variati</t>
        </is>
      </c>
      <c r="C324" s="10" t="inlineStr">
        <is>
          <t>UNI 10411-11:2024, 6.1</t>
        </is>
      </c>
      <c r="D324" s="10" t="inlineStr">
        <is>
          <t>T* o contrappeso diminuiti: ammortizzatori e, se c’è, paracadute progressivo verificati per i nuovi carichi</t>
        </is>
      </c>
      <c r="E324" s="10" t="inlineStr">
        <is>
          <t>UNI 10411-11:2024, 6.1</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82" customHeight="1">
      <c r="A325" s="10" t="n">
        <v>323</v>
      </c>
      <c r="B325" s="10" t="inlineStr">
        <is>
          <t>Collaudo: UNI 10411-11:2024, velocità, carichi e corsa variati</t>
        </is>
      </c>
      <c r="C325" s="10" t="inlineStr">
        <is>
          <t>UNI 10411-11:2024, 6.1</t>
        </is>
      </c>
      <c r="D325"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5" s="10" t="inlineStr">
        <is>
          <t>UNI 10411-11:2024, 6.1</t>
        </is>
      </c>
      <c r="F325" s="10" t="inlineStr">
        <is>
          <t>ricerca, cap. 16 (testi ufficiali e schede UNI, 2026-10-02)</t>
        </is>
      </c>
      <c r="G325" s="10" t="inlineStr">
        <is>
          <t>da verificare</t>
        </is>
      </c>
      <c r="H325" s="10" t="inlineStr">
        <is>
          <t>—</t>
        </is>
      </c>
      <c r="I325" s="11" t="n"/>
      <c r="J325" s="11" t="n"/>
      <c r="K325" s="11" t="n"/>
      <c r="L325" s="11" t="n"/>
      <c r="M325" s="11" t="n"/>
      <c r="N325" s="11" t="n"/>
    </row>
    <row r="326" ht="95" customHeight="1">
      <c r="A326" s="10" t="n">
        <v>324</v>
      </c>
      <c r="B326" s="10" t="inlineStr">
        <is>
          <t>Collaudo: UNI 10411-11:2024, velocità, carichi e corsa variati</t>
        </is>
      </c>
      <c r="C326" s="10" t="inlineStr">
        <is>
          <t>UNI 10411-11:2024, 16 a)–i) e 4.3</t>
        </is>
      </c>
      <c r="D326"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6" s="10" t="inlineStr">
        <is>
          <t>UNI 10411-11:2024, 16 a)–i) e 4.3</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56" customHeight="1">
      <c r="A327" s="10" t="n">
        <v>325</v>
      </c>
      <c r="B327" s="10" t="inlineStr">
        <is>
          <t>Collaudo: UNI 10411-11:2024, velocità, carichi e corsa variati</t>
        </is>
      </c>
      <c r="C327" s="10" t="inlineStr">
        <is>
          <t>UNI 10411-11:2024, 16 e 4.3</t>
        </is>
      </c>
      <c r="D327" s="10" t="inlineStr">
        <is>
          <t>corsa accorciata: il punto 16 tratta solo l’allungamento; la modifica (DPR 162/1999, art. 2 c.1 lett. cc) n. 3)) si valuta con la 4.3</t>
        </is>
      </c>
      <c r="E327" s="10" t="inlineStr">
        <is>
          <t>UNI 10411-11:2024, 16 e 4.3</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15 e 4.3</t>
        </is>
      </c>
      <c r="D328"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28" s="10" t="inlineStr">
        <is>
          <t>UNI 10411-11:2024, 15 e 4.3</t>
        </is>
      </c>
      <c r="F328" s="10" t="inlineStr">
        <is>
          <t>ricerca, cap. 16 (testi ufficiali e schede UNI, 2026-10-02)</t>
        </is>
      </c>
      <c r="G328" s="10" t="inlineStr">
        <is>
          <t>da verificare</t>
        </is>
      </c>
      <c r="H328" s="10" t="inlineStr">
        <is>
          <t>—</t>
        </is>
      </c>
      <c r="I328" s="11" t="n"/>
      <c r="J328" s="11" t="n"/>
      <c r="K328" s="11" t="n"/>
      <c r="L328" s="11" t="n"/>
      <c r="M328" s="11" t="n"/>
      <c r="N328" s="11" t="n"/>
    </row>
    <row r="329" ht="82" customHeight="1">
      <c r="A329" s="10" t="n">
        <v>327</v>
      </c>
      <c r="B329" s="10" t="inlineStr">
        <is>
          <t>Collaudo: UNI 10411-11:2024, velocità, carichi e corsa variati</t>
        </is>
      </c>
      <c r="C329" s="10" t="inlineStr">
        <is>
          <t>UNI 10411-11:2024, 16 e 4.3</t>
        </is>
      </c>
      <c r="D329" s="10" t="inlineStr">
        <is>
          <t>corsa indicata come variata, ma quella del progetto coincide con la documentata entro l’arrotondamento dei dati: le lettere a)–i) del punto 16 e la valutazione 4.3 valgono solo se il tecnico accerta un allungamento (un accorciamento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82" customHeight="1">
      <c r="A330" s="10" t="n">
        <v>328</v>
      </c>
      <c r="B330" s="10" t="inlineStr">
        <is>
          <t>Collaudo: UNI 10411-11:2024, velocità, carichi e corsa variati</t>
        </is>
      </c>
      <c r="C330" s="10" t="inlineStr">
        <is>
          <t>UNI 10411-11:2024, 22 e 6.1</t>
        </is>
      </c>
      <c r="D330" s="10" t="inlineStr">
        <is>
          <t>cabina nuova sull’arcata esistente con i carichi del progetto uguali a quelli documentati: P va confermata come massa della cabina nuova completa (arcata, porte e operatore compresi); se cambia, i carichi si confrontano di nuovo con quelli documentati</t>
        </is>
      </c>
      <c r="E330" s="10" t="inlineStr">
        <is>
          <t>UNI 10411-11:2024, 22 e 6.1</t>
        </is>
      </c>
      <c r="F330" s="10" t="inlineStr">
        <is>
          <t>ricerca, cap. 16 (testi ufficiali e schede UNI, 2026-10-02)</t>
        </is>
      </c>
      <c r="G330" s="10" t="inlineStr">
        <is>
          <t>da verificare</t>
        </is>
      </c>
      <c r="H330" s="10" t="inlineStr">
        <is>
          <t>—</t>
        </is>
      </c>
      <c r="I330" s="11" t="n"/>
      <c r="J330" s="11" t="n"/>
      <c r="K330" s="11" t="n"/>
      <c r="L330" s="11" t="n"/>
      <c r="M330" s="11" t="n"/>
      <c r="N330" s="11" t="n"/>
    </row>
    <row r="331" ht="69" customHeight="1">
      <c r="A331" s="10" t="n">
        <v>329</v>
      </c>
      <c r="B331" s="10" t="inlineStr">
        <is>
          <t>Collaudo: UNI 10411-11:2024, velocità, carichi e corsa variati</t>
        </is>
      </c>
      <c r="C331" s="10" t="inlineStr">
        <is>
          <t>UNI 10411-11:2024, 6.1</t>
        </is>
      </c>
      <c r="D331" s="10" t="inlineStr">
        <is>
          <t>cabina e arcata nuove con i carichi del progetto uguali a quelli documentati: P va confermata come massa della cabina nuova completa (arcata, porte e operatore compresi); se cambia, i carichi si confrontano di nuovo con quelli documentati</t>
        </is>
      </c>
      <c r="E331" s="10" t="inlineStr">
        <is>
          <t>UNI 10411-11:2024, 6.1</t>
        </is>
      </c>
      <c r="F331" s="10" t="inlineStr">
        <is>
          <t>ricerca, cap. 16 (testi ufficiali e schede UNI, 2026-10-02)</t>
        </is>
      </c>
      <c r="G331" s="10" t="inlineStr">
        <is>
          <t>da verificare</t>
        </is>
      </c>
      <c r="H331" s="10" t="inlineStr">
        <is>
          <t>—</t>
        </is>
      </c>
      <c r="I331" s="11" t="n"/>
      <c r="J331" s="11" t="n"/>
      <c r="K331" s="11" t="n"/>
      <c r="L331" s="11" t="n"/>
      <c r="M331" s="11" t="n"/>
      <c r="N331" s="11" t="n"/>
    </row>
  </sheetData>
  <autoFilter ref="A1:N331"/>
  <dataValidations count="1">
    <dataValidation sqref="I3:I331"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COUNTIF(Voci!$G$3:$G$331,"da verificare")</f>
        <v/>
      </c>
    </row>
    <row r="5">
      <c r="A5" s="6" t="inlineStr">
        <is>
          <t>confermato</t>
        </is>
      </c>
      <c r="B5" s="6">
        <f>COUNTIF(Voci!$G$3:$G$331,"confermato")</f>
        <v/>
      </c>
    </row>
    <row r="6">
      <c r="A6" s="6" t="inlineStr">
        <is>
          <t>scelta del software</t>
        </is>
      </c>
      <c r="B6" s="6">
        <f>COUNTIF(Voci!$G$3:$G$331,"scelta del software")</f>
        <v/>
      </c>
    </row>
    <row r="7">
      <c r="A7" s="6" t="inlineStr">
        <is>
          <t>stima</t>
        </is>
      </c>
      <c r="B7" s="6">
        <f>COUNTIF(Voci!$G$3:$G$331,"stima")</f>
        <v/>
      </c>
    </row>
    <row r="8">
      <c r="A8" s="6" t="inlineStr">
        <is>
          <t>derivazione</t>
        </is>
      </c>
      <c r="B8" s="6">
        <f>COUNTIF(Voci!$G$3:$G$331,"derivazione")</f>
        <v/>
      </c>
    </row>
    <row r="9">
      <c r="A9" s="6" t="inlineStr">
        <is>
          <t>prassi di cantiere</t>
        </is>
      </c>
      <c r="B9" s="6">
        <f>COUNTIF(Voci!$G$3:$G$331,"prassi di cantiere")</f>
        <v/>
      </c>
    </row>
    <row r="10">
      <c r="A10" s="3" t="inlineStr">
        <is>
          <t>Totale voci</t>
        </is>
      </c>
      <c r="B10" s="3">
        <f>COUNTA(Voci!$A$3:$A$331)</f>
        <v/>
      </c>
    </row>
    <row r="12">
      <c r="A12" s="3" t="inlineStr">
        <is>
          <t>Esito</t>
        </is>
      </c>
    </row>
    <row r="13">
      <c r="A13" s="6" t="inlineStr">
        <is>
          <t>conforme</t>
        </is>
      </c>
      <c r="B13" s="6">
        <f>COUNTIF(Voci!$I$3:$I$331,"conforme")</f>
        <v/>
      </c>
    </row>
    <row r="14">
      <c r="A14" s="6" t="inlineStr">
        <is>
          <t>diverso</t>
        </is>
      </c>
      <c r="B14" s="6">
        <f>COUNTIF(Voci!$I$3:$I$331,"diverso")</f>
        <v/>
      </c>
    </row>
    <row r="15">
      <c r="A15" s="6" t="inlineStr">
        <is>
          <t>non applicabile</t>
        </is>
      </c>
      <c r="B15" s="6">
        <f>COUNTIF(Voci!$I$3:$I$331,"non applicabile")</f>
        <v/>
      </c>
    </row>
    <row r="16">
      <c r="A16" s="6" t="inlineStr">
        <is>
          <t>da compilare</t>
        </is>
      </c>
      <c r="B16" s="6">
        <f>COUNTBLANK(Voci!$I$3:$I$331)</f>
        <v/>
      </c>
    </row>
    <row r="18">
      <c r="A18" s="13" t="inlineStr">
        <is>
          <t>Conteggi sulle righe 3–331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2026-10-16T10:08:00Z</dcterms:created>
  <dcterms:modified xmlns:dcterms="http://purl.org/dc/terms/" xmlns:xsi="http://www.w3.org/2001/XMLSchema-instance" xsi:type="dcterms:W3CDTF">2026-10-16T10:08:00Z</dcterms:modified>
</cp:coreProperties>
</file>