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'Voci'!$A$1:$N$266</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266"/>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12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t>
        </is>
      </c>
      <c r="D12" s="10" t="inlineStr">
        <is>
          <t>Seconda verifica con la decelerazione data dal freno (tutti i gruppi, mai sotto il minimo); oggi solo avviso</t>
        </is>
      </c>
      <c r="E12" s="10" t="inlineStr">
        <is>
          <t>UNI EN 81-50:2020, 5.11.2.2.2</t>
        </is>
      </c>
      <c r="F12" s="10" t="inlineStr">
        <is>
          <t>UNI EN 81-50:2020, testo della norma, letto il 2026-10-06, p. 40</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160" customHeight="1">
      <c r="A20" s="10" t="n">
        <v>18</v>
      </c>
      <c r="B20" s="10" t="inlineStr">
        <is>
          <t>Gole</t>
        </is>
      </c>
      <c r="C20" s="10" t="inlineStr">
        <is>
          <t>Pressione specifica nelle gole — obbligatoria solo quando i coefficienti di sicurezza minimi 12 e 16 sostituiscono il calcolo della UNI EN 81-50:2020, 5.12 (UNI 10411-1:2024, 14.1 c)–d)): il software calcola S_f secondo la 5.12 e riporta la pressione come informazione, come fa il progettista per l’organismo di verifica; la gola a V con sottosquadro non ha una formula nella D.2 (il maggiore dei due è una scelta del software)</t>
        </is>
      </c>
      <c r="D20" s="10" t="inlineStr">
        <is>
          <t>p = T/(n·d·D) · 8·cos(β/2)/(π − β − sin β) nella gola semicircolare (β = 0 senza sottosquadro), p = T/(n·d·D) · 4,5/sin(γ/2) nella gola a V, nella gola a V con sottosquadro il maggiore dei due; T tiro statico delle funi lato cabina alla puleggia di frizione, con la cabina al piano più basso con la portata; p ≤ (12,5 + 4·v_c)/(1 + v_c), v_c velocità delle funi alla velocità nominale: entro il limite informazione, oltre «Attenzione»</t>
        </is>
      </c>
      <c r="E20" s="10" t="inlineStr">
        <is>
          <t>UNI 10411-1:2024, appendice D.2 e 14.1 c)–d)</t>
        </is>
      </c>
      <c r="F20" s="10" t="inlineStr">
        <is>
          <t>UNI 10411-1:2024, testo della norma, letto il 2026-10-06, pp. 13 e 34</t>
        </is>
      </c>
      <c r="G20" s="10" t="inlineStr">
        <is>
          <t>confermato</t>
        </is>
      </c>
      <c r="H20" s="10" t="inlineStr">
        <is>
          <t>pressione specifica nelle gole (informazione)</t>
        </is>
      </c>
      <c r="I20" s="11" t="n"/>
      <c r="J20" s="11" t="n"/>
      <c r="K20" s="11" t="n"/>
      <c r="L20" s="11" t="n"/>
      <c r="M20" s="11" t="n"/>
      <c r="N20" s="11" t="n"/>
    </row>
    <row r="21" ht="43" customHeight="1">
      <c r="A21" s="10" t="n">
        <v>19</v>
      </c>
      <c r="B21" s="10" t="inlineStr">
        <is>
          <t>Funi</t>
        </is>
      </c>
      <c r="C21" s="10" t="inlineStr">
        <is>
          <t>Rapporto D/d della puleggia di frizione</t>
        </is>
      </c>
      <c r="D21" s="10" t="inlineStr">
        <is>
          <t>D/d ≥ 40</t>
        </is>
      </c>
      <c r="E21" s="10" t="inlineStr">
        <is>
          <t>UNI EN 81-20:2020, 5.5.2.1</t>
        </is>
      </c>
      <c r="F21" s="10" t="inlineStr">
        <is>
          <t>UNI EN 81-20:2020, testo della norma, letto il 2026-10-06, p. 74</t>
        </is>
      </c>
      <c r="G21" s="10" t="inlineStr">
        <is>
          <t>confermato</t>
        </is>
      </c>
      <c r="H21" s="10" t="inlineStr">
        <is>
          <t>D/d della puleggia</t>
        </is>
      </c>
      <c r="I21" s="11" t="n"/>
      <c r="J21" s="11" t="n"/>
      <c r="K21" s="11" t="n"/>
      <c r="L21" s="11" t="n"/>
      <c r="M21" s="11" t="n"/>
      <c r="N21" s="11" t="n"/>
    </row>
    <row r="22" ht="108" customHeight="1">
      <c r="A22" s="10" t="n">
        <v>20</v>
      </c>
      <c r="B22" s="10" t="inlineStr">
        <is>
          <t>Funi</t>
        </is>
      </c>
      <c r="C22" s="10" t="inlineStr">
        <is>
          <t>Rapporto D/d delle pulegge di rinvio — Il limite vale per ogni puleggia (5.5.2.1), mentre Dp è uno solo e nel calcolo di N_equiv(p) è la media delle pulegge di rinvio (UNI EN 81-50:2020, 5.12.2.3): con pulegge di diametro diverso si controlla la più piccola.</t>
        </is>
      </c>
      <c r="D22" s="10" t="inlineStr">
        <is>
          <t>Dp/d ≥ 40</t>
        </is>
      </c>
      <c r="E22" s="10" t="inlineStr">
        <is>
          <t>UNI EN 81-20:2020, 5.5.2.1; UNI 10411-1:2024, 14.3</t>
        </is>
      </c>
      <c r="F22" s="10" t="inlineStr">
        <is>
          <t>UNI EN 81-20:2020, testo della norma, letto il 2026-10-06, p. 74; UNI 10411-1:2024, testo della norma, letto il 2026-10-06, p. 14</t>
        </is>
      </c>
      <c r="G22" s="10" t="inlineStr">
        <is>
          <t>confermato</t>
        </is>
      </c>
      <c r="H22" s="10" t="inlineStr">
        <is>
          <t>Dp/d dei rinvii</t>
        </is>
      </c>
      <c r="I22" s="11" t="n"/>
      <c r="J22" s="11" t="n"/>
      <c r="K22" s="11" t="n"/>
      <c r="L22" s="11" t="n"/>
      <c r="M22" s="11" t="n"/>
      <c r="N22" s="11" t="n"/>
    </row>
    <row r="23" ht="95" customHeight="1">
      <c r="A23" s="10" t="n">
        <v>21</v>
      </c>
      <c r="B23" s="10" t="inlineStr">
        <is>
          <t>Funi</t>
        </is>
      </c>
      <c r="C23" s="10" t="inlineStr">
        <is>
          <t>Numero minimo di funi — Con 2 sole funi serve anche il dispositivo contro l’allungamento anomalo (voce funi.due): il software lo ricorda, non lo verifica.</t>
        </is>
      </c>
      <c r="D23" s="10" t="inlineStr">
        <is>
          <t>almeno 2 funi indipendenti, ciascuna con il suo attacco</t>
        </is>
      </c>
      <c r="E23" s="10" t="inlineStr">
        <is>
          <t>DPR 162/1999, All. I 1.3 (Direttiva 2014/33/UE, All. I); UNI EN 81-20:2020, 5.5</t>
        </is>
      </c>
      <c r="F23" s="10" t="inlineStr">
        <is>
          <t>DPR 162/1999 consolidato (Normattiva), letto il 2026-10-02, e Direttiva 2014/33/UE nel testo ufficiale italiano (EUR-Lex, fornito dal cliente), letto il 2026-10-04 (ricerca, cap. 16): All. I 1.3</t>
        </is>
      </c>
      <c r="G23" s="10" t="inlineStr">
        <is>
          <t>confermato</t>
        </is>
      </c>
      <c r="H23" s="10" t="inlineStr">
        <is>
          <t>numero e diametro delle funi</t>
        </is>
      </c>
      <c r="I23" s="11" t="n"/>
      <c r="J23" s="11" t="n"/>
      <c r="K23" s="11" t="n"/>
      <c r="L23" s="11" t="n"/>
      <c r="M23" s="11" t="n"/>
      <c r="N23" s="11" t="n"/>
    </row>
    <row r="24" ht="69" customHeight="1">
      <c r="A24" s="10" t="n">
        <v>22</v>
      </c>
      <c r="B24" s="10" t="inlineStr">
        <is>
          <t>Funi</t>
        </is>
      </c>
      <c r="C24" s="10" t="inlineStr">
        <is>
          <t>Cabina appesa a due funi</t>
        </is>
      </c>
      <c r="D24" s="10" t="inlineStr">
        <is>
          <t>con 2 funi un dispositivo elettrico di sicurezza (5.11.2) ferma la macchina se una fune si allunga in modo anomalo rispetto all’altra (informazione)</t>
        </is>
      </c>
      <c r="E24" s="10" t="inlineStr">
        <is>
          <t>UNI EN 81-20:2020, 5.5.5.3 a); UNI EN 81-1:2008, 9.5.3</t>
        </is>
      </c>
      <c r="F24" s="10" t="inlineStr">
        <is>
          <t>UNI EN 81-20:2020, testo della norma, letto il 2026-10-06, p. 76; UNI EN 81-1:2008, testo della norma, letto il 2026-10-06, p. 56</t>
        </is>
      </c>
      <c r="G24" s="10" t="inlineStr">
        <is>
          <t>confermato</t>
        </is>
      </c>
      <c r="H24" s="10" t="inlineStr">
        <is>
          <t>cabina appesa a due funi</t>
        </is>
      </c>
      <c r="I24" s="11" t="n"/>
      <c r="J24" s="11" t="n"/>
      <c r="K24" s="11" t="n"/>
      <c r="L24" s="11" t="n"/>
      <c r="M24" s="11" t="n"/>
      <c r="N24" s="11" t="n"/>
    </row>
    <row r="25" ht="108" customHeight="1">
      <c r="A25" s="10" t="n">
        <v>23</v>
      </c>
      <c r="B25" s="10" t="inlineStr">
        <is>
          <t>Funi</t>
        </is>
      </c>
      <c r="C25" s="10" t="inlineStr">
        <is>
          <t>Funi trattenute nelle gole</t>
        </is>
      </c>
      <c r="D25"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5" s="10" t="inlineStr">
        <is>
          <t>UNI EN 81-20:2020, 5.5.7.2</t>
        </is>
      </c>
      <c r="F25" s="10" t="inlineStr">
        <is>
          <t>UNI EN 81-20:2020, testo della norma, letto il 2026-10-06, pp. 77–78</t>
        </is>
      </c>
      <c r="G25" s="10" t="inlineStr">
        <is>
          <t>confermato</t>
        </is>
      </c>
      <c r="H25" s="10" t="inlineStr">
        <is>
          <t>funi trattenute nelle gole</t>
        </is>
      </c>
      <c r="I25" s="11" t="n"/>
      <c r="J25" s="11" t="n"/>
      <c r="K25" s="11" t="n"/>
      <c r="L25" s="11" t="n"/>
      <c r="M25" s="11" t="n"/>
      <c r="N25" s="11" t="n"/>
    </row>
    <row r="26" ht="43" customHeight="1">
      <c r="A26" s="10" t="n">
        <v>24</v>
      </c>
      <c r="B26" s="10" t="inlineStr">
        <is>
          <t>Funi</t>
        </is>
      </c>
      <c r="C26" s="10" t="inlineStr">
        <is>
          <t>Diametro nominale minimo</t>
        </is>
      </c>
      <c r="D26" s="10" t="inlineStr">
        <is>
          <t>d ≥ 8 mm</t>
        </is>
      </c>
      <c r="E26" s="10" t="inlineStr">
        <is>
          <t>UNI EN 81-20:2020, 5.5.1.2 a)</t>
        </is>
      </c>
      <c r="F26" s="10" t="inlineStr">
        <is>
          <t>UNI EN 81-20:2020, testo della norma, letto il 2026-10-06, p. 74</t>
        </is>
      </c>
      <c r="G26" s="10" t="inlineStr">
        <is>
          <t>confermato</t>
        </is>
      </c>
      <c r="H26" s="10" t="inlineStr">
        <is>
          <t>numero e diametro delle funi</t>
        </is>
      </c>
      <c r="I26" s="11" t="n"/>
      <c r="J26" s="11" t="n"/>
      <c r="K26" s="11" t="n"/>
      <c r="L26" s="11" t="n"/>
      <c r="M26" s="11" t="n"/>
      <c r="N26" s="11" t="n"/>
    </row>
    <row r="27" ht="108" customHeight="1">
      <c r="A27" s="10" t="n">
        <v>25</v>
      </c>
      <c r="B27" s="10" t="inlineStr">
        <is>
          <t>Funi</t>
        </is>
      </c>
      <c r="C27"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7" s="10" t="inlineStr">
        <is>
          <t>12 con tre o più funi; 16 con due funi</t>
        </is>
      </c>
      <c r="E27" s="10" t="inlineStr">
        <is>
          <t>UNI EN 81-20:2020, 5.5.2.2 a)–b); UNI 10411-1:2024, 14.1 c)–d)</t>
        </is>
      </c>
      <c r="F27" s="10" t="inlineStr">
        <is>
          <t>UNI EN 81-20:2020, testo della norma, letto il 2026-10-06, pp. 74–75; UNI 10411-1:2024, testo della norma, letto il 2026-10-06, p. 13</t>
        </is>
      </c>
      <c r="G27" s="10" t="inlineStr">
        <is>
          <t>confermato</t>
        </is>
      </c>
      <c r="H27" s="10" t="inlineStr">
        <is>
          <t>coefficiente di sicurezza delle funi</t>
        </is>
      </c>
      <c r="I27" s="11" t="n"/>
      <c r="J27" s="11" t="n"/>
      <c r="K27" s="11" t="n"/>
      <c r="L27" s="11" t="n"/>
      <c r="M27" s="11" t="n"/>
      <c r="N27" s="11" t="n"/>
    </row>
    <row r="28" ht="69" customHeight="1">
      <c r="A28" s="10" t="n">
        <v>26</v>
      </c>
      <c r="B28" s="10" t="inlineStr">
        <is>
          <t>Funi</t>
        </is>
      </c>
      <c r="C28" s="10" t="inlineStr">
        <is>
          <t>Coefficiente di sicurezza richiesto S_f</t>
        </is>
      </c>
      <c r="D28" s="10" t="inlineStr">
        <is>
          <t>S_f = 10^[2,6834 − log10(695,85·10^6·N_equiv/(D/d)^8,567) / log10(77,09·(D/d)^−2,894)]</t>
        </is>
      </c>
      <c r="E28" s="10" t="inlineStr">
        <is>
          <t>UNI EN 81-50:2020, 5.12.3 (ex UNI EN 81-1:2008, appendice N)</t>
        </is>
      </c>
      <c r="F28" s="10" t="inlineStr">
        <is>
          <t>UNI EN 81-50:2020, testo della norma, letto il 2026-10-06, p. 46; riprodotto anche su due casi pubblicati (liftdesign.it S_f 16,69; Mellor)</t>
        </is>
      </c>
      <c r="G28" s="10" t="inlineStr">
        <is>
          <t>confermato</t>
        </is>
      </c>
      <c r="H28" s="10" t="inlineStr">
        <is>
          <t>coefficiente di sicurezza delle funi</t>
        </is>
      </c>
      <c r="I28" s="11" t="n"/>
      <c r="J28" s="11" t="n"/>
      <c r="K28" s="11" t="n"/>
      <c r="L28" s="11" t="n"/>
      <c r="M28" s="11" t="n"/>
      <c r="N28" s="11" t="n"/>
    </row>
    <row r="29" ht="108" customHeight="1">
      <c r="A29" s="10" t="n">
        <v>27</v>
      </c>
      <c r="B29" s="10" t="inlineStr">
        <is>
          <t>Funi</t>
        </is>
      </c>
      <c r="C29"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9" s="10" t="inlineStr">
        <is>
          <t>N_equiv(p) = K_p·(N_ps + 4·N_pr), K_p = (D/Dp)^4</t>
        </is>
      </c>
      <c r="E29" s="10" t="inlineStr">
        <is>
          <t>UNI EN 81-50:2020, 5.12.2.3</t>
        </is>
      </c>
      <c r="F29" s="10" t="inlineStr">
        <is>
          <t>UNI EN 81-50:2020, testo della norma, letto il 2026-10-06, p. 46</t>
        </is>
      </c>
      <c r="G29" s="10" t="inlineStr">
        <is>
          <t>confermato</t>
        </is>
      </c>
      <c r="H29" s="10" t="inlineStr">
        <is>
          <t>coefficiente di sicurezza delle funi</t>
        </is>
      </c>
      <c r="I29" s="11" t="n"/>
      <c r="J29" s="11" t="n"/>
      <c r="K29" s="11" t="n"/>
      <c r="L29" s="11" t="n"/>
      <c r="M29" s="11" t="n"/>
      <c r="N29" s="11" t="n"/>
    </row>
    <row r="30" ht="69" customHeight="1">
      <c r="A30" s="10" t="n">
        <v>28</v>
      </c>
      <c r="B30" s="10" t="inlineStr">
        <is>
          <t>Funi</t>
        </is>
      </c>
      <c r="C30" s="10" t="inlineStr">
        <is>
          <t>N_equiv(t) della gola</t>
        </is>
      </c>
      <c r="D30" s="10" t="inlineStr">
        <is>
          <t>U senza sottosquadro 1 · U con sottosquadro: β 75° 2,5; 80° 3,0; 85° 3,8; 90° 5,0; 95° 6,7; 100° 10,0; 105° 15,2 · V: γ 35° 18,5; 36° 16,0; 38° 12,0; 40° 10,0; 42° 8,0; 45° 6,5; 50° 5,0</t>
        </is>
      </c>
      <c r="E30" s="10" t="inlineStr">
        <is>
          <t>UNI EN 81-50:2020, 5.12.2.2, prospetto 2</t>
        </is>
      </c>
      <c r="F30" s="10" t="inlineStr">
        <is>
          <t>UNI EN 81-50:2020, testo della norma, letto il 2026-10-06, p. 46 (i valori della gola a V differiscono da quelli della UNI EN 81-1:2008, prospetto N.1)</t>
        </is>
      </c>
      <c r="G30" s="10" t="inlineStr">
        <is>
          <t>confermato</t>
        </is>
      </c>
      <c r="H30" s="10" t="inlineStr">
        <is>
          <t>coefficiente di sicurezza delle funi</t>
        </is>
      </c>
      <c r="I30" s="11" t="n"/>
      <c r="J30" s="11" t="n"/>
      <c r="K30" s="11" t="n"/>
      <c r="L30" s="11" t="n"/>
      <c r="M30" s="11" t="n"/>
      <c r="N30" s="11" t="n"/>
    </row>
    <row r="31" ht="95" customHeight="1">
      <c r="A31" s="10" t="n">
        <v>29</v>
      </c>
      <c r="B31" s="10" t="inlineStr">
        <is>
          <t>Funi</t>
        </is>
      </c>
      <c r="C31" s="10" t="inlineStr">
        <is>
          <t>N_equiv(t) della gola a V con sottosquadro — Scelta dal lato della sicurezza; la UNI EN 81-1:2008 (prospetto N.1) intitola la riga con sottosquadro «U/V»: con una macchina secondo quella norma l’ingegnere può prendere il valore di β.</t>
        </is>
      </c>
      <c r="D31" s="10" t="inlineStr">
        <is>
          <t>il maggiore tra il valore per β (riga a U con sottosquadro) e quello per γ (riga a V)</t>
        </is>
      </c>
      <c r="E31" s="10" t="inlineStr">
        <is>
          <t>UNI EN 81-50:2020, 5.12.2.2, prospetto 2</t>
        </is>
      </c>
      <c r="F31" s="10" t="inlineStr">
        <is>
          <t>UNI EN 81-50:2020, testo della norma, letto il 2026-10-06, p. 46 (il prospetto non ha una riga per questa gola)</t>
        </is>
      </c>
      <c r="G31" s="10" t="inlineStr">
        <is>
          <t>scelta del software</t>
        </is>
      </c>
      <c r="H31" s="10" t="inlineStr">
        <is>
          <t>coefficiente di sicurezza delle funi</t>
        </is>
      </c>
      <c r="I31" s="11" t="n"/>
      <c r="J31" s="11" t="n"/>
      <c r="K31" s="11" t="n"/>
      <c r="L31" s="11" t="n"/>
      <c r="M31" s="11" t="n"/>
      <c r="N31" s="11" t="n"/>
    </row>
    <row r="32" ht="43" customHeight="1">
      <c r="A32" s="10" t="n">
        <v>30</v>
      </c>
      <c r="B32" s="10" t="inlineStr">
        <is>
          <t>Funi</t>
        </is>
      </c>
      <c r="C32" s="10" t="inlineStr">
        <is>
          <t>Angoli tra i punti della tabella di N_equiv(t)</t>
        </is>
      </c>
      <c r="D32" s="10" t="inlineStr">
        <is>
          <t>interpolazione lineare tra i due punti vicini</t>
        </is>
      </c>
      <c r="E32" s="10" t="inlineStr">
        <is>
          <t>UNI EN 81-50:2020, 5.12.2.2</t>
        </is>
      </c>
      <c r="F32" s="10" t="inlineStr">
        <is>
          <t>UNI EN 81-50:2020, testo della norma, letto il 2026-10-06, p. 46</t>
        </is>
      </c>
      <c r="G32" s="10" t="inlineStr">
        <is>
          <t>confermato</t>
        </is>
      </c>
      <c r="H32" s="10" t="inlineStr">
        <is>
          <t>coefficiente di sicurezza delle funi</t>
        </is>
      </c>
      <c r="I32" s="11" t="n"/>
      <c r="J32" s="11" t="n"/>
      <c r="K32" s="11" t="n"/>
      <c r="L32" s="11" t="n"/>
      <c r="M32" s="11" t="n"/>
      <c r="N32" s="11" t="n"/>
    </row>
    <row r="33" ht="82" customHeight="1">
      <c r="A33" s="10" t="n">
        <v>31</v>
      </c>
      <c r="B33" s="10" t="inlineStr">
        <is>
          <t>Funi</t>
        </is>
      </c>
      <c r="C33" s="10" t="inlineStr">
        <is>
          <t>Angoli fuori dalla tabella di N_equiv(t)</t>
        </is>
      </c>
      <c r="D33" s="10" t="inlineStr">
        <is>
          <t>U: sotto 75° il valore di 75°, oltre 105° estrapolazione dall’ultimo tratto, segnalata · V: oltre 50° il valore di 50°</t>
        </is>
      </c>
      <c r="E33" s="10" t="inlineStr">
        <is>
          <t>UNI EN 81-50:2020, 5.12.2.2</t>
        </is>
      </c>
      <c r="F33" s="10" t="inlineStr">
        <is>
          <t>scelta prudente del software (la tabella si ferma a quegli angoli; N_equiv cresce con β e cala con γ, quindi il valore dell’estremo sta dal lato della sicurezza)</t>
        </is>
      </c>
      <c r="G33" s="10" t="inlineStr">
        <is>
          <t>scelta del software</t>
        </is>
      </c>
      <c r="H33" s="10" t="inlineStr">
        <is>
          <t>coefficiente di sicurezza delle funi</t>
        </is>
      </c>
      <c r="I33" s="11" t="n"/>
      <c r="J33" s="11" t="n"/>
      <c r="K33" s="11" t="n"/>
      <c r="L33" s="11" t="n"/>
      <c r="M33" s="11" t="n"/>
      <c r="N33" s="11" t="n"/>
    </row>
    <row r="34" ht="56" customHeight="1">
      <c r="A34" s="10" t="n">
        <v>32</v>
      </c>
      <c r="B34" s="10" t="inlineStr">
        <is>
          <t>Funi</t>
        </is>
      </c>
      <c r="C34" s="10" t="inlineStr">
        <is>
          <t>Tiro massimo per fune — Con la macchina in basso il tiro sul primo tratto verso la testata è una derivazione del software.</t>
        </is>
      </c>
      <c r="D34" s="10" t="inlineStr">
        <is>
          <t>cabina con portata ferma al piano più basso; con la macchina in basso sul primo tratto verso la testata</t>
        </is>
      </c>
      <c r="E34" s="10" t="inlineStr">
        <is>
          <t>UNI EN 81-20:2020, 5.5.2.2 (definizione); UNI EN 81-50:2020, 5.12.1</t>
        </is>
      </c>
      <c r="F34" s="10" t="inlineStr">
        <is>
          <t>UNI EN 81-20:2020, testo della norma, letto il 2026-10-06, pp. 74–75</t>
        </is>
      </c>
      <c r="G34" s="10" t="inlineStr">
        <is>
          <t>confermato</t>
        </is>
      </c>
      <c r="H34" s="10" t="inlineStr">
        <is>
          <t>coefficiente di sicurezza delle funi</t>
        </is>
      </c>
      <c r="I34" s="11" t="n"/>
      <c r="J34" s="11" t="n"/>
      <c r="K34" s="11" t="n"/>
      <c r="L34" s="11" t="n"/>
      <c r="M34" s="11" t="n"/>
      <c r="N34" s="11" t="n"/>
    </row>
    <row r="35" ht="43" customHeight="1">
      <c r="A35" s="10" t="n">
        <v>33</v>
      </c>
      <c r="B35" s="10" t="inlineStr">
        <is>
          <t>Funi</t>
        </is>
      </c>
      <c r="C35" s="10" t="inlineStr">
        <is>
          <t>Stima di carico di rottura e massa delle funi</t>
        </is>
      </c>
      <c r="D35" s="10" t="inlineStr">
        <is>
          <t>8×19 Seale anima tessile 1570 N/mm²: 8 mm = 30,4 kN e 0,215 kg/m, poi in proporzione a d²</t>
        </is>
      </c>
      <c r="E35" s="10" t="inlineStr">
        <is>
          <t>—</t>
        </is>
      </c>
      <c r="F35" s="10" t="inlineStr">
        <is>
          <t>tabella Pfeifer 8×19S NFC; usata solo con il pulsante di stima e nella proposta libera</t>
        </is>
      </c>
      <c r="G35" s="10" t="inlineStr">
        <is>
          <t>stima</t>
        </is>
      </c>
      <c r="H35" s="10" t="inlineStr">
        <is>
          <t>—</t>
        </is>
      </c>
      <c r="I35" s="11" t="n"/>
      <c r="J35" s="11" t="n"/>
      <c r="K35" s="11" t="n"/>
      <c r="L35" s="11" t="n"/>
      <c r="M35" s="11" t="n"/>
      <c r="N35" s="11" t="n"/>
    </row>
    <row r="36" ht="69" customHeight="1">
      <c r="A36" s="10" t="n">
        <v>34</v>
      </c>
      <c r="B36" s="10" t="inlineStr">
        <is>
          <t>Freno</t>
        </is>
      </c>
      <c r="C36" s="10" t="inlineStr">
        <is>
          <t>Gruppi meccanici del freno</t>
        </is>
      </c>
      <c r="D36" s="10" t="inlineStr">
        <is>
          <t>almeno 2</t>
        </is>
      </c>
      <c r="E36" s="10" t="inlineStr">
        <is>
          <t>UNI EN 81-20:2020, 5.9.2.2.2.1; UNI 10411-1:2024, 14.1 a)</t>
        </is>
      </c>
      <c r="F36" s="10" t="inlineStr">
        <is>
          <t>UNI EN 81-20:2020, testo della norma, letto il 2026-10-06, p. 100; UNI 10411-1:2024, testo della norma, letto il 2026-10-06, p. 13</t>
        </is>
      </c>
      <c r="G36" s="10" t="inlineStr">
        <is>
          <t>confermato</t>
        </is>
      </c>
      <c r="H36" s="10" t="inlineStr">
        <is>
          <t>gruppi del freno</t>
        </is>
      </c>
      <c r="I36" s="11" t="n"/>
      <c r="J36" s="11" t="n"/>
      <c r="K36" s="11" t="n"/>
      <c r="L36" s="11" t="n"/>
      <c r="M36" s="11" t="n"/>
      <c r="N36" s="11" t="n"/>
    </row>
    <row r="37" ht="43" customHeight="1">
      <c r="A37" s="10" t="n">
        <v>35</v>
      </c>
      <c r="B37" s="10" t="inlineStr">
        <is>
          <t>Freno</t>
        </is>
      </c>
      <c r="C37" s="10" t="inlineStr">
        <is>
          <t>Freno, tutti i gruppi</t>
        </is>
      </c>
      <c r="D37" s="10" t="inlineStr">
        <is>
          <t>arresta la cabina in discesa a velocità nominale con 1,25·Q</t>
        </is>
      </c>
      <c r="E37" s="10" t="inlineStr">
        <is>
          <t>UNI EN 81-20:2020, 5.9.2.2.2.1</t>
        </is>
      </c>
      <c r="F37" s="10" t="inlineStr">
        <is>
          <t>UNI EN 81-20:2020, testo della norma, letto il 2026-10-06, p. 100</t>
        </is>
      </c>
      <c r="G37" s="10" t="inlineStr">
        <is>
          <t>confermato</t>
        </is>
      </c>
      <c r="H37" s="10" t="inlineStr">
        <is>
          <t>freno, tutti i gruppi</t>
        </is>
      </c>
      <c r="I37" s="11" t="n"/>
      <c r="J37" s="11" t="n"/>
      <c r="K37" s="11" t="n"/>
      <c r="L37" s="11" t="n"/>
      <c r="M37" s="11" t="n"/>
      <c r="N37" s="11" t="n"/>
    </row>
    <row r="38" ht="95" customHeight="1">
      <c r="A38" s="10" t="n">
        <v>36</v>
      </c>
      <c r="B38" s="10" t="inlineStr">
        <is>
          <t>Freno</t>
        </is>
      </c>
      <c r="C38" s="10" t="inlineStr">
        <is>
          <t>Freno, un solo gruppo — La UNI 10411-1:2024 (11.1.4) e la UNI EN 81-1:2008 (12.4.2.1) chiedono a un solo gruppo di rallentare la cabina carica in discesa; il software applica la richiesta più completa della UNI EN 81-20.</t>
        </is>
      </c>
      <c r="D38" s="10" t="inlineStr">
        <is>
          <t>rallenta, arresta e tiene la cabina con portata in discesa e la cabina vuota in salita</t>
        </is>
      </c>
      <c r="E38" s="10" t="inlineStr">
        <is>
          <t>UNI EN 81-20:2020, 5.9.2.2.2.1; UNI 10411-1:2024, 14.1 a)</t>
        </is>
      </c>
      <c r="F38" s="10" t="inlineStr">
        <is>
          <t>UNI EN 81-20:2020, testo della norma, letto il 2026-10-06, p. 100; UNI 10411-1:2024, testo della norma, letto il 2026-10-06, p. 13</t>
        </is>
      </c>
      <c r="G38" s="10" t="inlineStr">
        <is>
          <t>confermato</t>
        </is>
      </c>
      <c r="H38" s="10" t="inlineStr">
        <is>
          <t>freno, un gruppo in discesa; freno, un gruppo a vuoto in salita</t>
        </is>
      </c>
      <c r="I38" s="11" t="n"/>
      <c r="J38" s="11" t="n"/>
      <c r="K38" s="11" t="n"/>
      <c r="L38" s="11" t="n"/>
      <c r="M38" s="11" t="n"/>
      <c r="N38" s="11" t="n"/>
    </row>
    <row r="39" ht="43" customHeight="1">
      <c r="A39" s="10" t="n">
        <v>37</v>
      </c>
      <c r="B39" s="10" t="inlineStr">
        <is>
          <t>Freno</t>
        </is>
      </c>
      <c r="C39" s="10" t="inlineStr">
        <is>
          <t>Attrito del riduttore nel fabbisogno del freno</t>
        </is>
      </c>
      <c r="D39" s="10" t="inlineStr">
        <is>
          <t>non conteggiato (η_i = 1): a favore di sicurezza</t>
        </is>
      </c>
      <c r="E39" s="10" t="inlineStr">
        <is>
          <t>—</t>
        </is>
      </c>
      <c r="F39" s="10" t="inlineStr">
        <is>
          <t>scelta prudente del software</t>
        </is>
      </c>
      <c r="G39" s="10" t="inlineStr">
        <is>
          <t>scelta del software</t>
        </is>
      </c>
      <c r="H39" s="10" t="inlineStr">
        <is>
          <t>freno, tutti i gruppi; freno, un gruppo in discesa; freno, un gruppo a vuoto in salita</t>
        </is>
      </c>
      <c r="I39" s="11" t="n"/>
      <c r="J39" s="11" t="n"/>
      <c r="K39" s="11" t="n"/>
      <c r="L39" s="11" t="n"/>
      <c r="M39" s="11" t="n"/>
      <c r="N39" s="11" t="n"/>
    </row>
    <row r="40" ht="108" customHeight="1">
      <c r="A40" s="10" t="n">
        <v>38</v>
      </c>
      <c r="B40" s="10" t="inlineStr">
        <is>
          <t>Freno</t>
        </is>
      </c>
      <c r="C40" s="10" t="inlineStr">
        <is>
          <t>Decelerazione massima del freno — La norma non dà un numero per il freno: ne confronta la decelerazione media con quella del paracadute e dell’urto sugli ammortizzatori, che hanno 1 gn come limite. Il confronto vero è con i dati dei componenti montati.</t>
        </is>
      </c>
      <c r="D40" s="10" t="inlineStr">
        <is>
          <t>≤ 1 g (oltre: «Attenzione»), da confrontare con paracadute e ammortizzatori</t>
        </is>
      </c>
      <c r="E40" s="10" t="inlineStr">
        <is>
          <t>UNI EN 81-20:2020, 5.9.2.2.2.1 (non oltre il paracadute o l’urto sugli ammortizzatori); 1 gn in 5.6.2.1.3 e 5.8.2; con il freno come organo d’arresto, 1 gn anche in 5.6.6.3 (ACOP) e 5.6.7.6 (UCM)</t>
        </is>
      </c>
      <c r="F40" s="10" t="inlineStr">
        <is>
          <t>UNI EN 81-20:2020, testo della norma, letto il 2026-10-06, pp. 81, 98–100</t>
        </is>
      </c>
      <c r="G40" s="10" t="inlineStr">
        <is>
          <t>derivazione</t>
        </is>
      </c>
      <c r="H40" s="10" t="inlineStr">
        <is>
          <t>decelerazione massima del freno</t>
        </is>
      </c>
      <c r="I40" s="11" t="n"/>
      <c r="J40" s="11" t="n"/>
      <c r="K40" s="11" t="n"/>
      <c r="L40" s="11" t="n"/>
      <c r="M40" s="11" t="n"/>
      <c r="N40" s="11" t="n"/>
    </row>
    <row r="41" ht="56" customHeight="1">
      <c r="A41" s="10" t="n">
        <v>39</v>
      </c>
      <c r="B41" s="10" t="inlineStr">
        <is>
          <t>Riduttore e motore</t>
        </is>
      </c>
      <c r="C41" s="10" t="inlineStr">
        <is>
          <t>Rendimento inverso del riduttore se non dato — Da sostituire con il valore del costruttore: la decelerazione reale del freno ne dipende molto.</t>
        </is>
      </c>
      <c r="D41" s="10" t="inlineStr">
        <is>
          <t>η_i ≈ 2 − 1/η_d (0 = irreversibile)</t>
        </is>
      </c>
      <c r="E41" s="10" t="inlineStr">
        <is>
          <t>—</t>
        </is>
      </c>
      <c r="F41" s="10" t="inlineStr">
        <is>
          <t>approssimazione della teoria della vite senza fine</t>
        </is>
      </c>
      <c r="G41" s="10" t="inlineStr">
        <is>
          <t>stima</t>
        </is>
      </c>
      <c r="H41" s="10" t="inlineStr">
        <is>
          <t>aderenza alla decelerazione reale (avviso); decelerazione massima del freno</t>
        </is>
      </c>
      <c r="I41" s="11" t="n"/>
      <c r="J41" s="11" t="n"/>
      <c r="K41" s="11" t="n"/>
      <c r="L41" s="11" t="n"/>
      <c r="M41" s="11" t="n"/>
      <c r="N41" s="11" t="n"/>
    </row>
    <row r="42" ht="43" customHeight="1">
      <c r="A42" s="10" t="n">
        <v>40</v>
      </c>
      <c r="B42" s="10" t="inlineStr">
        <is>
          <t>Riduttore e motore</t>
        </is>
      </c>
      <c r="C42" s="10" t="inlineStr">
        <is>
          <t>Coppia di accelerazione</t>
        </is>
      </c>
      <c r="D42" s="10" t="inlineStr">
        <is>
          <t>≤ 2 volte la coppia nominale (oltre: «Attenzione»; nella proposta: criterio di scelta del motore)</t>
        </is>
      </c>
      <c r="E42" s="10" t="inlineStr">
        <is>
          <t>—</t>
        </is>
      </c>
      <c r="F42" s="10" t="inlineStr">
        <is>
          <t>scelta del software; il limite vero è quello di motore e inverter</t>
        </is>
      </c>
      <c r="G42" s="10" t="inlineStr">
        <is>
          <t>scelta del software</t>
        </is>
      </c>
      <c r="H42" s="10" t="inlineStr">
        <is>
          <t>coppia di accelerazione</t>
        </is>
      </c>
      <c r="I42" s="11" t="n"/>
      <c r="J42" s="11" t="n"/>
      <c r="K42" s="11" t="n"/>
      <c r="L42" s="11" t="n"/>
      <c r="M42" s="11" t="n"/>
      <c r="N42" s="11" t="n"/>
    </row>
    <row r="43" ht="30" customHeight="1">
      <c r="A43" s="10" t="n">
        <v>41</v>
      </c>
      <c r="B43" s="10" t="inlineStr">
        <is>
          <t>Riduttore e motore</t>
        </is>
      </c>
      <c r="C43" s="10" t="inlineStr">
        <is>
          <t>Soglia di attenzione sui limiti del costruttore</t>
        </is>
      </c>
      <c r="D43" s="10" t="inlineStr">
        <is>
          <t>oltre il 98% del limite di catalogo (albero, coppia in uscita) → «Attenzione»</t>
        </is>
      </c>
      <c r="E43" s="10" t="inlineStr">
        <is>
          <t>—</t>
        </is>
      </c>
      <c r="F43" s="10" t="inlineStr">
        <is>
          <t>scelta del software</t>
        </is>
      </c>
      <c r="G43" s="10" t="inlineStr">
        <is>
          <t>scelta del software</t>
        </is>
      </c>
      <c r="H43" s="10" t="inlineStr">
        <is>
          <t>carico sull’albero; coppia in uscita</t>
        </is>
      </c>
      <c r="I43" s="11" t="n"/>
      <c r="J43" s="11" t="n"/>
      <c r="K43" s="11" t="n"/>
      <c r="L43" s="11" t="n"/>
      <c r="M43" s="11" t="n"/>
      <c r="N43" s="11" t="n"/>
    </row>
    <row r="44" ht="108" customHeight="1">
      <c r="A44" s="10" t="n">
        <v>42</v>
      </c>
      <c r="B44" s="10" t="inlineStr">
        <is>
          <t>Riduttore e motore</t>
        </is>
      </c>
      <c r="C44" s="10" t="inlineStr">
        <is>
          <t>Potenza statica del motore — fino al motore 1.4.0 la proposta da catalogo teneva il motore scelto con il rapporto ideale della griglia: con un rapporto del catalogo più veloce la potenza alla coppia statica poteva superare il motore proposto</t>
        </is>
      </c>
      <c r="D44"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 con un argano di catalogo il motore si sceglie con il rapporto del catalogo, non con quello ideale</t>
        </is>
      </c>
      <c r="E44" s="10" t="inlineStr">
        <is>
          <t>—</t>
        </is>
      </c>
      <c r="F44" s="10" t="inlineStr">
        <is>
          <t>derivazione</t>
        </is>
      </c>
      <c r="G44" s="10" t="inlineStr">
        <is>
          <t>derivazione</t>
        </is>
      </c>
      <c r="H44" s="10" t="inlineStr">
        <is>
          <t>potenza del motore</t>
        </is>
      </c>
      <c r="I44" s="11" t="n"/>
      <c r="J44" s="11" t="n"/>
      <c r="K44" s="11" t="n"/>
      <c r="L44" s="11" t="n"/>
      <c r="M44" s="11" t="n"/>
      <c r="N44" s="11" t="n"/>
    </row>
    <row r="45" ht="134" customHeight="1">
      <c r="A45" s="10" t="n">
        <v>43</v>
      </c>
      <c r="B45" s="10" t="inlineStr">
        <is>
          <t>Riduttore e motore</t>
        </is>
      </c>
      <c r="C45" s="10" t="inlineStr">
        <is>
          <t>Coppia massima in uscita dal riduttore — fino al motore 1.4.0 la coppia contava solo l’accelerazione: in frenatura di emergenza con il freno reale la coppia sull’albero lento è di solito la maggiore (nell’esempio della revisione 1,9 volte)</t>
        </is>
      </c>
      <c r="D45" s="10" t="inlineStr">
        <is>
          <t>M_p il maggiore tra: accelerazione, ΔF·D/2 + J·i·α_m (cabina con la portata in salita, vuota in discesa); frenatura di emergenza con il freno reale (tutti i gruppi), |T1 − T2|·D/2 + J_s·r·a/(D/2) nel caso più gravoso, l’inerzia della puleggia dal lato del lento sommata a quella delle funi (a favore di sicurezza); prova con 1,25·Q, |T1 − T2|·D/2; confrontata con il valore di catalogo se inserito; al costruttore si chiede il maggiore arrotondato per eccesso a 10 N·m</t>
        </is>
      </c>
      <c r="E45" s="10" t="inlineStr">
        <is>
          <t>dato del costruttore; i casi delle verifiche di aderenza (UNI EN 81-50:2020, 5.11.2.2.1 e 5.11.2.2.2)</t>
        </is>
      </c>
      <c r="F45" s="10" t="inlineStr">
        <is>
          <t>derivazione</t>
        </is>
      </c>
      <c r="G45" s="10" t="inlineStr">
        <is>
          <t>derivazione</t>
        </is>
      </c>
      <c r="H45" s="10" t="inlineStr">
        <is>
          <t>coppia in uscita</t>
        </is>
      </c>
      <c r="I45" s="11" t="n"/>
      <c r="J45" s="11" t="n"/>
      <c r="K45" s="11" t="n"/>
      <c r="L45" s="11" t="n"/>
      <c r="M45" s="11" t="n"/>
      <c r="N45" s="11" t="n"/>
    </row>
    <row r="46" ht="147" customHeight="1">
      <c r="A46" s="10" t="n">
        <v>44</v>
      </c>
      <c r="B46" s="10" t="inlineStr">
        <is>
          <t>Riduttore e motore</t>
        </is>
      </c>
      <c r="C46"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t>
        </is>
      </c>
      <c r="D46" s="10" t="inlineStr">
        <is>
          <t>con metà portata a metà corsa, in salita e in discesa, non oltre il 5 % sopra la nominale (buona pratica: non oltre l'8 % sotto); non verificata: il software mostra la velocità reale e la frequenza per la nominale</t>
        </is>
      </c>
      <c r="E46" s="10" t="inlineStr">
        <is>
          <t>UNI EN 81-20:2020, 5.9.2.4; UNI 10411-1:2024, 15.1</t>
        </is>
      </c>
      <c r="F46" s="10" t="inlineStr">
        <is>
          <t>UNI EN 81-20:2020, testo della norma, letto il 2026-10-06, p. 102; UNI 10411-1:2024, testo della norma, letto il 2026-10-06, p. 14</t>
        </is>
      </c>
      <c r="G46" s="10" t="inlineStr">
        <is>
          <t>confermato</t>
        </is>
      </c>
      <c r="H46" s="10" t="inlineStr">
        <is>
          <t>—</t>
        </is>
      </c>
      <c r="I46" s="11" t="n"/>
      <c r="J46" s="11" t="n"/>
      <c r="K46" s="11" t="n"/>
      <c r="L46" s="11" t="n"/>
      <c r="M46" s="11" t="n"/>
      <c r="N46" s="11" t="n"/>
    </row>
    <row r="47" ht="82" customHeight="1">
      <c r="A47" s="10" t="n">
        <v>45</v>
      </c>
      <c r="B47" s="10" t="inlineStr">
        <is>
          <t>Manovra di emergenza</t>
        </is>
      </c>
      <c r="C47" s="10" t="inlineStr">
        <is>
          <t>Forza al volantino per far salire la cabina con la portata — La forza è quella per far salire la cabina con la portata dal piano più basso, con i rendimenti del riduttore (in avanti) e del vano.</t>
        </is>
      </c>
      <c r="D47" s="10" t="inlineStr">
        <is>
          <t>≤ 400 N, altrimenti manovra elettrica di emergenza: secondo la UNI EN 81-20:2020 quella della 5.12.1.6 (al massimo 0,30 m/s); secondo la UNI EN 81-1:2008 quella della 14.2.1.4 (al massimo 0,63 m/s)</t>
        </is>
      </c>
      <c r="E47" s="10" t="inlineStr">
        <is>
          <t>UNI EN 81-20:2020, 5.9.2.3.3 e 5.12.1.6; UNI EN 81-1:2008, 12.5.1–12.5.2 e 14.2.1.4</t>
        </is>
      </c>
      <c r="F47" s="10" t="inlineStr">
        <is>
          <t>UNI EN 81-20:2020, testo della norma, letto il 2026-10-06, pp. 102 e 129; UNI EN 81-1:2008, testo della norma, letto il 2026-10-06, pp. 69 e 89–90</t>
        </is>
      </c>
      <c r="G47" s="10" t="inlineStr">
        <is>
          <t>confermato</t>
        </is>
      </c>
      <c r="H47" s="10" t="inlineStr">
        <is>
          <t>forza al volantino</t>
        </is>
      </c>
      <c r="I47" s="11" t="n"/>
      <c r="J47" s="11" t="n"/>
      <c r="K47" s="11" t="n"/>
      <c r="L47" s="11" t="n"/>
      <c r="M47" s="11" t="n"/>
      <c r="N47" s="11" t="n"/>
    </row>
    <row r="48" ht="121" customHeight="1">
      <c r="A48" s="10" t="n">
        <v>46</v>
      </c>
      <c r="B48" s="10" t="inlineStr">
        <is>
          <t>Manovra di emergenza</t>
        </is>
      </c>
      <c r="C48" s="10" t="inlineStr">
        <is>
          <t>Mezzo meccanico per la manovra di emergenza — Solo con la macchina secondo la UNI EN 81-20:2020: la UNI EN 81-1:2008 non ha la soglia dei 150 N né l’ora di autonomia. Il verso della forza non è dato dalla norma: il software prende il peggiore.</t>
        </is>
      </c>
      <c r="D48"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8" s="10" t="inlineStr">
        <is>
          <t>UNI EN 81-20:2020, 5.9.2.2.2.9, 5.9.2.3.1 e 5.9.2.3.3</t>
        </is>
      </c>
      <c r="F48" s="10" t="inlineStr">
        <is>
          <t>UNI EN 81-20:2020, testo della norma, letto il 2026-10-06, pp. 101–102</t>
        </is>
      </c>
      <c r="G48" s="10" t="inlineStr">
        <is>
          <t>confermato</t>
        </is>
      </c>
      <c r="H48" s="10" t="inlineStr">
        <is>
          <t>forza al volantino fino a una fermata</t>
        </is>
      </c>
      <c r="I48" s="11" t="n"/>
      <c r="J48" s="11" t="n"/>
      <c r="K48" s="11" t="n"/>
      <c r="L48" s="11" t="n"/>
      <c r="M48" s="11" t="n"/>
      <c r="N48" s="11" t="n"/>
    </row>
    <row r="49" ht="69" customHeight="1">
      <c r="A49" s="10" t="n">
        <v>47</v>
      </c>
      <c r="B49" s="10" t="inlineStr">
        <is>
          <t>Manovra di emergenza</t>
        </is>
      </c>
      <c r="C49" s="10" t="inlineStr">
        <is>
          <t>Movimento per gravità con il freno aperto a mano — Il rendimento inverso η_i è quello inserito o la stima della voce azionamento.rendimento.inverso.</t>
        </is>
      </c>
      <c r="D49" s="10" t="inlineStr">
        <is>
          <t>con il riduttore irreversibile (η_i = 0) la cabina non si muove aprendo il freno: servono i mezzi della 5.9.2.3 (informazione)</t>
        </is>
      </c>
      <c r="E49" s="10" t="inlineStr">
        <is>
          <t>UNI EN 81-20:2020, 5.9.2.2.2.9</t>
        </is>
      </c>
      <c r="F49" s="10" t="inlineStr">
        <is>
          <t>UNI EN 81-20:2020, testo della norma, letto il 2026-10-06, p. 101</t>
        </is>
      </c>
      <c r="G49" s="10" t="inlineStr">
        <is>
          <t>confermato</t>
        </is>
      </c>
      <c r="H49" s="10" t="inlineStr">
        <is>
          <t>movimento per gravità</t>
        </is>
      </c>
      <c r="I49" s="11" t="n"/>
      <c r="J49" s="11" t="n"/>
      <c r="K49" s="11" t="n"/>
      <c r="L49" s="11" t="n"/>
      <c r="M49" s="11" t="n"/>
      <c r="N49" s="11" t="n"/>
    </row>
    <row r="50" ht="56" customHeight="1">
      <c r="A50" s="10" t="n">
        <v>48</v>
      </c>
      <c r="B50" s="10" t="inlineStr">
        <is>
          <t>Albero e ancoraggi</t>
        </is>
      </c>
      <c r="C50" s="10" t="inlineStr">
        <is>
          <t>Carico sull’albero della puleggia</t>
        </is>
      </c>
      <c r="D50" s="10" t="inlineStr">
        <is>
          <t>risultante dei tiri con 1,25·Q al piano più basso, confrontata con il limite del costruttore</t>
        </is>
      </c>
      <c r="E50" s="10" t="inlineStr">
        <is>
          <t>dato del costruttore; 1,25·Q come nella verifica di caricamento (UNI EN 81-50:2020, 5.11.2.2.1)</t>
        </is>
      </c>
      <c r="F50" s="10" t="inlineStr">
        <is>
          <t>derivazione; la definizione del carico va confermata con il costruttore</t>
        </is>
      </c>
      <c r="G50" s="10" t="inlineStr">
        <is>
          <t>derivazione</t>
        </is>
      </c>
      <c r="H50" s="10" t="inlineStr">
        <is>
          <t>carico sull’albero</t>
        </is>
      </c>
      <c r="I50" s="11" t="n"/>
      <c r="J50" s="11" t="n"/>
      <c r="K50" s="11" t="n"/>
      <c r="L50" s="11" t="n"/>
      <c r="M50" s="11" t="n"/>
      <c r="N50" s="11" t="n"/>
    </row>
    <row r="51" ht="134" customHeight="1">
      <c r="A51" s="10" t="n">
        <v>49</v>
      </c>
      <c r="B51" s="10" t="inlineStr">
        <is>
          <t>Albero e ancoraggi</t>
        </is>
      </c>
      <c r="C51" s="10" t="inlineStr">
        <is>
          <t>Sollevamento netto sugli ancoraggi (macchina in basso) — fino a LIFT 1.28.0 il foglio 1 e la relazione davano solo il valore statico alla prova con 1,25·Q, senza il coefficiente dinamico che lo stesso foglio applica ai carichi sulla soletta</t>
        </is>
      </c>
      <c r="D51" s="10" t="inlineStr">
        <is>
          <t>alla prova con 1,25·Q la risultante dei tiri verso l’alto meno la massa della macchina; con la portata Q la risultante per il coefficiente dinamico dei carichi sull’edificio (voce carichi.macchina) meno la massa della macchina, che non si moltiplica; la massa è quella del calcolo (per un argano di catalogo quella del catalogo, il limite inferiore), a favore di sicurezza; per tirafondi e ancoranti il maggiore dei due, da verificare con il progettista strutturale</t>
        </is>
      </c>
      <c r="E51" s="10" t="inlineStr">
        <is>
          <t>UNI EN 81-20:2020, 5.2.1.8.1 e appendice E.1 (informativa)</t>
        </is>
      </c>
      <c r="F51" s="10" t="inlineStr">
        <is>
          <t>derivazione; UNI EN 81-20:2020, testo della norma, letto il 2026-10-06, pp. 26, 148</t>
        </is>
      </c>
      <c r="G51" s="10" t="inlineStr">
        <is>
          <t>derivazione</t>
        </is>
      </c>
      <c r="H51" s="10" t="inlineStr">
        <is>
          <t>sollevamento netto</t>
        </is>
      </c>
      <c r="I51" s="11" t="n"/>
      <c r="J51" s="11" t="n"/>
      <c r="K51" s="11" t="n"/>
      <c r="L51" s="11" t="n"/>
      <c r="M51" s="11" t="n"/>
      <c r="N51" s="11" t="n"/>
    </row>
    <row r="52" ht="108" customHeight="1">
      <c r="A52" s="10" t="n">
        <v>50</v>
      </c>
      <c r="B52" s="10" t="inlineStr">
        <is>
          <t>Sostituzione (Italia)</t>
        </is>
      </c>
      <c r="C52" s="10" t="inlineStr">
        <is>
          <t>La sostituzione del macchinario è una modifica costruttiva</t>
        </is>
      </c>
      <c r="D52"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2" s="10" t="inlineStr">
        <is>
          <t>DPR 162/1999 e s.m.i., art. 2 c.1 lett. cc), art. 12 c.4–5, art. 14 c.3</t>
        </is>
      </c>
      <c r="F52" s="10" t="inlineStr">
        <is>
          <t>DPR 162/1999 consolidato (Normattiva), letto il 2026-10-02 (ricerca, cap. 16), §3.2</t>
        </is>
      </c>
      <c r="G52" s="10" t="inlineStr">
        <is>
          <t>confermato</t>
        </is>
      </c>
      <c r="H52" s="10" t="inlineStr">
        <is>
          <t>—</t>
        </is>
      </c>
      <c r="I52" s="11" t="n"/>
      <c r="J52" s="11" t="n"/>
      <c r="K52" s="11" t="n"/>
      <c r="L52" s="11" t="n"/>
      <c r="M52" s="11" t="n"/>
      <c r="N52" s="11" t="n"/>
    </row>
    <row r="53" ht="290" customHeight="1">
      <c r="A53" s="10" t="n">
        <v>51</v>
      </c>
      <c r="B53" s="10" t="inlineStr">
        <is>
          <t>Sostituzione (Italia)</t>
        </is>
      </c>
      <c r="C53" s="10" t="inlineStr">
        <is>
          <t>Adeguamenti richiesti per la sostituzione del macchinario</t>
        </is>
      </c>
      <c r="D53"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3" s="10" t="inlineStr">
        <is>
          <t>UNI 10411-1:2024, 4, 14.1–14.4, 17.1, 25.5, appendice C; UNI 10411-11:2024, 14.1–14.3, 17</t>
        </is>
      </c>
      <c r="F53" s="10" t="inlineStr">
        <is>
          <t>UNI 10411-1:2024, testo della norma, letto il 2026-10-06, pp. 6, 13–14, 16, 21 e 30; UNI 10411-11:2024, testo della norma, letto il 2026-10-06, pp. 12 e 14</t>
        </is>
      </c>
      <c r="G53" s="10" t="inlineStr">
        <is>
          <t>confermato</t>
        </is>
      </c>
      <c r="H53" s="10" t="inlineStr">
        <is>
          <t>gruppi del freno</t>
        </is>
      </c>
      <c r="I53" s="11" t="n"/>
      <c r="J53" s="11" t="n"/>
      <c r="K53" s="11" t="n"/>
      <c r="L53" s="11" t="n"/>
      <c r="M53" s="11" t="n"/>
      <c r="N53" s="11" t="n"/>
    </row>
    <row r="54" ht="43" customHeight="1">
      <c r="A54" s="10" t="n">
        <v>52</v>
      </c>
      <c r="B54" s="10" t="inlineStr">
        <is>
          <t>Sostituzione (Italia)</t>
        </is>
      </c>
      <c r="C54" s="10" t="inlineStr">
        <is>
          <t>Funi nella sostituzione</t>
        </is>
      </c>
      <c r="D54" s="10" t="inlineStr">
        <is>
          <t>di norma funi nuove con lo stesso numero e diametro di quelle montate; la proposta le tiene fisse</t>
        </is>
      </c>
      <c r="E54" s="10" t="inlineStr">
        <is>
          <t>—</t>
        </is>
      </c>
      <c r="F54" s="10" t="inlineStr">
        <is>
          <t>indicazione di Panev Ascensori (29 settembre 2026)</t>
        </is>
      </c>
      <c r="G54" s="10" t="inlineStr">
        <is>
          <t>prassi di cantiere</t>
        </is>
      </c>
      <c r="H54" s="10" t="inlineStr">
        <is>
          <t>—</t>
        </is>
      </c>
      <c r="I54" s="11" t="n"/>
      <c r="J54" s="11" t="n"/>
      <c r="K54" s="11" t="n"/>
      <c r="L54" s="11" t="n"/>
      <c r="M54" s="11" t="n"/>
      <c r="N54" s="11" t="n"/>
    </row>
    <row r="55" ht="43" customHeight="1">
      <c r="A55" s="10" t="n">
        <v>53</v>
      </c>
      <c r="B55" s="10" t="inlineStr">
        <is>
          <t>Modello di calcolo</t>
        </is>
      </c>
      <c r="C55" s="10" t="inlineStr">
        <is>
          <t>Accelerazione di gravità</t>
        </is>
      </c>
      <c r="D55" s="10" t="inlineStr">
        <is>
          <t>g = 9,81 m/s² (anche come limite di 1 g)</t>
        </is>
      </c>
      <c r="E55" s="10" t="inlineStr">
        <is>
          <t>UNI EN 81-20:2020, 5.2.1.8.5 (g_n = 9,81 m/s²)</t>
        </is>
      </c>
      <c r="F55" s="10" t="inlineStr">
        <is>
          <t>UNI EN 81-20:2020, testo della norma, letto il 2026-10-06, p. 27</t>
        </is>
      </c>
      <c r="G55" s="10" t="inlineStr">
        <is>
          <t>confermato</t>
        </is>
      </c>
      <c r="H55" s="10" t="inlineStr">
        <is>
          <t>—</t>
        </is>
      </c>
      <c r="I55" s="11" t="n"/>
      <c r="J55" s="11" t="n"/>
      <c r="K55" s="11" t="n"/>
      <c r="L55" s="11" t="n"/>
      <c r="M55" s="11" t="n"/>
      <c r="N55" s="11" t="n"/>
    </row>
    <row r="56" ht="69" customHeight="1">
      <c r="A56" s="10" t="n">
        <v>54</v>
      </c>
      <c r="B56" s="10" t="inlineStr">
        <is>
          <t>Modello di calcolo</t>
        </is>
      </c>
      <c r="C56" s="10" t="inlineStr">
        <is>
          <t>Tiri con il metodo del percorso della fune — Il fattore (r² + 2)/3 vale esattamente r per le taglie 1:1 e 2:1, le sole del software.</t>
        </is>
      </c>
      <c r="D56" s="10" t="inlineStr">
        <is>
          <t>masse per lato, funi di ogni tratto con il fattore (r² + 2)/3, inerzia delle pulegge di rinvio e, in taglia 2:1, delle pulegge di cabina e di contrappeso (termine III); attrito di guide e pulegge trascurato in aderenza</t>
        </is>
      </c>
      <c r="E56" s="10" t="inlineStr">
        <is>
          <t>UNI EN 81-50:2020, 5.11.3</t>
        </is>
      </c>
      <c r="F56" s="10" t="inlineStr">
        <is>
          <t>UNI EN 81-50:2020, testo della norma, letto il 2026-10-06, pp. 43–44</t>
        </is>
      </c>
      <c r="G56" s="10" t="inlineStr">
        <is>
          <t>confermato</t>
        </is>
      </c>
      <c r="H56" s="10" t="inlineStr">
        <is>
          <t>aderenza al caricamento; aderenza in frenatura, in discesa; aderenza in frenatura, in salita; aderenza alla decelerazione reale (avviso); cabina bloccata</t>
        </is>
      </c>
      <c r="I56" s="11" t="n"/>
      <c r="J56" s="11" t="n"/>
      <c r="K56" s="11" t="n"/>
      <c r="L56" s="11" t="n"/>
      <c r="M56" s="11" t="n"/>
      <c r="N56" s="11" t="n"/>
    </row>
    <row r="57" ht="108" customHeight="1">
      <c r="A57" s="10" t="n">
        <v>55</v>
      </c>
      <c r="B57" s="10" t="inlineStr">
        <is>
          <t>Modello di calcolo</t>
        </is>
      </c>
      <c r="C57"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7" s="10" t="inlineStr">
        <is>
          <t>una puleggia per lato, con l’inerzia J_p e il diametro D_p delle pulegge di rinvio: massa ridotta J_p/R_p², con l’accelerazione della cabina divisa per r, nei tiri e nell’inerzia riportata al motore</t>
        </is>
      </c>
      <c r="E57" s="10" t="inlineStr">
        <is>
          <t>UNI EN 81-50:2020, 5.11.3 (termine III)</t>
        </is>
      </c>
      <c r="F57" s="10" t="inlineStr">
        <is>
          <t>UNI EN 81-50:2020, testo della norma, letto il 2026-10-06, pp. 43–44; numero e inerzia delle pulegge: scelta del software</t>
        </is>
      </c>
      <c r="G57" s="10" t="inlineStr">
        <is>
          <t>scelta del software</t>
        </is>
      </c>
      <c r="H57" s="10" t="inlineStr">
        <is>
          <t>aderenza in frenatura, in discesa; aderenza in frenatura, in salita; aderenza alla decelerazione reale (avviso)</t>
        </is>
      </c>
      <c r="I57" s="11" t="n"/>
      <c r="J57" s="11" t="n"/>
      <c r="K57" s="11" t="n"/>
      <c r="L57" s="11" t="n"/>
      <c r="M57" s="11" t="n"/>
      <c r="N57" s="11" t="n"/>
    </row>
    <row r="58" ht="69" customHeight="1">
      <c r="A58" s="10" t="n">
        <v>56</v>
      </c>
      <c r="B58" s="10" t="inlineStr">
        <is>
          <t>Modello di calcolo</t>
        </is>
      </c>
      <c r="C58" s="10" t="inlineStr">
        <is>
          <t>Macchina in basso: tratto tra la macchina e le pulegge in testata — Il testo stampa a in entrambe le edizioni; a 1:1 le due forme coincidono.</t>
        </is>
      </c>
      <c r="D58" s="10" t="inlineStr">
        <is>
          <t>con l’accelerazione a della cabina, come stampato nella norma; nella taglia 2:1 il software mostra anche l’esito con r·a, l’accelerazione fisica di quel tratto: «Attenzione» se supera il limite, mai «Non soddisfatta»</t>
        </is>
      </c>
      <c r="E58" s="10" t="inlineStr">
        <is>
          <t>UNI EN 81-50:2020, 5.11.3 (MSR1)</t>
        </is>
      </c>
      <c r="F58" s="10" t="inlineStr">
        <is>
          <t>UNI EN 81-50:2020, testo della norma, letto il 2026-10-06, p. 44</t>
        </is>
      </c>
      <c r="G58" s="10" t="inlineStr">
        <is>
          <t>confermato</t>
        </is>
      </c>
      <c r="H58" s="10" t="inlineStr">
        <is>
          <t>aderenza in frenatura, in discesa; aderenza in frenatura, in salita; tratto macchina–testata a r·a (avviso)</t>
        </is>
      </c>
      <c r="I58" s="11" t="n"/>
      <c r="J58" s="11" t="n"/>
      <c r="K58" s="11" t="n"/>
      <c r="L58" s="11" t="n"/>
      <c r="M58" s="11" t="n"/>
      <c r="N58" s="11" t="n"/>
    </row>
    <row r="59" ht="82" customHeight="1">
      <c r="A59" s="10" t="n">
        <v>57</v>
      </c>
      <c r="B59" s="10" t="inlineStr">
        <is>
          <t>Modello di calcolo</t>
        </is>
      </c>
      <c r="C59" s="10" t="inlineStr">
        <is>
          <t>Velocità nominale e compensazione</t>
        </is>
      </c>
      <c r="D59" s="10" t="inlineStr">
        <is>
          <t>oltre 1,75 m/s i mezzi di compensazione senza tensionamento vanno guidati vicino all’ansa («Attenzione»); oltre 3 m/s servono funi di compensazione con puleggia tenditrice, che il modello non contiene («Non soddisfatta»: fuori dal campo del software)</t>
        </is>
      </c>
      <c r="E59" s="10" t="inlineStr">
        <is>
          <t>UNI EN 81-20:2020, 5.5.6.1 a)–d)</t>
        </is>
      </c>
      <c r="F59" s="10" t="inlineStr">
        <is>
          <t>UNI EN 81-20:2020, testo della norma, letto il 2026-10-06, p. 76</t>
        </is>
      </c>
      <c r="G59" s="10" t="inlineStr">
        <is>
          <t>confermato</t>
        </is>
      </c>
      <c r="H59" s="10" t="inlineStr">
        <is>
          <t>velocità e compensazione</t>
        </is>
      </c>
      <c r="I59" s="11" t="n"/>
      <c r="J59" s="11" t="n"/>
      <c r="K59" s="11" t="n"/>
      <c r="L59" s="11" t="n"/>
      <c r="M59" s="11" t="n"/>
      <c r="N59" s="11" t="n"/>
    </row>
    <row r="60" ht="121" customHeight="1">
      <c r="A60" s="10" t="n">
        <v>58</v>
      </c>
      <c r="B60" s="10" t="inlineStr">
        <is>
          <t>Modello di calcolo</t>
        </is>
      </c>
      <c r="C60"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60" s="10" t="inlineStr">
        <is>
          <t>non modellati a parte: la loro massa sul lato cabina entra in P</t>
        </is>
      </c>
      <c r="E60" s="10" t="inlineStr">
        <is>
          <t>UNI EN 81-50:2020, 5.11.3</t>
        </is>
      </c>
      <c r="F60" s="10" t="inlineStr">
        <is>
          <t>limite del modello attuale</t>
        </is>
      </c>
      <c r="G60" s="10" t="inlineStr">
        <is>
          <t>scelta del software</t>
        </is>
      </c>
      <c r="H60" s="10" t="inlineStr">
        <is>
          <t>—</t>
        </is>
      </c>
      <c r="I60" s="11" t="n"/>
      <c r="J60" s="11" t="n"/>
      <c r="K60" s="11" t="n"/>
      <c r="L60" s="11" t="n"/>
      <c r="M60" s="11" t="n"/>
      <c r="N60" s="11" t="n"/>
    </row>
    <row r="61" ht="30" customHeight="1">
      <c r="A61" s="10" t="n">
        <v>59</v>
      </c>
      <c r="B61" s="10" t="inlineStr">
        <is>
          <t>Modello di calcolo</t>
        </is>
      </c>
      <c r="C61" s="10" t="inlineStr">
        <is>
          <t>Analisi di sensibilità</t>
        </is>
      </c>
      <c r="D61" s="10" t="inlineStr">
        <is>
          <t>P ±10%; k ±0,05 se il carico di equilibrio non è misurato</t>
        </is>
      </c>
      <c r="E61" s="10" t="inlineStr">
        <is>
          <t>—</t>
        </is>
      </c>
      <c r="F61" s="10" t="inlineStr">
        <is>
          <t>scelta del software (incertezza tipica del rilievo)</t>
        </is>
      </c>
      <c r="G61" s="10" t="inlineStr">
        <is>
          <t>scelta del software</t>
        </is>
      </c>
      <c r="H61" s="10" t="inlineStr">
        <is>
          <t>—</t>
        </is>
      </c>
      <c r="I61" s="11" t="n"/>
      <c r="J61" s="11" t="n"/>
      <c r="K61" s="11" t="n"/>
      <c r="L61" s="11" t="n"/>
      <c r="M61" s="11" t="n"/>
      <c r="N61" s="11" t="n"/>
    </row>
    <row r="62" ht="134" customHeight="1">
      <c r="A62" s="10" t="n">
        <v>60</v>
      </c>
      <c r="B62" s="10" t="inlineStr">
        <is>
          <t>Vano: cabina e portata</t>
        </is>
      </c>
      <c r="C62"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2"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2" s="10" t="inlineStr">
        <is>
          <t>UNI EN 81-20:2020, 5.4.2.1.1 (Prospetto 6)</t>
        </is>
      </c>
      <c r="F62" s="10" t="inlineStr">
        <is>
          <t>UNI EN 81-20:2020, testo della norma, letto il 2026-10-06, pp. 63–64</t>
        </is>
      </c>
      <c r="G62" s="10" t="inlineStr">
        <is>
          <t>confermato</t>
        </is>
      </c>
      <c r="H62" s="10" t="inlineStr">
        <is>
          <t>superficie della cabina per la portata</t>
        </is>
      </c>
      <c r="I62" s="11" t="n"/>
      <c r="J62" s="11" t="n"/>
      <c r="K62" s="11" t="n"/>
      <c r="L62" s="11" t="n"/>
      <c r="M62" s="11" t="n"/>
      <c r="N62" s="11" t="n"/>
    </row>
    <row r="63" ht="95" customHeight="1">
      <c r="A63" s="10" t="n">
        <v>61</v>
      </c>
      <c r="B63" s="10" t="inlineStr">
        <is>
          <t>Vano: cabina e portata</t>
        </is>
      </c>
      <c r="C63" s="10" t="inlineStr">
        <is>
          <t>Numero di passeggeri</t>
        </is>
      </c>
      <c r="D63"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3" s="10" t="inlineStr">
        <is>
          <t>UNI EN 81-20:2020, 5.4.2.3.1 (Prospetto 8)</t>
        </is>
      </c>
      <c r="F63" s="10" t="inlineStr">
        <is>
          <t>UNI EN 81-20:2020, testo della norma, letto il 2026-10-06, p. 66</t>
        </is>
      </c>
      <c r="G63" s="10" t="inlineStr">
        <is>
          <t>confermato</t>
        </is>
      </c>
      <c r="H63" s="10" t="inlineStr">
        <is>
          <t>—</t>
        </is>
      </c>
      <c r="I63" s="11" t="n"/>
      <c r="J63" s="11" t="n"/>
      <c r="K63" s="11" t="n"/>
      <c r="L63" s="11" t="n"/>
      <c r="M63" s="11" t="n"/>
      <c r="N63" s="11" t="n"/>
    </row>
    <row r="64" ht="186" customHeight="1">
      <c r="A64" s="10" t="n">
        <v>62</v>
      </c>
      <c r="B64" s="10" t="inlineStr">
        <is>
          <t>Vano: distanze in pianta</t>
        </is>
      </c>
      <c r="C64"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4" s="10" t="inlineStr">
        <is>
          <t>distanza orizzontale dalla soglia o dal telaio della porta di cabina ≤ 150 mm (qui: profondità della porta di piano + gioco tra le soglie)</t>
        </is>
      </c>
      <c r="E64" s="10" t="inlineStr">
        <is>
          <t>UNI EN 81-20:2020, 5.2.5.3.1</t>
        </is>
      </c>
      <c r="F64" s="10" t="inlineStr">
        <is>
          <t>UNI EN 81-20:2020, testo della norma, letto il 2026-10-06, p. 33</t>
        </is>
      </c>
      <c r="G64" s="10" t="inlineStr">
        <is>
          <t>confermato</t>
        </is>
      </c>
      <c r="H64" s="10" t="inlineStr">
        <is>
          <t>parete di fronte all’entrata</t>
        </is>
      </c>
      <c r="I64" s="11" t="n"/>
      <c r="J64" s="11" t="n"/>
      <c r="K64" s="11" t="n"/>
      <c r="L64" s="11" t="n"/>
      <c r="M64" s="11" t="n"/>
      <c r="N64" s="11" t="n"/>
    </row>
    <row r="65" ht="95" customHeight="1">
      <c r="A65" s="10" t="n">
        <v>63</v>
      </c>
      <c r="B65" s="10" t="inlineStr">
        <is>
          <t>Vano: distanze in pianta</t>
        </is>
      </c>
      <c r="C65" s="10" t="inlineStr">
        <is>
          <t>Gioco tra soglia di cabina e soglia di piano — Non calcolato: tra il bordo d’attacco delle ante di cabina e le porte di piano al massimo 0,12 m (5.3.4.2; 11.2.3 nella UNI EN 81-1:2008), dato del fornitore delle porte.</t>
        </is>
      </c>
      <c r="D65" s="10" t="inlineStr">
        <is>
          <t>distanza orizzontale ≤ 35 mm</t>
        </is>
      </c>
      <c r="E65" s="10" t="inlineStr">
        <is>
          <t>UNI EN 81-20:2020, 5.3.4.1 (figura 3); 11.2.2 nella UNI EN 81-1 (1999, 2008)</t>
        </is>
      </c>
      <c r="F65" s="10" t="inlineStr">
        <is>
          <t>UNI EN 81-20:2020, testo della norma, letto il 2026-10-06, p. 50</t>
        </is>
      </c>
      <c r="G65" s="10" t="inlineStr">
        <is>
          <t>confermato</t>
        </is>
      </c>
      <c r="H65" s="10" t="inlineStr">
        <is>
          <t>gioco tra le soglie</t>
        </is>
      </c>
      <c r="I65" s="11" t="n"/>
      <c r="J65" s="11" t="n"/>
      <c r="K65" s="11" t="n"/>
      <c r="L65" s="11" t="n"/>
      <c r="M65" s="11" t="n"/>
      <c r="N65" s="11" t="n"/>
    </row>
    <row r="66" ht="69" customHeight="1">
      <c r="A66" s="10" t="n">
        <v>64</v>
      </c>
      <c r="B66" s="10" t="inlineStr">
        <is>
          <t>Vano: distanze in pianta</t>
        </is>
      </c>
      <c r="C66" s="10" t="inlineStr">
        <is>
          <t>Distanza tra cabina e contrappeso — il software misura tra le sagome di cabina e contrappeso: pattini e staffe non sono nel modello della pianta</t>
        </is>
      </c>
      <c r="D66" s="10" t="inlineStr">
        <is>
          <t>≥ 50 mm tra la cabina con i suoi componenti e il contrappeso con i suoi</t>
        </is>
      </c>
      <c r="E66" s="10" t="inlineStr">
        <is>
          <t>UNI EN 81-20:2020, 5.2.5.5.1 h)</t>
        </is>
      </c>
      <c r="F66" s="10" t="inlineStr">
        <is>
          <t>UNI EN 81-20:2020, testo della norma, letto il 2026-10-06, p. 35</t>
        </is>
      </c>
      <c r="G66" s="10" t="inlineStr">
        <is>
          <t>confermato</t>
        </is>
      </c>
      <c r="H66" s="10" t="inlineStr">
        <is>
          <t>distanza cabina–contrappeso</t>
        </is>
      </c>
      <c r="I66" s="11" t="n"/>
      <c r="J66" s="11" t="n"/>
      <c r="K66" s="11" t="n"/>
      <c r="L66" s="11" t="n"/>
      <c r="M66" s="11" t="n"/>
      <c r="N66" s="11" t="n"/>
    </row>
    <row r="67" ht="199" customHeight="1">
      <c r="A67" s="10" t="n">
        <v>65</v>
      </c>
      <c r="B67" s="10" t="inlineStr">
        <is>
          <t>Vano: distanze in pianta</t>
        </is>
      </c>
      <c r="C67" s="10" t="inlineStr">
        <is>
          <t>Pareti all’ultimo piano e in testata diverse dal piano principale</t>
        </is>
      </c>
      <c r="D67"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7" s="10" t="inlineStr">
        <is>
          <t>UNI EN 81-20:2020, 5.2.5.3.1 (parete di fronte all’entrata); il resto scelta del software</t>
        </is>
      </c>
      <c r="F67" s="10" t="inlineStr">
        <is>
          <t>scelta del software: il margine di marcia va confermato con l’installatore</t>
        </is>
      </c>
      <c r="G67" s="10" t="inlineStr">
        <is>
          <t>scelta del software</t>
        </is>
      </c>
      <c r="H67" s="10" t="inlineStr">
        <is>
          <t>pareti in testata diverse dal piano principale</t>
        </is>
      </c>
      <c r="I67" s="11" t="n"/>
      <c r="J67" s="11" t="n"/>
      <c r="K67" s="11" t="n"/>
      <c r="L67" s="11" t="n"/>
      <c r="M67" s="11" t="n"/>
      <c r="N67" s="11" t="n"/>
    </row>
    <row r="68" ht="69" customHeight="1">
      <c r="A68" s="10" t="n">
        <v>66</v>
      </c>
      <c r="B68" s="10" t="inlineStr">
        <is>
          <t>Vano: accessibilità (DM 236/1989)</t>
        </is>
      </c>
      <c r="C68" s="10" t="inlineStr">
        <is>
          <t>Edifici residenziali nuovi: cabina e porta minime</t>
        </is>
      </c>
      <c r="D68" s="10" t="inlineStr">
        <is>
          <t>cabina larga 950 mm e profonda 1300 mm, porta di 800 mm sul lato corto; piattaforma davanti alla porta 1,50 × 1,50 m (fuori dal vano: da verificare in sito); pulsanti più alti delle bottoniere tra 1100 e 1400 mm dal pavimento</t>
        </is>
      </c>
      <c r="E68" s="10" t="inlineStr">
        <is>
          <t>DM 236/1989, 8.1.12</t>
        </is>
      </c>
      <c r="F68" s="10" t="inlineStr">
        <is>
          <t>DM 236/1989, 8.1.12, letto per intero su Normattiva il 2026-10-02 (ricerca, cap. 16, §4.1)</t>
        </is>
      </c>
      <c r="G68" s="10" t="inlineStr">
        <is>
          <t>confermato</t>
        </is>
      </c>
      <c r="H68" s="10" t="inlineStr">
        <is>
          <t>cabina minima (DM 236/1989); porta minima (DM 236/1989); porta sul lato corto; pulsanti più alti delle bottoniere (DM 236/1989)</t>
        </is>
      </c>
      <c r="I68" s="11" t="n"/>
      <c r="J68" s="11" t="n"/>
      <c r="K68" s="11" t="n"/>
      <c r="L68" s="11" t="n"/>
      <c r="M68" s="11" t="n"/>
      <c r="N68" s="11" t="n"/>
    </row>
    <row r="69" ht="69" customHeight="1">
      <c r="A69" s="10" t="n">
        <v>67</v>
      </c>
      <c r="B69" s="10" t="inlineStr">
        <is>
          <t>Vano: accessibilità (DM 236/1989)</t>
        </is>
      </c>
      <c r="C69" s="10" t="inlineStr">
        <is>
          <t>Edifici non residenziali nuovi: cabina e porta minime</t>
        </is>
      </c>
      <c r="D69" s="10" t="inlineStr">
        <is>
          <t>cabina larga 1100 mm e profonda 1400 mm, porta di 800 mm sul lato corto; piattaforma davanti alla porta 1,50 × 1,50 m (fuori dal vano: da verificare in sito); pulsanti più alti delle bottoniere tra 1100 e 1400 mm dal pavimento</t>
        </is>
      </c>
      <c r="E69" s="10" t="inlineStr">
        <is>
          <t>DM 236/1989, 8.1.12</t>
        </is>
      </c>
      <c r="F69" s="10" t="inlineStr">
        <is>
          <t>DM 236/1989, 8.1.12, letto per intero su Normattiva il 2026-10-02 (ricerca, cap. 16, §4.1)</t>
        </is>
      </c>
      <c r="G69" s="10" t="inlineStr">
        <is>
          <t>confermato</t>
        </is>
      </c>
      <c r="H69" s="10" t="inlineStr">
        <is>
          <t>cabina minima (DM 236/1989); porta minima (DM 236/1989); porta sul lato corto; pulsanti più alti delle bottoniere (DM 236/1989)</t>
        </is>
      </c>
      <c r="I69" s="11" t="n"/>
      <c r="J69" s="11" t="n"/>
      <c r="K69" s="11" t="n"/>
      <c r="L69" s="11" t="n"/>
      <c r="M69" s="11" t="n"/>
      <c r="N69" s="11" t="n"/>
    </row>
    <row r="70" ht="134" customHeight="1">
      <c r="A70" s="10" t="n">
        <v>68</v>
      </c>
      <c r="B70" s="10" t="inlineStr">
        <is>
          <t>Vano: accessibilità (DM 236/1989)</t>
        </is>
      </c>
      <c r="C70" s="10" t="inlineStr">
        <is>
          <t>Adeguamento di edifici esistenti: cabina e porta minime — Per un ascensore nuovo in un edificio esistente il caso è a) o b) secondo la destinazione; il c) è l’eccezione, scelta dal progettista.</t>
        </is>
      </c>
      <c r="D70"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70" s="10" t="inlineStr">
        <is>
          <t>DM 236/1989, 8.1.12 c)</t>
        </is>
      </c>
      <c r="F70" s="10" t="inlineStr">
        <is>
          <t>DM 236/1989, 8.1.12, letto per intero su Normattiva il 2026-10-02 (ricerca, cap. 16, §4.1)</t>
        </is>
      </c>
      <c r="G70" s="10" t="inlineStr">
        <is>
          <t>confermato</t>
        </is>
      </c>
      <c r="H70" s="10" t="inlineStr">
        <is>
          <t>cabina minima (DM 236/1989); porta minima (DM 236/1989); porta sul lato corto; motivazione del caso c) (DM 236/1989); pulsanti più alti delle bottoniere (DM 236/1989)</t>
        </is>
      </c>
      <c r="I70" s="11" t="n"/>
      <c r="J70" s="11" t="n"/>
      <c r="K70" s="11" t="n"/>
      <c r="L70" s="11" t="n"/>
      <c r="M70" s="11" t="n"/>
      <c r="N70" s="11" t="n"/>
    </row>
    <row r="71" ht="43" customHeight="1">
      <c r="A71" s="10" t="n">
        <v>69</v>
      </c>
      <c r="B71" s="10" t="inlineStr">
        <is>
          <t>Vano: porte</t>
        </is>
      </c>
      <c r="C71" s="10" t="inlineStr">
        <is>
          <t>Ingombro della porta di piano lungo la parete del vano</t>
        </is>
      </c>
      <c r="D71" s="10" t="inlineStr">
        <is>
          <t>telescopica a 2 ante: 1,5·L + 110 mm; centrale a 2 ante: 2·L + 110 mm (L = luce netta)</t>
        </is>
      </c>
      <c r="E71" s="10" t="inlineStr">
        <is>
          <t>dato del fornitore delle porte</t>
        </is>
      </c>
      <c r="F71" s="10" t="inlineStr">
        <is>
          <t>valori tipici: scelta del software da confermare con il fornitore</t>
        </is>
      </c>
      <c r="G71" s="10" t="inlineStr">
        <is>
          <t>scelta del software</t>
        </is>
      </c>
      <c r="H71" s="10" t="inlineStr">
        <is>
          <t>ingombro della porta di piano</t>
        </is>
      </c>
      <c r="I71" s="11" t="n"/>
      <c r="J71" s="11" t="n"/>
      <c r="K71" s="11" t="n"/>
      <c r="L71" s="11" t="n"/>
      <c r="M71" s="11" t="n"/>
      <c r="N71" s="11" t="n"/>
    </row>
    <row r="72" ht="30" customHeight="1">
      <c r="A72" s="10" t="n">
        <v>70</v>
      </c>
      <c r="B72" s="10" t="inlineStr">
        <is>
          <t>Vano: porte</t>
        </is>
      </c>
      <c r="C72" s="10" t="inlineStr">
        <is>
          <t>Larghezza della cabina rispetto alla porta</t>
        </is>
      </c>
      <c r="D72" s="10" t="inlineStr">
        <is>
          <t>larghezza interna ≥ luce della porta + 50 mm; profondità interna ≥ 800 mm</t>
        </is>
      </c>
      <c r="E72" s="10" t="inlineStr">
        <is>
          <t>—</t>
        </is>
      </c>
      <c r="F72" s="10" t="inlineStr">
        <is>
          <t>scelta del software</t>
        </is>
      </c>
      <c r="G72" s="10" t="inlineStr">
        <is>
          <t>scelta del software</t>
        </is>
      </c>
      <c r="H72" s="10" t="inlineStr">
        <is>
          <t>la cabina entra nel vano</t>
        </is>
      </c>
      <c r="I72" s="11" t="n"/>
      <c r="J72" s="11" t="n"/>
      <c r="K72" s="11" t="n"/>
      <c r="L72" s="11" t="n"/>
      <c r="M72" s="11" t="n"/>
      <c r="N72" s="11" t="n"/>
    </row>
    <row r="73" ht="342" customHeight="1">
      <c r="A73" s="10" t="n">
        <v>71</v>
      </c>
      <c r="B73" s="10" t="inlineStr">
        <is>
          <t>Vano: porte</t>
        </is>
      </c>
      <c r="C73" s="10" t="inlineStr">
        <is>
          <t>Vano porta di piano e operatore della porta di cabina</t>
        </is>
      </c>
      <c r="D73"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3" s="10" t="inlineStr">
        <is>
          <t>dato del fornitore delle porte</t>
        </is>
      </c>
      <c r="F73"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3" s="10" t="inlineStr">
        <is>
          <t>stima</t>
        </is>
      </c>
      <c r="H73" s="10" t="inlineStr">
        <is>
          <t>ingombro della porta di piano; ingombro della seconda porta di piano; operatori delle porte adiacenti</t>
        </is>
      </c>
      <c r="I73" s="11" t="n"/>
      <c r="J73" s="11" t="n"/>
      <c r="K73" s="11" t="n"/>
      <c r="L73" s="11" t="n"/>
      <c r="M73" s="11" t="n"/>
      <c r="N73" s="11" t="n"/>
    </row>
    <row r="74" ht="134" customHeight="1">
      <c r="A74" s="10" t="n">
        <v>72</v>
      </c>
      <c r="B74" s="10" t="inlineStr">
        <is>
          <t>Vano: porte</t>
        </is>
      </c>
      <c r="C74"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4"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4" s="10" t="inlineStr">
        <is>
          <t>UNI EN 81-20:2020, 5.3.2.2</t>
        </is>
      </c>
      <c r="F74" s="10" t="inlineStr">
        <is>
          <t>UNI EN 81-20:2020, testo della norma, letto il 2026-10-06, p. 49</t>
        </is>
      </c>
      <c r="G74" s="10" t="inlineStr">
        <is>
          <t>confermato</t>
        </is>
      </c>
      <c r="H74" s="10" t="inlineStr">
        <is>
          <t>disassamento della porta di piano A; disassamento della porta di piano B</t>
        </is>
      </c>
      <c r="I74" s="11" t="n"/>
      <c r="J74" s="11" t="n"/>
      <c r="K74" s="11" t="n"/>
      <c r="L74" s="11" t="n"/>
      <c r="M74" s="11" t="n"/>
      <c r="N74" s="11" t="n"/>
    </row>
    <row r="75" ht="108" customHeight="1">
      <c r="A75" s="10" t="n">
        <v>73</v>
      </c>
      <c r="B75" s="10" t="inlineStr">
        <is>
          <t>Vano: porte</t>
        </is>
      </c>
      <c r="C75" s="10" t="inlineStr">
        <is>
          <t>Bottoniera di piano</t>
        </is>
      </c>
      <c r="D75"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5" s="10" t="inlineStr">
        <is>
          <t>DM 236/1989, 8.1.12 (pulsanti più alti tra 1,10 e 1,40 m); UNI EN 81-70:2005, prospetto 2 (sul pianerottolo il pulsante più alto a non oltre 1,10 m, ogni pulsante ad almeno 0,90 m e ad almeno 0,50 m da un angolo fra pareti: da verificare in sito)</t>
        </is>
      </c>
      <c r="F75" s="10" t="inlineStr">
        <is>
          <t>scelta del software</t>
        </is>
      </c>
      <c r="G75" s="10" t="inlineStr">
        <is>
          <t>scelta del software</t>
        </is>
      </c>
      <c r="H75" s="10" t="inlineStr">
        <is>
          <t>—</t>
        </is>
      </c>
      <c r="I75" s="11" t="n"/>
      <c r="J75" s="11" t="n"/>
      <c r="K75" s="11" t="n"/>
      <c r="L75" s="11" t="n"/>
      <c r="M75" s="11" t="n"/>
      <c r="N75" s="11" t="n"/>
    </row>
    <row r="76" ht="186" customHeight="1">
      <c r="A76" s="10" t="n">
        <v>74</v>
      </c>
      <c r="B76" s="10" t="inlineStr">
        <is>
          <t>Vano: porte</t>
        </is>
      </c>
      <c r="C76" s="10" t="inlineStr">
        <is>
          <t>Imbotti della porta di piano (sostituzione con una luce più piccola) — Montanti e pannelli accanto alla porta più larghi di 150 mm che chiudono l’apertura vanno con la prova del pendolo della porta (UNI EN 81-20:2020, 5.3.5.3.4): la copre il fornitore.</t>
        </is>
      </c>
      <c r="D76"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6" s="10" t="inlineStr">
        <is>
          <t>dato del fornitore delle porte (imbotti su misura)</t>
        </is>
      </c>
      <c r="F76" s="10" t="inlineStr">
        <is>
          <t>scelta del software</t>
        </is>
      </c>
      <c r="G76" s="10" t="inlineStr">
        <is>
          <t>scelta del software</t>
        </is>
      </c>
      <c r="H76" s="10" t="inlineStr">
        <is>
          <t>—</t>
        </is>
      </c>
      <c r="I76" s="11" t="n"/>
      <c r="J76" s="11" t="n"/>
      <c r="K76" s="11" t="n"/>
      <c r="L76" s="11" t="n"/>
      <c r="M76" s="11" t="n"/>
      <c r="N76" s="11" t="n"/>
    </row>
    <row r="77" ht="316" customHeight="1">
      <c r="A77" s="10" t="n">
        <v>75</v>
      </c>
      <c r="B77" s="10" t="inlineStr">
        <is>
          <t>Vano: porte</t>
        </is>
      </c>
      <c r="C77" s="10" t="inlineStr">
        <is>
          <t>Telaio proprio delle porte di piano</t>
        </is>
      </c>
      <c r="D77"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7" s="10" t="inlineStr">
        <is>
          <t>dato del fornitore delle porte</t>
        </is>
      </c>
      <c r="F77"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7" s="10" t="inlineStr">
        <is>
          <t>scelta del software</t>
        </is>
      </c>
      <c r="H77" s="10" t="inlineStr">
        <is>
          <t>le ante della porta di piano dietro il suo telaio</t>
        </is>
      </c>
      <c r="I77" s="11" t="n"/>
      <c r="J77" s="11" t="n"/>
      <c r="K77" s="11" t="n"/>
      <c r="L77" s="11" t="n"/>
      <c r="M77" s="11" t="n"/>
      <c r="N77" s="11" t="n"/>
    </row>
    <row r="78" ht="82" customHeight="1">
      <c r="A78" s="10" t="n">
        <v>76</v>
      </c>
      <c r="B78" s="10" t="inlineStr">
        <is>
          <t>Vano: porte</t>
        </is>
      </c>
      <c r="C78" s="10" t="inlineStr">
        <is>
          <t>Porte di soccorso tra due porte di piano lontane — il software non modella le porte di soccorso né le cabine adiacenti: oltre 11 m la verifica non passa e il progetto va completato a parte</t>
        </is>
      </c>
      <c r="D78" s="10" t="inlineStr">
        <is>
          <t>più di 11000 mm tra le soglie di due porte di piano consecutive (piani contigui con porte, qualunque accesso): porte di soccorso intermedie alte almeno 1800 mm e larghe almeno 500 mm, oppure cabine adiacenti con porta di soccorso</t>
        </is>
      </c>
      <c r="E78" s="10" t="inlineStr">
        <is>
          <t>UNI EN 81-20:2020, 5.2.3.1 e 5.2.3.2 d)</t>
        </is>
      </c>
      <c r="F78" s="10" t="inlineStr">
        <is>
          <t>UNI EN 81-20:2020, testo della norma, letto il 2026-10-06, p. 29</t>
        </is>
      </c>
      <c r="G78" s="10" t="inlineStr">
        <is>
          <t>confermato</t>
        </is>
      </c>
      <c r="H78" s="10" t="inlineStr">
        <is>
          <t>porte di soccorso oltre 11 m tra due porte di piano</t>
        </is>
      </c>
      <c r="I78" s="11" t="n"/>
      <c r="J78" s="11" t="n"/>
      <c r="K78" s="11" t="n"/>
      <c r="L78" s="11" t="n"/>
      <c r="M78" s="11" t="n"/>
      <c r="N78" s="11" t="n"/>
    </row>
    <row r="79" ht="186" customHeight="1">
      <c r="A79" s="10" t="n">
        <v>77</v>
      </c>
      <c r="B79" s="10" t="inlineStr">
        <is>
          <t>Vano: porte</t>
        </is>
      </c>
      <c r="C79" s="10" t="inlineStr">
        <is>
          <t>Lamiera sotto la soglia di piano — la zona di sbloccaggio sta sopra e sotto il piano: la metà della zona è la sua estensione da un lato (200 mm al massimo), lettura dal lato della sicurezza; rigidità (300 N su 5 cm²) e finitura sono del fornitore delle porte</t>
        </is>
      </c>
      <c r="D79" s="10" t="inlineStr">
        <is>
          <t>zona di sbloccaggio non oltre 200 mm sopra e sotto il piano (350 mm con porte di cabina e di piano motorizzate insieme); sotto ogni soglia di piano una superficie liscia e dura unita alla soglia, alta almeno metà della zona di sbloccaggio + 50 mm e larga almeno la luce dell’accesso di cabina + 25 mm per lato, sporgenze non oltre 5 mm; sotto, unita all’architrave della porta successiva oppure con uno smusso ad almeno 60° sull’orizzontale e almeno 20 mm di proiezione orizzontale. Il disegno la mette sotto il bordo della soglia di ogni porta di piano, alta la zona di sbloccaggio indicata + 50 mm (senza: 200 + 50 = 250 mm, «Attenzione»), con lo smusso fino al muro</t>
        </is>
      </c>
      <c r="E79" s="10" t="inlineStr">
        <is>
          <t>UNI EN 81-20:2020, 5.2.5.3.2 e 5.3.8.1</t>
        </is>
      </c>
      <c r="F79" s="10" t="inlineStr">
        <is>
          <t>UNI EN 81-20:2020, testo della norma, letto il 2026-10-06, pp. 34, 58</t>
        </is>
      </c>
      <c r="G79" s="10" t="inlineStr">
        <is>
          <t>confermato</t>
        </is>
      </c>
      <c r="H79" s="10" t="inlineStr">
        <is>
          <t>lamiera sotto la soglia di piano</t>
        </is>
      </c>
      <c r="I79" s="11" t="n"/>
      <c r="J79" s="11" t="n"/>
      <c r="K79" s="11" t="n"/>
      <c r="L79" s="11" t="n"/>
      <c r="M79" s="11" t="n"/>
      <c r="N79" s="11" t="n"/>
    </row>
    <row r="80" ht="199" customHeight="1">
      <c r="A80" s="10" t="n">
        <v>78</v>
      </c>
      <c r="B80" s="10" t="inlineStr">
        <is>
          <t>Vano: ingombri tipici</t>
        </is>
      </c>
      <c r="C80"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80"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80" s="10" t="inlineStr">
        <is>
          <t>dati del costruttore di guide, porte e cabina</t>
        </is>
      </c>
      <c r="F80" s="10" t="inlineStr">
        <is>
          <t>valori tipici: scelta del software</t>
        </is>
      </c>
      <c r="G80" s="10" t="inlineStr">
        <is>
          <t>scelta del software</t>
        </is>
      </c>
      <c r="H80" s="10" t="inlineStr">
        <is>
          <t>la cabina entra nel vano</t>
        </is>
      </c>
      <c r="I80" s="11" t="n"/>
      <c r="J80" s="11" t="n"/>
      <c r="K80" s="11" t="n"/>
      <c r="L80" s="11" t="n"/>
      <c r="M80" s="11" t="n"/>
      <c r="N80" s="11" t="n"/>
    </row>
    <row r="81" ht="108" customHeight="1">
      <c r="A81" s="10" t="n">
        <v>79</v>
      </c>
      <c r="B81" s="10" t="inlineStr">
        <is>
          <t>Vano: ingombri tipici</t>
        </is>
      </c>
      <c r="C81" s="10" t="inlineStr">
        <is>
          <t>Contrappeso laterale</t>
        </is>
      </c>
      <c r="D81"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81" s="10" t="inlineStr">
        <is>
          <t>—</t>
        </is>
      </c>
      <c r="F81" s="10" t="inlineStr">
        <is>
          <t>scelta del software</t>
        </is>
      </c>
      <c r="G81" s="10" t="inlineStr">
        <is>
          <t>scelta del software</t>
        </is>
      </c>
      <c r="H81" s="10" t="inlineStr">
        <is>
          <t>lunghezza del contrappeso</t>
        </is>
      </c>
      <c r="I81" s="11" t="n"/>
      <c r="J81" s="11" t="n"/>
      <c r="K81" s="11" t="n"/>
      <c r="L81" s="11" t="n"/>
      <c r="M81" s="11" t="n"/>
      <c r="N81" s="11" t="n"/>
    </row>
    <row r="82" ht="147" customHeight="1">
      <c r="A82" s="10" t="n">
        <v>80</v>
      </c>
      <c r="B82" s="10" t="inlineStr">
        <is>
          <t>Vano: ingombri tipici</t>
        </is>
      </c>
      <c r="C82" s="10" t="inlineStr">
        <is>
          <t>Arcata a zaino (due accessi adiacenti a 90°)</t>
        </is>
      </c>
      <c r="D82"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82" s="10" t="inlineStr">
        <is>
          <t>—</t>
        </is>
      </c>
      <c r="F82" s="10" t="inlineStr">
        <is>
          <t>scelta del software (principio: cataloghi di arcate a zaino); disposizione da confermare con il fornitore dell’arcata</t>
        </is>
      </c>
      <c r="G82" s="10" t="inlineStr">
        <is>
          <t>scelta del software</t>
        </is>
      </c>
      <c r="H82" s="10" t="inlineStr">
        <is>
          <t>—</t>
        </is>
      </c>
      <c r="I82" s="11" t="n"/>
      <c r="J82" s="11" t="n"/>
      <c r="K82" s="11" t="n"/>
      <c r="L82" s="11" t="n"/>
      <c r="M82" s="11" t="n"/>
      <c r="N82" s="11" t="n"/>
    </row>
    <row r="83" ht="212" customHeight="1">
      <c r="A83" s="10" t="n">
        <v>81</v>
      </c>
      <c r="B83" s="10" t="inlineStr">
        <is>
          <t>Vano: ingombri tipici</t>
        </is>
      </c>
      <c r="C83" s="10" t="inlineStr">
        <is>
          <t>Nicchie nelle pareti del vano</t>
        </is>
      </c>
      <c r="D83"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3" s="10" t="inlineStr">
        <is>
          <t>—</t>
        </is>
      </c>
      <c r="F83" s="10" t="inlineStr">
        <is>
          <t>scelta del software; la resistenza della parete con la nicchia va verificata dal progettista</t>
        </is>
      </c>
      <c r="G83" s="10" t="inlineStr">
        <is>
          <t>scelta del software</t>
        </is>
      </c>
      <c r="H83" s="10" t="inlineStr">
        <is>
          <t>nicchie nelle pareti</t>
        </is>
      </c>
      <c r="I83" s="11" t="n"/>
      <c r="J83" s="11" t="n"/>
      <c r="K83" s="11" t="n"/>
      <c r="L83" s="11" t="n"/>
      <c r="M83" s="11" t="n"/>
      <c r="N83" s="11" t="n"/>
    </row>
    <row r="84" ht="329" customHeight="1">
      <c r="A84" s="10" t="n">
        <v>82</v>
      </c>
      <c r="B84" s="10" t="inlineStr">
        <is>
          <t>Vano: ingombri tipici</t>
        </is>
      </c>
      <c r="C84" s="10" t="inlineStr">
        <is>
          <t>Staffe delle guide del contrappeso (catalogo Panev)</t>
        </is>
      </c>
      <c r="D84"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4" s="10" t="inlineStr">
        <is>
          <t>catalogo staffe Panev 2026, pp. 20-62</t>
        </is>
      </c>
      <c r="F84" s="10" t="inlineStr">
        <is>
          <t>catalogo del costruttore (panev/docs/catalogo-staffe-panev-2026.pdf); le corse dell’SC lontano dalla parete lette sui disegni di montaggio (pp. 41-55)</t>
        </is>
      </c>
      <c r="G84" s="10" t="inlineStr">
        <is>
          <t>confermato</t>
        </is>
      </c>
      <c r="H84" s="10" t="inlineStr">
        <is>
          <t>staffe del catalogo per le guide del contrappeso</t>
        </is>
      </c>
      <c r="I84" s="11" t="n"/>
      <c r="J84" s="11" t="n"/>
      <c r="K84" s="11" t="n"/>
      <c r="L84" s="11" t="n"/>
      <c r="M84" s="11" t="n"/>
      <c r="N84" s="11" t="n"/>
    </row>
    <row r="85" ht="407" customHeight="1">
      <c r="A85" s="10" t="n">
        <v>83</v>
      </c>
      <c r="B85" s="10" t="inlineStr">
        <is>
          <t>Vano: ingombri tipici</t>
        </is>
      </c>
      <c r="C85" s="10" t="inlineStr">
        <is>
          <t>Staffe delle porte di piano (catalogo Panev)</t>
        </is>
      </c>
      <c r="D85"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5" s="10" t="inlineStr">
        <is>
          <t>catalogo staffe Panev 2026, pp. 14-18 (coppie), p. 05 (taglio della piastra) e p. 04 (soglia o elemento portante della porta di piano)</t>
        </is>
      </c>
      <c r="F85" s="10" t="inlineStr">
        <is>
          <t>catalogo del costruttore (panev/docs/catalogo-staffe-panev-2026.pdf); il passo, il numero minimo, il montaggio capovolto sopra la porta e lo spostamento sono scelta del software (il montaggio sopra la porta va confermato con il costruttore della porta)</t>
        </is>
      </c>
      <c r="G85" s="10" t="inlineStr">
        <is>
          <t>scelta del software</t>
        </is>
      </c>
      <c r="H85" s="10" t="inlineStr">
        <is>
          <t>staffe Panev sopra le porte di piano: muro tra il vano della porta e la soglia del piano sopra</t>
        </is>
      </c>
      <c r="I85" s="11" t="n"/>
      <c r="J85" s="11" t="n"/>
      <c r="K85" s="11" t="n"/>
      <c r="L85" s="11" t="n"/>
      <c r="M85" s="11" t="n"/>
      <c r="N85" s="11" t="n"/>
    </row>
    <row r="86" ht="355" customHeight="1">
      <c r="A86" s="10" t="n">
        <v>84</v>
      </c>
      <c r="B86" s="10" t="inlineStr">
        <is>
          <t>Vano: ingombri tipici</t>
        </is>
      </c>
      <c r="C86"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6" s="10" t="inlineStr">
        <is>
          <t>per velocità il più piccolo PFB che la regge: LK200 (Ø 200, fune 6) fino a 1,48 m/s, LK250 fino a 1,74, LK300 fino a 2,93, R12BF fino a 4,00; oppure il modello scelto se regge la velocità: PFB (LX, LK, R1, R3LR, R5, R6, R10BF), Bode (GB 7 fino a 2,98 m/s, GB 8 fino a 1,29), Dynatech (VEGA 200 fino a 2,40), Wittur (OL20 fino a 1,75, OL35 fino a 3,00, EOS fino a 2,50, OL100 fino a 10,00) o Montanari (RQ-A 200, 250 e 300, RC 200 e 300, NOR fino a 1,50 m/s, RG 200 fino a 0,30).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6" s="10" t="inlineStr">
        <is>
          <t>dati del fornitore del limitatore; dalla norma solo lo scatto ≥ 115 % della velocità nominale (UNI EN 81-20:2020, 5.6.2.2.1.1 a))</t>
        </is>
      </c>
      <c r="F86"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6" s="10" t="inlineStr">
        <is>
          <t>stima</t>
        </is>
      </c>
      <c r="H86" s="10" t="inlineStr">
        <is>
          <t>—</t>
        </is>
      </c>
      <c r="I86" s="11" t="n"/>
      <c r="J86" s="11" t="n"/>
      <c r="K86" s="11" t="n"/>
      <c r="L86" s="11" t="n"/>
      <c r="M86" s="11" t="n"/>
      <c r="N86" s="11" t="n"/>
    </row>
    <row r="87" ht="290" customHeight="1">
      <c r="A87" s="10" t="n">
        <v>85</v>
      </c>
      <c r="B87" s="10" t="inlineStr">
        <is>
          <t>Vano: ingombri tipici</t>
        </is>
      </c>
      <c r="C87" s="10" t="inlineStr">
        <is>
          <t>Posizione del limitatore di velocità e della sua fune — con l’arcata a zaino, o senza una parete laterale libera, il software non mette il limitatore: la verifica della fune resta «Attenzione» senza valore e il limitatore va posizionato a mano</t>
        </is>
      </c>
      <c r="D87"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7" s="10" t="inlineStr">
        <is>
          <t>nessuna distanza della fune del limitatore nella norma (UNI EN 81-20:2020, 5.6.2.2.1); 50 mm come tra cabina e contrappeso in UNI EN 81-1:2008, 11.3; con la balaustra sul tetto 100 mm dentro il bordo, i 0,10 m di 5.4.7.4 d) sono rispettati; superficie libera per la manutenzione delle parti in movimento: UNI EN 81-20:2020, 5.2.6.3.2.1 b)</t>
        </is>
      </c>
      <c r="F87" s="10" t="inlineStr">
        <is>
          <t>scelta del software (50, 60 e 400 mm); UNI EN 81-20:2020, testo della norma, letto il 2026-10-06, pp. 43, 71–72, 82–83; UNI EN 81-1:2008, testo della norma, letto il 2026-10-06, p. 67</t>
        </is>
      </c>
      <c r="G87" s="10" t="inlineStr">
        <is>
          <t>scelta del software</t>
        </is>
      </c>
      <c r="H87" s="10" t="inlineStr">
        <is>
          <t>fune del limitatore lontana da cabina, pareti e guida; ramo della fune del limitatore entro la leva del paracadute; limitatore fuori dall’ingombro di argano, quadro e interruttore generale; superficie libera accanto al limitatore</t>
        </is>
      </c>
      <c r="I87" s="11" t="n"/>
      <c r="J87" s="11" t="n"/>
      <c r="K87" s="11" t="n"/>
      <c r="L87" s="11" t="n"/>
      <c r="M87" s="11" t="n"/>
      <c r="N87" s="11" t="n"/>
    </row>
    <row r="88" ht="108" customHeight="1">
      <c r="A88" s="10" t="n">
        <v>86</v>
      </c>
      <c r="B88" s="10" t="inlineStr">
        <is>
          <t>Vano: ingombri tipici</t>
        </is>
      </c>
      <c r="C88" s="10" t="inlineStr">
        <is>
          <t>Pulegge del limitatore e diametro della fune — un modello con la fune più grossa del rapporto (fune «in deroga» del costruttore) non passa: si sceglie un altro modello o la fune che il rapporto ammette, salvo una deroga documentata dal certificato del costruttore</t>
        </is>
      </c>
      <c r="D88" s="10" t="inlineStr">
        <is>
          <t>diametro primitivo delle pulegge del limitatore almeno 30 volte il diametro nominale della sua fune (dai dati del modello: diametro della puleggia e fune)</t>
        </is>
      </c>
      <c r="E88" s="10" t="inlineStr">
        <is>
          <t>UNI EN 81-20:2020, 5.6.2.2.1.3 c)</t>
        </is>
      </c>
      <c r="F88" s="10" t="inlineStr">
        <is>
          <t>UNI EN 81-20:2020, testo della norma, letto il 2026-10-06, p. 83</t>
        </is>
      </c>
      <c r="G88" s="10" t="inlineStr">
        <is>
          <t>confermato</t>
        </is>
      </c>
      <c r="H88" s="10" t="inlineStr">
        <is>
          <t>pulegge del limitatore: diametro sul diametro della fune</t>
        </is>
      </c>
      <c r="I88" s="11" t="n"/>
      <c r="J88" s="11" t="n"/>
      <c r="K88" s="11" t="n"/>
      <c r="L88" s="11" t="n"/>
      <c r="M88" s="11" t="n"/>
      <c r="N88" s="11" t="n"/>
    </row>
    <row r="89" ht="212" customHeight="1">
      <c r="A89" s="10" t="n">
        <v>87</v>
      </c>
      <c r="B89" s="10" t="inlineStr">
        <is>
          <t>Vano: ingombri tipici</t>
        </is>
      </c>
      <c r="C89" s="10" t="inlineStr">
        <is>
          <t>Macchina in basso: limitatore di velocità nel vano — la mensola, il cavo del comando a distanza e il ripristino sono del costruttore del limitatore: da confermare sulla sua scheda</t>
        </is>
      </c>
      <c r="D89" s="10" t="inlineStr">
        <is>
          <t>con le pulegge di rinvio appese sotto la soletta il limitatore sta nel vano, su una mensola fissata alla parete laterale della sua fune, con l’asse a 420 mm sotto il soffitto, fuori dalla pianta della cabina; non è raggiungibile da fuori del vano: si ordina con l’intervento comandato a distanza via cavo da fuori del vano (dal quadro), raggiungibile per ispezione e manutenzione dal tetto di cabina, con il ritorno automatico in posizione normale quando la cabina o il contrappeso salgono e le parti elettriche ripristinabili a distanza; la fune del limitatore va dal soffitto del vano alla fossa. Con il locale delle pulegge sopra il vano il limitatore sta in quel locale. Il carico del limitatore (P4) va sulla parete della mensola</t>
        </is>
      </c>
      <c r="E89" s="10" t="inlineStr">
        <is>
          <t>UNI EN 81-20:2020, 5.6.2.2.1.4 a), b) e c) 1)–3), 5.6.2.2.1.5</t>
        </is>
      </c>
      <c r="F89" s="10" t="inlineStr">
        <is>
          <t>scelta del software (420 mm); UNI EN 81-20:2020, testo della norma, letto il 2026-10-06, p. 83</t>
        </is>
      </c>
      <c r="G89" s="10" t="inlineStr">
        <is>
          <t>scelta del software</t>
        </is>
      </c>
      <c r="H89" s="10" t="inlineStr">
        <is>
          <t>—</t>
        </is>
      </c>
      <c r="I89" s="11" t="n"/>
      <c r="J89" s="11" t="n"/>
      <c r="K89" s="11" t="n"/>
      <c r="L89" s="11" t="n"/>
      <c r="M89" s="11" t="n"/>
      <c r="N89" s="11" t="n"/>
    </row>
    <row r="90" ht="121" customHeight="1">
      <c r="A90" s="10" t="n">
        <v>88</v>
      </c>
      <c r="B90" s="10" t="inlineStr">
        <is>
          <t>Vano: ingombri tipici</t>
        </is>
      </c>
      <c r="C90" s="10" t="inlineStr">
        <is>
          <t>Staffe delle guide di cabina (generiche)</t>
        </is>
      </c>
      <c r="D90" s="10" t="inlineStr">
        <is>
          <t>una squadra alta 100 mm, larga 90 mm, spessa 8 mm, su una piastra a muro 160 × 200 × 12 mm con 2 tasselli M12; oltre 150 mm dal muro due squadre serrate da 4 bulloni M12 in asola; la guida sulla piastra con due graffe; il disegno dà il tipo, la distanza dal muro al piede della guida e le quote delle staffe; la reazione di ogni staffa per la verifica degli ancoraggi è la spinta sulla guida del foglio 1</t>
        </is>
      </c>
      <c r="E90" s="10" t="inlineStr">
        <is>
          <t>—</t>
        </is>
      </c>
      <c r="F90" s="10" t="inlineStr">
        <is>
          <t>scelta del software, da dimensionare a parte con il fornitore e con la verifica degli ancoraggi</t>
        </is>
      </c>
      <c r="G90" s="10" t="inlineStr">
        <is>
          <t>scelta del software</t>
        </is>
      </c>
      <c r="H90" s="10" t="inlineStr">
        <is>
          <t>—</t>
        </is>
      </c>
      <c r="I90" s="11" t="n"/>
      <c r="J90" s="11" t="n"/>
      <c r="K90" s="11" t="n"/>
      <c r="L90" s="11" t="n"/>
      <c r="M90" s="11" t="n"/>
      <c r="N90" s="11" t="n"/>
    </row>
    <row r="91" ht="82" customHeight="1">
      <c r="A91" s="10" t="n">
        <v>89</v>
      </c>
      <c r="B91" s="10" t="inlineStr">
        <is>
          <t>Vano: sezione, spazi di rifugio e ammortizzatori</t>
        </is>
      </c>
      <c r="C91" s="10" t="inlineStr">
        <is>
          <t>Spazi di rifugio sul tetto di cabina e in fossa</t>
        </is>
      </c>
      <c r="D91"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91" s="10" t="inlineStr">
        <is>
          <t>UNI EN 81-20:2020, 5.2.5.7.1 (Prospetto 3) e 5.2.5.8.1 (Prospetto 4)</t>
        </is>
      </c>
      <c r="F91" s="10" t="inlineStr">
        <is>
          <t>UNI EN 81-20:2020, testo della norma, letto il 2026-10-06, pp. 37–40</t>
        </is>
      </c>
      <c r="G91" s="10" t="inlineStr">
        <is>
          <t>confermato</t>
        </is>
      </c>
      <c r="H91" s="10" t="inlineStr">
        <is>
          <t>spazio di rifugio in testata; spazio di rifugio in fossa</t>
        </is>
      </c>
      <c r="I91" s="11" t="n"/>
      <c r="J91" s="11" t="n"/>
      <c r="K91" s="11" t="n"/>
      <c r="L91" s="11" t="n"/>
      <c r="M91" s="11" t="n"/>
      <c r="N91" s="11" t="n"/>
    </row>
    <row r="92" ht="95" customHeight="1">
      <c r="A92" s="10" t="n">
        <v>90</v>
      </c>
      <c r="B92" s="10" t="inlineStr">
        <is>
          <t>Vano: sezione, spazi di rifugio e ammortizzatori</t>
        </is>
      </c>
      <c r="C92" s="10" t="inlineStr">
        <is>
          <t>Posizione più alta della cabina — vale per gli ascensori a frizione; le riduzioni di 5.2.5.6.1.2 (rallentamento controllato) e 5.2.5.6.1.3 (puleggia tenditrice con antirimbalzo) non sono usate: la verifica è più severa</t>
        </is>
      </c>
      <c r="D92" s="10" t="inlineStr">
        <is>
          <t>contrappeso sugli ammortizzatori completamente compressi, più il salto 0,035·v² m (v velocità nominale)</t>
        </is>
      </c>
      <c r="E92" s="10" t="inlineStr">
        <is>
          <t>UNI EN 81-20:2020, 5.2.5.6.1.1 (Prospetto 2)</t>
        </is>
      </c>
      <c r="F92" s="10" t="inlineStr">
        <is>
          <t>UNI EN 81-20:2020, testo della norma, letto il 2026-10-06, p. 36</t>
        </is>
      </c>
      <c r="G92" s="10" t="inlineStr">
        <is>
          <t>confermato</t>
        </is>
      </c>
      <c r="H92" s="10" t="inlineStr">
        <is>
          <t>spazio di rifugio in testata; distanze libere dal soffitto</t>
        </is>
      </c>
      <c r="I92" s="11" t="n"/>
      <c r="J92" s="11" t="n"/>
      <c r="K92" s="11" t="n"/>
      <c r="L92" s="11" t="n"/>
      <c r="M92" s="11" t="n"/>
      <c r="N92" s="11" t="n"/>
    </row>
    <row r="93" ht="147" customHeight="1">
      <c r="A93" s="10" t="n">
        <v>91</v>
      </c>
      <c r="B93" s="10" t="inlineStr">
        <is>
          <t>Vano: sezione, spazi di rifugio e ammortizzatori</t>
        </is>
      </c>
      <c r="C93"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93" s="10" t="inlineStr">
        <is>
          <t>≥ 500 mm sopra le apparecchiature sul tetto di cabina (operatore); ≥ 100 mm sopra pattini, attacchi delle funi e traversa dell’arcata; ≥ 300 mm sopra il corrimano della balaustra</t>
        </is>
      </c>
      <c r="E93" s="10" t="inlineStr">
        <is>
          <t>UNI EN 81-20:2020, 5.2.5.7.2 a)–c)</t>
        </is>
      </c>
      <c r="F93" s="10" t="inlineStr">
        <is>
          <t>UNI EN 81-20:2020, testo della norma, letto il 2026-10-06, p. 38</t>
        </is>
      </c>
      <c r="G93" s="10" t="inlineStr">
        <is>
          <t>da verificare</t>
        </is>
      </c>
      <c r="H93" s="10" t="inlineStr">
        <is>
          <t>distanze libere dal soffitto</t>
        </is>
      </c>
      <c r="I93" s="11" t="n"/>
      <c r="J93" s="11" t="n"/>
      <c r="K93" s="11" t="n"/>
      <c r="L93" s="11" t="n"/>
      <c r="M93" s="11" t="n"/>
      <c r="N93" s="11" t="n"/>
    </row>
    <row r="94" ht="82" customHeight="1">
      <c r="A94" s="10" t="n">
        <v>92</v>
      </c>
      <c r="B94" s="10" t="inlineStr">
        <is>
          <t>Vano: sezione, spazi di rifugio e ammortizzatori</t>
        </is>
      </c>
      <c r="C94" s="10" t="inlineStr">
        <is>
          <t>Traversa dell’arcata sotto il soffitto — La b) nomina la traversa delle porte e le parti delle porte a scorrimento verticale; quella dell’arcata non è nominata. Da concordare con l’organismo.</t>
        </is>
      </c>
      <c r="D94" s="10" t="inlineStr">
        <is>
          <t>≥ 100 mm come parte di b); sotto 500 mm «Attenzione»: se l’organismo la considera un’apparecchiatura vale a) (500 mm)</t>
        </is>
      </c>
      <c r="E94" s="10" t="inlineStr">
        <is>
          <t>UNI EN 81-20:2020, 5.2.5.7.2 a)–b); UNI EN 81-1:2008, 5.7.1.1 c)</t>
        </is>
      </c>
      <c r="F94" s="10" t="inlineStr">
        <is>
          <t>UNI EN 81-20:2020, testo della norma, letto il 2026-10-06, p. 38; UNI EN 81-1:2008, testo della norma, letto il 2026-10-06, p. 26</t>
        </is>
      </c>
      <c r="G94" s="10" t="inlineStr">
        <is>
          <t>da verificare</t>
        </is>
      </c>
      <c r="H94" s="10" t="inlineStr">
        <is>
          <t>traversa dell’arcata sotto il soffitto</t>
        </is>
      </c>
      <c r="I94" s="11" t="n"/>
      <c r="J94" s="11" t="n"/>
      <c r="K94" s="11" t="n"/>
      <c r="L94" s="11" t="n"/>
      <c r="M94" s="11" t="n"/>
      <c r="N94" s="11" t="n"/>
    </row>
    <row r="95" ht="108" customHeight="1">
      <c r="A95" s="10" t="n">
        <v>93</v>
      </c>
      <c r="B95" s="10" t="inlineStr">
        <is>
          <t>Vano: sezione, spazi di rifugio e ammortizzatori</t>
        </is>
      </c>
      <c r="C95" s="10" t="inlineStr">
        <is>
          <t>Parte più alta della cabina sotto ciò che pende sopra — fino alla versione 1.17.0 del motore del progetto la puleggia di cabina era verificata a 100 mm; i 100 mm della traversa sono la stessa lettura di spazi.testata.parti</t>
        </is>
      </c>
      <c r="D95"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5" s="10" t="inlineStr">
        <is>
          <t>UNI EN 81-20:2020, 5.2.5.7.2 a) e b)</t>
        </is>
      </c>
      <c r="F95" s="10" t="inlineStr">
        <is>
          <t>UNI EN 81-20:2020, testo della norma, letto il 2026-10-06, p. 38</t>
        </is>
      </c>
      <c r="G95" s="10" t="inlineStr">
        <is>
          <t>confermato</t>
        </is>
      </c>
      <c r="H95" s="10" t="inlineStr">
        <is>
          <t>parte più alta della cabina sotto ciò che pende sopra; parte più alta della cabina sotto le pulegge appese alla soletta</t>
        </is>
      </c>
      <c r="I95" s="11" t="n"/>
      <c r="J95" s="11" t="n"/>
      <c r="K95" s="11" t="n"/>
      <c r="L95" s="11" t="n"/>
      <c r="M95" s="11" t="n"/>
      <c r="N95" s="11" t="n"/>
    </row>
    <row r="96" ht="160" customHeight="1">
      <c r="A96" s="10" t="n">
        <v>94</v>
      </c>
      <c r="B96" s="10" t="inlineStr">
        <is>
          <t>Vano: sezione, spazi di rifugio e ammortizzatori</t>
        </is>
      </c>
      <c r="C96" s="10" t="inlineStr">
        <is>
          <t>Spazio di rifugio sul tetto sotto le parti appese alla soletta — pianta delle pulegge appese: Dp lungo il loro piano per la larghezza delle guance del telaio (come il 3D); con un riparo fisso sul tetto sotto le pulegge l’area non è più un posto in piedi: è una scelta del progettista. Fino alla versione 1.28.0 del motore del progetto il rifugio e la sua altezza non vedevano le pulegge appese</t>
        </is>
      </c>
      <c r="D96" s="10" t="inlineStr">
        <is>
          <t>con la cabina nella posizione più alta, ciò che pende sotto la soletta (le pulegge di rinvio appese della macchina in basso con il loro telaio, il tratto orizzontale delle funi fra due rinvii a 90°, gli attacchi delle funi della taglia 2:1) più in basso dell’altezza del rifugio sopra il tetto toglie la sua pianta dalle parti libere del tetto, come gli operatori: il rifugio deve stare tutto fuori; l’altezza libera del rifugio si misura fino alla parte più bassa sopra ogni parte libera del tetto, dove si sta in piedi</t>
        </is>
      </c>
      <c r="E96" s="10" t="inlineStr">
        <is>
          <t>UNI EN 81-20:2020, 5.2.5.7.1 (prospetto 3), 5.2.5.7.2 e 5.2.5.7.3</t>
        </is>
      </c>
      <c r="F96" s="10" t="inlineStr">
        <is>
          <t>UNI EN 81-20:2020, testo della norma, letto il 2026-10-06, pp. 37–39</t>
        </is>
      </c>
      <c r="G96" s="10" t="inlineStr">
        <is>
          <t>confermato</t>
        </is>
      </c>
      <c r="H96" s="10" t="inlineStr">
        <is>
          <t>spazio di rifugio sul tetto di cabina: altezza libera fino a ciò che pende sotto la soletta; spazio di rifugio sul tetto di cabina fuori da ciò che pende sotto la soletta</t>
        </is>
      </c>
      <c r="I96" s="11" t="n"/>
      <c r="J96" s="11" t="n"/>
      <c r="K96" s="11" t="n"/>
      <c r="L96" s="11" t="n"/>
      <c r="M96" s="11" t="n"/>
      <c r="N96" s="11" t="n"/>
    </row>
    <row r="97" ht="134" customHeight="1">
      <c r="A97" s="10" t="n">
        <v>95</v>
      </c>
      <c r="B97" s="10" t="inlineStr">
        <is>
          <t>Vano: sezione, spazi di rifugio e ammortizzatori</t>
        </is>
      </c>
      <c r="C97" s="10" t="inlineStr">
        <is>
          <t>Ammortizzatori e spazio di rifugio in fossa, in pianta</t>
        </is>
      </c>
      <c r="D97"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7" s="10" t="inlineStr">
        <is>
          <t>UNI EN 81-20:2020, 5.2.5.8.1</t>
        </is>
      </c>
      <c r="F97" s="10" t="inlineStr">
        <is>
          <t>scelta del software sul modello della fossa (posizioni tipiche, da confermare con i dati del fornitore degli ammortizzatori)</t>
        </is>
      </c>
      <c r="G97" s="10" t="inlineStr">
        <is>
          <t>scelta del software</t>
        </is>
      </c>
      <c r="H97" s="10" t="inlineStr">
        <is>
          <t>ammortizzatori fissati a mano: sotto cabina e contrappeso, fuori dal rifugio</t>
        </is>
      </c>
      <c r="I97" s="11" t="n"/>
      <c r="J97" s="11" t="n"/>
      <c r="K97" s="11" t="n"/>
      <c r="L97" s="11" t="n"/>
      <c r="M97" s="11" t="n"/>
      <c r="N97" s="11" t="n"/>
    </row>
    <row r="98" ht="82" customHeight="1">
      <c r="A98" s="10" t="n">
        <v>96</v>
      </c>
      <c r="B98" s="10" t="inlineStr">
        <is>
          <t>Vano: sezione, spazi di rifugio e ammortizzatori</t>
        </is>
      </c>
      <c r="C98" s="10" t="inlineStr">
        <is>
          <t>Distanze in fossa con la cabina sugli ammortizzatori compressi</t>
        </is>
      </c>
      <c r="D98"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98" s="10" t="inlineStr">
        <is>
          <t>UNI EN 81-20:2020, 5.2.5.8.2 a) e 5.4.5.1–5.4.5.2</t>
        </is>
      </c>
      <c r="F98" s="10" t="inlineStr">
        <is>
          <t>UNI EN 81-20:2020, testo della norma, letto il 2026-10-06, pp. 40–41, 69</t>
        </is>
      </c>
      <c r="G98" s="10" t="inlineStr">
        <is>
          <t>confermato</t>
        </is>
      </c>
      <c r="H98" s="10" t="inlineStr">
        <is>
          <t>spazio di rifugio in fossa; grembiule sugli ammortizzatori compressi</t>
        </is>
      </c>
      <c r="I98" s="11" t="n"/>
      <c r="J98" s="11" t="n"/>
      <c r="K98" s="11" t="n"/>
      <c r="L98" s="11" t="n"/>
      <c r="M98" s="11" t="n"/>
      <c r="N98" s="11" t="n"/>
    </row>
    <row r="99" ht="108" customHeight="1">
      <c r="A99" s="10" t="n">
        <v>97</v>
      </c>
      <c r="B99" s="10" t="inlineStr">
        <is>
          <t>Vano: sezione, spazi di rifugio e ammortizzatori</t>
        </is>
      </c>
      <c r="C99" s="10" t="inlineStr">
        <is>
          <t>Balaustra sul tetto di cabina — fino alla versione 2.12.0 del motore del vano il software misurava i 500 mm dal bordo del tetto; la norma vuole la balaustra entro 150 mm dal bordo: se è più interna, la distanza cresce e può servire l’altezza maggiore</t>
        </is>
      </c>
      <c r="D99"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99" s="10" t="inlineStr">
        <is>
          <t>UNI EN 81-20:2020, 5.4.7.2 b) e 5.4.7.4 b)–c)</t>
        </is>
      </c>
      <c r="F99" s="10" t="inlineStr">
        <is>
          <t>UNI EN 81-20:2020, testo della norma, letto il 2026-10-06, pp. 70–72</t>
        </is>
      </c>
      <c r="G99" s="10" t="inlineStr">
        <is>
          <t>confermato</t>
        </is>
      </c>
      <c r="H99" s="10" t="inlineStr">
        <is>
          <t>balaustra sul tetto di cabina</t>
        </is>
      </c>
      <c r="I99" s="11" t="n"/>
      <c r="J99" s="11" t="n"/>
      <c r="K99" s="11" t="n"/>
      <c r="L99" s="11" t="n"/>
      <c r="M99" s="11" t="n"/>
      <c r="N99" s="11" t="n"/>
    </row>
    <row r="100" ht="121" customHeight="1">
      <c r="A100" s="10" t="n">
        <v>98</v>
      </c>
      <c r="B100" s="10" t="inlineStr">
        <is>
          <t>Vano: sezione, spazi di rifugio e ammortizzatori</t>
        </is>
      </c>
      <c r="C100"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100"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100" s="10" t="inlineStr">
        <is>
          <t>UNI EN 81-20:2020, 5.2.5.7.1 (prospetto 3) e 5.2.5.7.3; UNI EN 81-1:2008, 8.13.2</t>
        </is>
      </c>
      <c r="F100" s="10" t="inlineStr">
        <is>
          <t>UNI EN 81-20:2020, testo della norma, letto il 2026-10-06, pp. 38–39; UNI EN 81-1:2008, testo della norma, letto il 2026-10-06, p. 52</t>
        </is>
      </c>
      <c r="G100" s="10" t="inlineStr">
        <is>
          <t>confermato</t>
        </is>
      </c>
      <c r="H100" s="10" t="inlineStr">
        <is>
          <t>spazio di rifugio sul tetto di cabina; spazio di rifugio in testata</t>
        </is>
      </c>
      <c r="I100" s="11" t="n"/>
      <c r="J100" s="11" t="n"/>
      <c r="K100" s="11" t="n"/>
      <c r="L100" s="11" t="n"/>
      <c r="M100" s="11" t="n"/>
      <c r="N100" s="11" t="n"/>
    </row>
    <row r="101" ht="134" customHeight="1">
      <c r="A101" s="10" t="n">
        <v>99</v>
      </c>
      <c r="B101" s="10" t="inlineStr">
        <is>
          <t>Vano: sezione, spazi di rifugio e ammortizzatori</t>
        </is>
      </c>
      <c r="C101"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101"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101" s="10" t="inlineStr">
        <is>
          <t>UNI EN 81-20:2020, 5.2.5.7.1 (prospetto 3)</t>
        </is>
      </c>
      <c r="F101" s="10" t="inlineStr">
        <is>
          <t>misure dell’arcata e dell’operatore del disegno del software (tipiche, da confermare con il fornitore dell’arcata e delle porte)</t>
        </is>
      </c>
      <c r="G101" s="10" t="inlineStr">
        <is>
          <t>stima</t>
        </is>
      </c>
      <c r="H101" s="10" t="inlineStr">
        <is>
          <t>spazio di rifugio sul tetto di cabina</t>
        </is>
      </c>
      <c r="I101" s="11" t="n"/>
      <c r="J101" s="11" t="n"/>
      <c r="K101" s="11" t="n"/>
      <c r="L101" s="11" t="n"/>
      <c r="M101" s="11" t="n"/>
      <c r="N101" s="11" t="n"/>
    </row>
    <row r="102" ht="212" customHeight="1">
      <c r="A102" s="10" t="n">
        <v>100</v>
      </c>
      <c r="B102" s="10" t="inlineStr">
        <is>
          <t>Vano: sezione, spazi di rifugio e ammortizzatori</t>
        </is>
      </c>
      <c r="C102"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102" s="10" t="inlineStr">
        <is>
          <t>luce netta in altezza delle porte di piano e di cabina ≥ 2000 mm; altezza libera interna della cabina ≥ 2000 mm</t>
        </is>
      </c>
      <c r="E102" s="10" t="inlineStr">
        <is>
          <t>UNI EN 81-20:2020, 5.3.2.1 e 5.4.1</t>
        </is>
      </c>
      <c r="F102" s="10" t="inlineStr">
        <is>
          <t>UNI EN 81-20:2020, testo della norma, letto il 2026-10-06, pp. 49, 63; 2 m anche in DM 587/1987 (UNI EN 81-1), 7.3.1, 8.1.1 e 8.1.2</t>
        </is>
      </c>
      <c r="G102" s="10" t="inlineStr">
        <is>
          <t>confermato</t>
        </is>
      </c>
      <c r="H102" s="10" t="inlineStr">
        <is>
          <t>altezza libera degli accessi; altezza libera interna della cabina</t>
        </is>
      </c>
      <c r="I102" s="11" t="n"/>
      <c r="J102" s="11" t="n"/>
      <c r="K102" s="11" t="n"/>
      <c r="L102" s="11" t="n"/>
      <c r="M102" s="11" t="n"/>
      <c r="N102" s="11" t="n"/>
    </row>
    <row r="103" ht="160" customHeight="1">
      <c r="A103" s="10" t="n">
        <v>101</v>
      </c>
      <c r="B103" s="10" t="inlineStr">
        <is>
          <t>Vano: sezione, spazi di rifugio e ammortizzatori</t>
        </is>
      </c>
      <c r="C103" s="10" t="inlineStr">
        <is>
          <t>Corsa guidata in testata (contrappeso e cabina)</t>
        </is>
      </c>
      <c r="D103"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103" s="10" t="inlineStr">
        <is>
          <t>UNI EN 81-20:2020, 5.2.5.6.2 e 5.2.5.6.1.1 (Prospetto 2: cabina sugli ammortizzatori compressi più 0,035·v²); stesso valore in UNI EN 81-1 (1999, 2008), 5.7.1.2</t>
        </is>
      </c>
      <c r="F103" s="10" t="inlineStr">
        <is>
          <t>UNI EN 81-20:2020, testo della norma, letto il 2026-10-06, p. 36; UNI EN 81-1:2008, testo della norma, letto il 2026-10-06, p. 27</t>
        </is>
      </c>
      <c r="G103" s="10" t="inlineStr">
        <is>
          <t>confermato</t>
        </is>
      </c>
      <c r="H103" s="10" t="inlineStr">
        <is>
          <t>corsa guidata del contrappeso in testata; corsa guidata della cabina in testata</t>
        </is>
      </c>
      <c r="I103" s="11" t="n"/>
      <c r="J103" s="11" t="n"/>
      <c r="K103" s="11" t="n"/>
      <c r="L103" s="11" t="n"/>
      <c r="M103" s="11" t="n"/>
      <c r="N103" s="11" t="n"/>
    </row>
    <row r="104" ht="82" customHeight="1">
      <c r="A104" s="10" t="n">
        <v>102</v>
      </c>
      <c r="B104" s="10" t="inlineStr">
        <is>
          <t>Vano: sezione, spazi di rifugio e ammortizzatori</t>
        </is>
      </c>
      <c r="C104" s="10" t="inlineStr">
        <is>
          <t>Schermo del contrappeso in fossa — bordo inferiore, larghezza e spazio tra le guide e la parete (5.2.5.5.1 c)–e)): voce contrappeso.schermo.pianta; fino alla versione 2.22.0 del motore del vano non erano verificati</t>
        </is>
      </c>
      <c r="D104" s="10" t="inlineStr">
        <is>
          <t>dal punto più basso del contrappeso sugli ammortizzatori compressi fino ad almeno 2000 mm sopra il pavimento della fossa (altezza dello schermo modificabile sul progetto, mai sotto questo valore)</t>
        </is>
      </c>
      <c r="E104" s="10" t="inlineStr">
        <is>
          <t>UNI EN 81-20:2020, 5.2.5.5.1 b)</t>
        </is>
      </c>
      <c r="F104" s="10" t="inlineStr">
        <is>
          <t>UNI EN 81-20:2020, testo della norma, letto il 2026-10-06, p. 35</t>
        </is>
      </c>
      <c r="G104" s="10" t="inlineStr">
        <is>
          <t>confermato</t>
        </is>
      </c>
      <c r="H104" s="10" t="inlineStr">
        <is>
          <t>protezione del contrappeso in fossa</t>
        </is>
      </c>
      <c r="I104" s="11" t="n"/>
      <c r="J104" s="11" t="n"/>
      <c r="K104" s="11" t="n"/>
      <c r="L104" s="11" t="n"/>
      <c r="M104" s="11" t="n"/>
      <c r="N104" s="11" t="n"/>
    </row>
    <row r="105" ht="95" customHeight="1">
      <c r="A105" s="10" t="n">
        <v>103</v>
      </c>
      <c r="B105" s="10" t="inlineStr">
        <is>
          <t>Vano: sezione, spazi di rifugio e ammortizzatori</t>
        </is>
      </c>
      <c r="C105" s="10" t="inlineStr">
        <is>
          <t>Ammortizzatori ad accumulo di energia lineari (molle)</t>
        </is>
      </c>
      <c r="D105" s="10" t="inlineStr">
        <is>
          <t>ammessi fino a 1 m/s; corsa ≥ 0,135·v² m e comunque ≥ 65 mm; extracorsa della cabina e del contrappeso ≥ 0 (nessun minimo nella norma)</t>
        </is>
      </c>
      <c r="E105" s="10" t="inlineStr">
        <is>
          <t>UNI EN 81-20:2020, 5.8.1.5 (fino a 1 m/s) e 5.8.2.1.1.1 (corsa); nessuna extracorsa minima in metri: l’interruttore di extracorsa interviene prima che la cabina o il contrappeso tocchino gli ammortizzatori (5.12.2.1)</t>
        </is>
      </c>
      <c r="F105" s="10" t="inlineStr">
        <is>
          <t>UNI EN 81-20:2020, testo della norma, letto il 2026-10-06, pp. 98, 131</t>
        </is>
      </c>
      <c r="G105" s="10" t="inlineStr">
        <is>
          <t>confermato</t>
        </is>
      </c>
      <c r="H105" s="10" t="inlineStr">
        <is>
          <t>tipo di ammortizzatori per la velocità; corsa degli ammortizzatori di cabina; corsa dell’ammortizzatore del contrappeso; extracorsa di cabina e contrappeso</t>
        </is>
      </c>
      <c r="I105" s="11" t="n"/>
      <c r="J105" s="11" t="n"/>
      <c r="K105" s="11" t="n"/>
      <c r="L105" s="11" t="n"/>
      <c r="M105" s="11" t="n"/>
      <c r="N105" s="11" t="n"/>
    </row>
    <row r="106" ht="121" customHeight="1">
      <c r="A106" s="10" t="n">
        <v>104</v>
      </c>
      <c r="B106" s="10" t="inlineStr">
        <is>
          <t>Vano: sezione, spazi di rifugio e ammortizzatori</t>
        </is>
      </c>
      <c r="C106" s="10" t="inlineStr">
        <is>
          <t>Ammortizzatori ad accumulo di energia non lineari (tamponi in poliuretano) — il tampone tipico alto 80 mm è un dato di catalogo, non della norma: va sostituito con quello montato</t>
        </is>
      </c>
      <c r="D106"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6" s="10" t="inlineStr">
        <is>
          <t>UNI EN 81-20:2020, 5.8.1.5, 5.8.1.7, 5.8.2.1.2.1 e 5.8.2.1.2.2 (compresso al 90 %); UNI EN 81-50:2020, 5.5.4 (esame di tipo)</t>
        </is>
      </c>
      <c r="F106" s="10" t="inlineStr">
        <is>
          <t>UNI EN 81-20:2020, testo della norma, letto il 2026-10-06, pp. 98–99; UNI EN 81-50:2020, testo della norma, letto il 2026-10-06, p. 24; il tampone tipico dai cataloghi P+S Diepocell (wwlift.de) e ACLA AUTAN XL (acla.de), estratti di ricerca del 1° ottobre 2026</t>
        </is>
      </c>
      <c r="G106" s="10" t="inlineStr">
        <is>
          <t>confermato</t>
        </is>
      </c>
      <c r="H106" s="10" t="inlineStr">
        <is>
          <t>tipo di ammortizzatori per la velocità; corsa degli ammortizzatori di cabina; corsa dell’ammortizzatore del contrappeso</t>
        </is>
      </c>
      <c r="I106" s="11" t="n"/>
      <c r="J106" s="11" t="n"/>
      <c r="K106" s="11" t="n"/>
      <c r="L106" s="11" t="n"/>
      <c r="M106" s="11" t="n"/>
      <c r="N106" s="11" t="n"/>
    </row>
    <row r="107" ht="95" customHeight="1">
      <c r="A107" s="10" t="n">
        <v>105</v>
      </c>
      <c r="B107" s="10" t="inlineStr">
        <is>
          <t>Vano: sezione, spazi di rifugio e ammortizzatori</t>
        </is>
      </c>
      <c r="C107" s="10" t="inlineStr">
        <is>
          <t>Ammortizzatori a dissipazione di energia (idraulici) — gli ammortizzatori Oleo sono dati di catalogo, non della norma: vanno sostituiti con quelli montati</t>
        </is>
      </c>
      <c r="D107"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107" s="10" t="inlineStr">
        <is>
          <t>UNI EN 81-20:2020, 5.8.1.6 e 5.8.2.2.1 (corsa); la corsa ridotta di 5.8.2.2.2 non è usata</t>
        </is>
      </c>
      <c r="F107" s="10" t="inlineStr">
        <is>
          <t>UNI EN 81-20:2020, testo della norma, letto il 2026-10-06, p. 99; gli ammortizzatori tipici dal catalogo Oleo LSB e SEB (oleo.co.uk), estratti di ricerca del 1° ottobre 2026</t>
        </is>
      </c>
      <c r="G107" s="10" t="inlineStr">
        <is>
          <t>confermato</t>
        </is>
      </c>
      <c r="H107" s="10" t="inlineStr">
        <is>
          <t>tipo di ammortizzatori per la velocità; corsa degli ammortizzatori di cabina; corsa dell’ammortizzatore del contrappeso</t>
        </is>
      </c>
      <c r="I107" s="11" t="n"/>
      <c r="J107" s="11" t="n"/>
      <c r="K107" s="11" t="n"/>
      <c r="L107" s="11" t="n"/>
      <c r="M107" s="11" t="n"/>
      <c r="N107" s="11" t="n"/>
    </row>
    <row r="108" ht="160" customHeight="1">
      <c r="A108" s="10" t="n">
        <v>106</v>
      </c>
      <c r="B108" s="10" t="inlineStr">
        <is>
          <t>Vano: sezione, spazi di rifugio e ammortizzatori</t>
        </is>
      </c>
      <c r="C108" s="10" t="inlineStr">
        <is>
          <t>Accesso alla fossa: scala nel vano</t>
        </is>
      </c>
      <c r="D108" s="10" t="inlineStr">
        <is>
          <t>fossa profonda fino a 2500 mm: porta di accesso oppure scala dentro il vano, comoda da raggiungere dalla porta di piano più bassa; più profonda: porta di accesso. Scala custodita in fossa, di alluminio o acciaio: in uso i montanti arrivano ad almeno 1100 mm sopra la soglia di piano, pioli larghi almeno 280 mm con almeno 200 mm liberi dietro fino alla parete; a riposo a non più di 800 mm dal bordo dell’accesso, in uso la mezzeria dei pioli a non più di 600 mm; a riposo fuori dagli spazi di rifugio (se può urtare parti in moto fuori dal riposo, un contatto di sicurezza)</t>
        </is>
      </c>
      <c r="E108" s="10" t="inlineStr">
        <is>
          <t>UNI EN 81-20:2020, 5.2.2.4 e appendice F (F.2.3, F.3.2, F.5)</t>
        </is>
      </c>
      <c r="F108" s="10" t="inlineStr">
        <is>
          <t>UNI EN 81-20:2020, testo della norma, letto il 2026-10-06, pp. 28–29, 151–152</t>
        </is>
      </c>
      <c r="G108" s="10" t="inlineStr">
        <is>
          <t>confermato</t>
        </is>
      </c>
      <c r="H108" s="10" t="inlineStr">
        <is>
          <t>—</t>
        </is>
      </c>
      <c r="I108" s="11" t="n"/>
      <c r="J108" s="11" t="n"/>
      <c r="K108" s="11" t="n"/>
      <c r="L108" s="11" t="n"/>
      <c r="M108" s="11" t="n"/>
      <c r="N108" s="11" t="n"/>
    </row>
    <row r="109" ht="212" customHeight="1">
      <c r="A109" s="10" t="n">
        <v>107</v>
      </c>
      <c r="B109" s="10" t="inlineStr">
        <is>
          <t>Vano: sezione, spazi di rifugio e ammortizzatori</t>
        </is>
      </c>
      <c r="C109" s="10" t="inlineStr">
        <is>
          <t>Dotazioni della fossa: arresto, ispezione, presa, luce, cartello</t>
        </is>
      </c>
      <c r="D109" s="10" t="inlineStr">
        <is>
          <t>fossa profonda fino a 1600 mm: un dispositivo di arresto (STOP) almeno 400 mm sopra il pavimento della fermata più bassa e non oltre 2000 mm dal fondo della fossa; più profonda: due, quello alto almeno 1000 mm sopra la fermata, quello basso non oltre 1200 mm dal fondo e manovrabile da uno spazio di rifugio; ogni arresto a non più di 750 mm in orizzontale dal bordo interno del telaio della porta di accesso; comando d’ispezione manovrabile da non oltre 300 mm da uno spazio di rifugio; una presa di corrente; comando della luce del vano a non più di 750 mm dal telaio e almeno 1000 mm sopra il pavimento di accesso; in fossa un cartello, leggibile dall’accesso, con il numero di persone ammesse e la postura dello spazio di rifugio</t>
        </is>
      </c>
      <c r="E109" s="10" t="inlineStr">
        <is>
          <t>UNI EN 81-20:2020, 5.2.1.5.1 a)–d) e 5.2.5.8.1 (cartello)</t>
        </is>
      </c>
      <c r="F109" s="10" t="inlineStr">
        <is>
          <t>UNI EN 81-20:2020, testo della norma, letto il 2026-10-06, pp. 25–26, 40</t>
        </is>
      </c>
      <c r="G109" s="10" t="inlineStr">
        <is>
          <t>confermato</t>
        </is>
      </c>
      <c r="H109" s="10" t="inlineStr">
        <is>
          <t>—</t>
        </is>
      </c>
      <c r="I109" s="11" t="n"/>
      <c r="J109" s="11" t="n"/>
      <c r="K109" s="11" t="n"/>
      <c r="L109" s="11" t="n"/>
      <c r="M109" s="11" t="n"/>
      <c r="N109" s="11" t="n"/>
    </row>
    <row r="110" ht="303" customHeight="1">
      <c r="A110" s="10" t="n">
        <v>108</v>
      </c>
      <c r="B110" s="10" t="inlineStr">
        <is>
          <t>Vano: sezione, spazi di rifugio e ammortizzatori</t>
        </is>
      </c>
      <c r="C110" s="10" t="inlineStr">
        <is>
          <t>Scala e pulsantiera della fossa nei disegni</t>
        </is>
      </c>
      <c r="D110" s="10" t="inlineStr">
        <is>
          <t>la scala disegnata larga 370 mm e profonda 100 mm, la pulsantiera della fossa (arresto, presa, comando della luce) larga 150 mm, profonda 80 mm, alta 120 mm per apparecchio, con l’arresto 500 mm e il comando della luce 1100 mm sopra la fermata più bassa (fossa oltre 1600 mm: l’arresto alto 1000 mm sopra la fermata e quello basso sotto la pulsantiera, con il bordo superiore 1200 mm sopra il fondo); ognuna contro una parete, il più vicino possibile al bordo dell’accesso di quella fermata (la scala entro il limite di uso, la pulsantiera entro quello dell’arresto), fuori dalla cabina con le soglie, dagli operatori delle porte se con la cabina sugli ammortizzatori compressi scendono fino a 100 mm sopra la scala o la pulsantiera, dal contrappeso e dalla sua protezione con tutto lo spazio che chiude fino alla parete, dalle guide con le staffe, dalla porta di piano, dalla fune del limitatore e, per la scala in fossa, dagli ammortizzatori, dallo spazio di rifugio e dal tenditore del limitatore; senza un posto libero il disegno non la mette e la nota lo dice</t>
        </is>
      </c>
      <c r="E110" s="10" t="inlineStr">
        <is>
          <t>—</t>
        </is>
      </c>
      <c r="F110" s="10" t="inlineStr">
        <is>
          <t>scelta del software: tipo, misure e posizione definitivi del fornitore della scala e del quadro</t>
        </is>
      </c>
      <c r="G110" s="10" t="inlineStr">
        <is>
          <t>scelta del software</t>
        </is>
      </c>
      <c r="H110" s="10" t="inlineStr">
        <is>
          <t>—</t>
        </is>
      </c>
      <c r="I110" s="11" t="n"/>
      <c r="J110" s="11" t="n"/>
      <c r="K110" s="11" t="n"/>
      <c r="L110" s="11" t="n"/>
      <c r="M110" s="11" t="n"/>
      <c r="N110" s="11" t="n"/>
    </row>
    <row r="111" ht="108" customHeight="1">
      <c r="A111" s="10" t="n">
        <v>109</v>
      </c>
      <c r="B111" s="10" t="inlineStr">
        <is>
          <t>Vano: sezione, spazi di rifugio e ammortizzatori</t>
        </is>
      </c>
      <c r="C111" s="10" t="inlineStr">
        <is>
          <t>Protezione del contrappeso in fossa: bordo inferiore e larghezza — p_screenlo e p_screenw sono informazioni, non verifiche: il bordo e la larghezza sono quelli che il disegno dà accanto ai valori della norma; la protezione montata si controlla al collaudo</t>
        </is>
      </c>
      <c r="D111" s="10" t="inlineStr">
        <is>
          <t>bordo inferiore non oltre 300 mm dal fondo della fossa; larga almeno quanto il contrappeso; se tra le guide del contrappeso e una parete ci sono più di 300 mm, la protezione arriva anche alla parete. Il disegno la mette davanti al contrappeso e alle sue guide, 40 mm oltre da ogni lato, fino alla parete dove resterebbero più di 300 mm</t>
        </is>
      </c>
      <c r="E111" s="10" t="inlineStr">
        <is>
          <t>UNI EN 81-20:2020, 5.2.5.5.1 c)–e)</t>
        </is>
      </c>
      <c r="F111" s="10" t="inlineStr">
        <is>
          <t>UNI EN 81-20:2020, testo della norma, letto il 2026-10-06, p. 35</t>
        </is>
      </c>
      <c r="G111" s="10" t="inlineStr">
        <is>
          <t>confermato</t>
        </is>
      </c>
      <c r="H111" s="10" t="inlineStr">
        <is>
          <t>protezione del contrappeso: bordo inferiore; protezione del contrappeso: larghezza e spazio tra guide e parete</t>
        </is>
      </c>
      <c r="I111" s="11" t="n"/>
      <c r="J111" s="11" t="n"/>
      <c r="K111" s="11" t="n"/>
      <c r="L111" s="11" t="n"/>
      <c r="M111" s="11" t="n"/>
      <c r="N111" s="11" t="n"/>
    </row>
    <row r="112" ht="186" customHeight="1">
      <c r="A112" s="10" t="n">
        <v>110</v>
      </c>
      <c r="B112" s="10" t="inlineStr">
        <is>
          <t>Vano: sezione, spazi di rifugio e ammortizzatori</t>
        </is>
      </c>
      <c r="C112" s="10" t="inlineStr">
        <is>
          <t>Gioco massimo tra contrappeso e ammortizzatore (cartello)</t>
        </is>
      </c>
      <c r="D112" s="10" t="inlineStr">
        <is>
          <t>il cartello sulla protezione del contrappeso o accanto riporta il gioco massimo ammesso tra contrappeso e ammortizzatore con la cabina al piano più alto: l’extracorsa del progetto più il margine più piccolo delle verifiche che il gioco riduce (spazio di rifugio sul tetto, anche sotto le pulegge e gli attacchi appesi nel vano, distanze libere dal soffitto, parte più alta della cabina sotto ciò che pende sopra, corsa guidata del contrappeso con la cabina sugli ammortizzatori e, finché passano, gli avvisi della traversa sotto il soffitto e della corsa guidata della cabina), arrotondato per difetto a 5 mm: con quel gioco nessuna verifica del progetto cambia esito</t>
        </is>
      </c>
      <c r="E112" s="10" t="inlineStr">
        <is>
          <t>UNI EN 81-20:2020, 5.2.5.7.1</t>
        </is>
      </c>
      <c r="F112" s="10" t="inlineStr">
        <is>
          <t>UNI EN 81-20:2020, testo della norma, letto il 2026-10-06, pp. 37–38; il calcolo del margine è del software</t>
        </is>
      </c>
      <c r="G112" s="10" t="inlineStr">
        <is>
          <t>confermato</t>
        </is>
      </c>
      <c r="H112" s="10" t="inlineStr">
        <is>
          <t>gioco massimo contrappeso–ammortizzatore (cartello)</t>
        </is>
      </c>
      <c r="I112" s="11" t="n"/>
      <c r="J112" s="11" t="n"/>
      <c r="K112" s="11" t="n"/>
      <c r="L112" s="11" t="n"/>
      <c r="M112" s="11" t="n"/>
      <c r="N112" s="11" t="n"/>
    </row>
    <row r="113" ht="498" customHeight="1">
      <c r="A113" s="10" t="n">
        <v>111</v>
      </c>
      <c r="B113" s="10" t="inlineStr">
        <is>
          <t>Locale del macchinario</t>
        </is>
      </c>
      <c r="C113"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lo spazio sopra le parti rotanti lo misura dal loro punto più alto al soffitto più basso (avvertimento: con le parti protette da un carter il tecnico lo indica e la verifica non serve; fino a LIFT 1.28.0 e ROOM 1.12.0 non era verificato).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13"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fino a muri, quadro, limitatore e interruttore generale, sul lato del volantino se ci sta: locale.volantino; la disegna in pianta con i percorsi dalla porta); almeno 300 mm liberi in verticale sopra le parti rotanti non protette (la puleggia di frizione con le funi, il volantino, la puleggia di rinvio nel locale);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13" s="10" t="inlineStr">
        <is>
          <t>UNI EN 81-20:2020, 5.2.6.3.2.1 (2,10 m e superfici libere), 5.2.6.3.2.2 (percorsi: 0,50 m di larghezza, 1,80 m di altezza), 5.2.6.3.2.3 (0,30 m sopra le parti rotanti non protette), 5.2.3.2 a) (porta), 5.2.3.3 a) (verso di apertura) e 5.2.6.3.3 (aperture)</t>
        </is>
      </c>
      <c r="F113" s="10" t="inlineStr">
        <is>
          <t>UNI EN 81-20:2020, testo della norma, letto il 2026-10-06, pp. 29–30, 43; le superfici libere anche in UNI EN 81-1:1999, 6.3.2.1 (edizione 2008: 6.3.3.1)</t>
        </is>
      </c>
      <c r="G113" s="10" t="inlineStr">
        <is>
          <t>confermato</t>
        </is>
      </c>
      <c r="H113" s="10" t="inlineStr">
        <is>
          <t>altezza del locale macchina; superficie libera davanti al quadro; superficie libera accanto all’argano; percorsi dalla porta alle superfici libere; porta del locale macchina; spazio libero sopra le parti rotanti non protette dell’argano</t>
        </is>
      </c>
      <c r="I113" s="11" t="n"/>
      <c r="J113" s="11" t="n"/>
      <c r="K113" s="11" t="n"/>
      <c r="L113" s="11" t="n"/>
      <c r="M113" s="11" t="n"/>
      <c r="N113" s="11" t="n"/>
    </row>
    <row r="114" ht="121" customHeight="1">
      <c r="A114" s="10" t="n">
        <v>112</v>
      </c>
      <c r="B114" s="10" t="inlineStr">
        <is>
          <t>Locale del macchinario</t>
        </is>
      </c>
      <c r="C114" s="10" t="inlineStr">
        <is>
          <t>Locale del macchinario esistente nella modifica — nella nota del foglio della sostituzione; nell’esito l’altezza e la porta restano «esistente», la superficie davanti al quadro entra quando cambia la macchina</t>
        </is>
      </c>
      <c r="D114" s="10" t="inlineStr">
        <is>
          <t>con la macchina nuova il locale segue la UNI EN 81-20 5.2.6.3 attorno alle apparecchiature sostituite o aggiunte;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14" s="10" t="inlineStr">
        <is>
          <t>UNI 10411-1:2024, 9.1–9.2; UNI 10411-11:2024, 9.2; UNI EN 81-21:2022, 5.9</t>
        </is>
      </c>
      <c r="F114" s="10" t="inlineStr">
        <is>
          <t>UNI 10411-1:2024, testo della norma, letto il 2026-10-06, p. 9; UNI 10411-11:2024, testo della norma, letto il 2026-10-06, p. 9; UNI EN 81-21:2022, testo della norma, letto il 2026-10-06, p. 23</t>
        </is>
      </c>
      <c r="G114" s="10" t="inlineStr">
        <is>
          <t>confermato</t>
        </is>
      </c>
      <c r="H114" s="10" t="inlineStr">
        <is>
          <t>—</t>
        </is>
      </c>
      <c r="I114" s="11" t="n"/>
      <c r="J114" s="11" t="n"/>
      <c r="K114" s="11" t="n"/>
      <c r="L114" s="11" t="n"/>
      <c r="M114" s="11" t="n"/>
      <c r="N114" s="11" t="n"/>
    </row>
    <row r="115" ht="212" customHeight="1">
      <c r="A115" s="10" t="n">
        <v>113</v>
      </c>
      <c r="B115" s="10" t="inlineStr">
        <is>
          <t>Locale del macchinario</t>
        </is>
      </c>
      <c r="C115"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15"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15" s="10" t="inlineStr">
        <is>
          <t>UNI EN 81-20:2020, 5.2.6.7.1 (altezza e superfici), 5.2.6.7.2 (aperture), 5.2.3.2 b) (porta), 5.2.1.5.2 c) (arresto) e 5.10.5.1.2 (interruttore generale)</t>
        </is>
      </c>
      <c r="F115" s="10" t="inlineStr">
        <is>
          <t>UNI EN 81-20:2020, testo della norma, letto il 2026-10-06, pp. 26, 29, 49</t>
        </is>
      </c>
      <c r="G115" s="10" t="inlineStr">
        <is>
          <t>confermato</t>
        </is>
      </c>
      <c r="H115" s="10" t="inlineStr">
        <is>
          <t>altezza libera del locale delle pulegge; porta del locale delle pulegge; spazio libero sopra le pulegge non protette</t>
        </is>
      </c>
      <c r="I115" s="11" t="n"/>
      <c r="J115" s="11" t="n"/>
      <c r="K115" s="11" t="n"/>
      <c r="L115" s="11" t="n"/>
      <c r="M115" s="11" t="n"/>
      <c r="N115" s="11" t="n"/>
    </row>
    <row r="116" ht="95" customHeight="1">
      <c r="A116" s="10" t="n">
        <v>114</v>
      </c>
      <c r="B116" s="10" t="inlineStr">
        <is>
          <t>Locale del macchinario</t>
        </is>
      </c>
      <c r="C116" s="10" t="inlineStr">
        <is>
          <t>Il quadro di manovra fuori dall’ingombro dell’argano</t>
        </is>
      </c>
      <c r="D116"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16" s="10" t="inlineStr">
        <is>
          <t>—</t>
        </is>
      </c>
      <c r="F116" s="10" t="inlineStr">
        <is>
          <t>geometria del progetto: la pianta del locale, il quadro inserito o posto dal software, gli ingombri dell’argano, del basamento, del rinvio e del limitatore come li disegna la pianta del locale</t>
        </is>
      </c>
      <c r="G116" s="10" t="inlineStr">
        <is>
          <t>derivazione</t>
        </is>
      </c>
      <c r="H116" s="10" t="inlineStr">
        <is>
          <t>quadro di manovra fuori dall’ingombro di argano, limitatore e interruttore generale</t>
        </is>
      </c>
      <c r="I116" s="11" t="n"/>
      <c r="J116" s="11" t="n"/>
      <c r="K116" s="11" t="n"/>
      <c r="L116" s="11" t="n"/>
      <c r="M116" s="11" t="n"/>
      <c r="N116" s="11" t="n"/>
    </row>
    <row r="117" ht="238" customHeight="1">
      <c r="A117" s="10" t="n">
        <v>115</v>
      </c>
      <c r="B117" s="10" t="inlineStr">
        <is>
          <t>Locale del macchinario</t>
        </is>
      </c>
      <c r="C117" s="10" t="inlineStr">
        <is>
          <t>Dove il software mette il quadro di manovra</t>
        </is>
      </c>
      <c r="D117"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17"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17" s="10" t="inlineStr">
        <is>
          <t>UNI EN 81-20:2020, testo della norma, letto il 2026-10-06, pp. 43, 117, 129; la vicinanza alla porta, la distanza laterale e il passo sono scelte del software</t>
        </is>
      </c>
      <c r="G117" s="10" t="inlineStr">
        <is>
          <t>scelta del software</t>
        </is>
      </c>
      <c r="H117" s="10" t="inlineStr">
        <is>
          <t>—</t>
        </is>
      </c>
      <c r="I117" s="11" t="n"/>
      <c r="J117" s="11" t="n"/>
      <c r="K117" s="11" t="n"/>
      <c r="L117" s="11" t="n"/>
      <c r="M117" s="11" t="n"/>
      <c r="N117" s="11" t="n"/>
    </row>
    <row r="118" ht="134" customHeight="1">
      <c r="A118" s="10" t="n">
        <v>116</v>
      </c>
      <c r="B118" s="10" t="inlineStr">
        <is>
          <t>Locale del macchinario</t>
        </is>
      </c>
      <c r="C118" s="10" t="inlineStr">
        <is>
          <t>La superficie libera accanto all’argano presso il volantino — la leva di sblocco del freno sta accanto al freno, fra riduttore e motore: il tecnico conferma che si manovra dalla stessa superficie</t>
        </is>
      </c>
      <c r="D118" s="10" t="inlineStr">
        <is>
          <t>la superficie libera di 500 × 600 mm per la manutenzione serve anche la manovra manuale di emergenza: il software la prende sul lato dell’argano dove arriva entro 300 mm dal volantino (all’estremità del motore, o dove lo mette la scheda del costruttore) se lì è profonda quanto serve, altrimenti sul lato più libero; quando nessuna superficie libera arriva entro 300 mm dal volantino la verifica avverte (margine = 300 mm meno la distanza)</t>
        </is>
      </c>
      <c r="E118" s="10" t="inlineStr">
        <is>
          <t>UNI EN 81-20:2020, 5.2.6.3.2.1 b) (superficie libera dove servono manutenzione e manovra manuale di emergenza, 5.9.2.3.1); la distanza dal volantino è una scelta del software</t>
        </is>
      </c>
      <c r="F118" s="10" t="inlineStr">
        <is>
          <t>UNI EN 81-20:2020, testo della norma, letto il 2026-10-06, p. 43; il volantino e la leva di sblocco del freno dalle schede dei costruttori o dall’argano generico del software</t>
        </is>
      </c>
      <c r="G118" s="10" t="inlineStr">
        <is>
          <t>scelta del software</t>
        </is>
      </c>
      <c r="H118" s="10" t="inlineStr">
        <is>
          <t>superficie libera accanto all’argano presso il volantino</t>
        </is>
      </c>
      <c r="I118" s="11" t="n"/>
      <c r="J118" s="11" t="n"/>
      <c r="K118" s="11" t="n"/>
      <c r="L118" s="11" t="n"/>
      <c r="M118" s="11" t="n"/>
      <c r="N118" s="11" t="n"/>
    </row>
    <row r="119" ht="147" customHeight="1">
      <c r="A119" s="10" t="n">
        <v>117</v>
      </c>
      <c r="B119" s="10" t="inlineStr">
        <is>
          <t>Locale del macchinario</t>
        </is>
      </c>
      <c r="C119" s="10" t="inlineStr">
        <is>
          <t>Altezza del locale esistente sotto 2,0 m (modifica con la UNI 10411-1) — fino a ROOM 1.12.0 e LIFT 1.28.0 le misure della UNI EN 81-21 erano solo nella nota del foglio, stampata sempre; ora la nota le dice quando il locale è più basso di 2000 mm</t>
        </is>
      </c>
      <c r="D119" s="10" t="inlineStr">
        <is>
          <t>nella modifica collaudata con la UNI 10411-1 il software verifica l’altezza libera del locale esistente: almeno 2000 mm passa; fra 1800 mm più lo spessore del materiale ammortizzante (50 mm, se non indicato) e 2000 mm avverte — zone segnalate a strisce gialle e nere o con un cartello, materiale ammortizzante sotto il soffitto e almeno 1800 mm liberi sotto di esso; sotto non passa. Con la UNI 10411-11 l’altezza esistente resta e la verifica non entra nell’esito; per un impianto nuovo vale la verifica dell’altezza di 2100 mm</t>
        </is>
      </c>
      <c r="E119" s="10" t="inlineStr">
        <is>
          <t>UNI 10411-1:2024, 9.2; UNI EN 81-21:2022, 5.9; UNI 10411-11:2024, 9.2</t>
        </is>
      </c>
      <c r="F119" s="10" t="inlineStr">
        <is>
          <t>UNI 10411-1:2024, testo della norma, letto il 2026-10-06, p. 9; UNI EN 81-21:2022, testo della norma, letto il 2026-10-06, p. 23; lo spessore di 50 mm del materiale ammortizzante è una scelta del software, da sostituire con quello del prodotto posato</t>
        </is>
      </c>
      <c r="G119" s="10" t="inlineStr">
        <is>
          <t>scelta del software</t>
        </is>
      </c>
      <c r="H119" s="10" t="inlineStr">
        <is>
          <t>modifica (UNI 10411-1): altezza del locale esistente sotto 2,0 m</t>
        </is>
      </c>
      <c r="I119" s="11" t="n"/>
      <c r="J119" s="11" t="n"/>
      <c r="K119" s="11" t="n"/>
      <c r="L119" s="11" t="n"/>
      <c r="M119" s="11" t="n"/>
      <c r="N119" s="11" t="n"/>
    </row>
    <row r="120" ht="290" customHeight="1">
      <c r="A120" s="10" t="n">
        <v>118</v>
      </c>
      <c r="B120" s="10" t="inlineStr">
        <is>
          <t>Locale del macchinario</t>
        </is>
      </c>
      <c r="C120" s="10" t="inlineStr">
        <is>
          <t>Fori nella soletta: misura, posizione e bordi</t>
        </is>
      </c>
      <c r="D120" s="10" t="inlineStr">
        <is>
          <t>ogni foro della soletta sopra il vano (funi di trazione, puleggia di rinvio che vi scende, attacchi delle funi in taglia 2:1) ha i lati a 30 mm dalle funi nelle due posizioni estreme della cabina e dalla puleggia; fori più vicini di 80 mm diventano uno; ogni foro ha un bordo in lamiera d’acciaio alto 50 mm sul pavimento finito e spesso 25 mm tutto attorno (lo stesso nel 3D), e le putrelle HEB sui muri del vano, che stanno 30 mm sopra la soletta, ne restano fuori in pianta (m_hebkerb, locale.putrelle.vano); la pianta del locale dà di ogni foro la misura («FORO L × P»: L lungo x, P lungo y del locale; con la linea delle calate obliqua lungo e di traverso le calate) e la posizione del centro dai muri interni del vano (x dal muro di sinistra, y dal muro dell’accesso A, come nel rilievo); la sezione B-B disegna e quota i bordi; nella sostituzione le aperture esistenti rilevate sono disegnate tratteggiate e gli appoggi del nuovo basamento ne stanno ad almeno 100 mm dal bordo (m_holes, avviso: un’apertura si può chiudere)</t>
        </is>
      </c>
      <c r="E120" s="10" t="inlineStr">
        <is>
          <t>UNI EN 81-20:2020, 5.2.6.3.3 (aperture ridotte al minimo, bordi di almeno 50 mm); il gioco e lo spessore del bordo sono scelte del software</t>
        </is>
      </c>
      <c r="F120" s="10" t="inlineStr">
        <is>
          <t>UNI EN 81-20:2020, testo della norma, letto il 2026-10-06, p. 43; gioco di 30 mm e bordo in lamiera di 25 mm come il 3D che taglia la soletta; un bordo in calcestruzzo, più spesso, si adatta in sito</t>
        </is>
      </c>
      <c r="G120" s="10" t="inlineStr">
        <is>
          <t>scelta del software</t>
        </is>
      </c>
      <c r="H120" s="10" t="inlineStr">
        <is>
          <t>sostituzione: appoggi del nuovo basamento lontani dalle aperture esistenti della soletta</t>
        </is>
      </c>
      <c r="I120" s="11" t="n"/>
      <c r="J120" s="11" t="n"/>
      <c r="K120" s="11" t="n"/>
      <c r="L120" s="11" t="n"/>
      <c r="M120" s="11" t="n"/>
      <c r="N120" s="11" t="n"/>
    </row>
    <row r="121" ht="147" customHeight="1">
      <c r="A121" s="10" t="n">
        <v>119</v>
      </c>
      <c r="B121" s="10" t="inlineStr">
        <is>
          <t>Locale del macchinario</t>
        </is>
      </c>
      <c r="C121" s="10" t="inlineStr">
        <is>
          <t>Gancio di sollevamento sopra l’argano — la portata va marcata sul gancio; il gancio e il suo ancoraggio nel solaio li verifica il tecnico strutturale (con un gancio esistente la portata targata va confrontata con quella del disegno); il tecnico può prescriverne un’altra</t>
        </is>
      </c>
      <c r="D121" s="10" t="inlineStr">
        <is>
          <t>un gancio di sollevamento fissato al soffitto sopra il baricentro dell’argano (al centro del suo ingombro in pianta), quotato in pianta da due muri del locale; la portata è il pezzo più pesante da sollevare — l’argano con il suo telaio, il telaio con il rinvio del costruttore, nella sostituzione anche l’argano esistente — arrotondato per eccesso al multiplo di 500 kg, almeno 1000 kg; l’occhio del gancio 150 mm sotto il soffitto: la sezione B-B quota l’altezza libera sotto di esso</t>
        </is>
      </c>
      <c r="E121" s="10" t="inlineStr">
        <is>
          <t>UNI EN 81-20:2020, 5.2.1.7 (ganci o punti di ancoraggio con la portata indicata, ben posizionati); posizione, arrotondamento e minimo sono scelte del software</t>
        </is>
      </c>
      <c r="F121" s="10" t="inlineStr">
        <is>
          <t>UNI EN 81-20:2020, testo della norma, letto il 2026-10-06, p. 26; portate commerciali dei ganci e dei golfari da soffitto</t>
        </is>
      </c>
      <c r="G121" s="10" t="inlineStr">
        <is>
          <t>scelta del software</t>
        </is>
      </c>
      <c r="H121" s="10" t="inlineStr">
        <is>
          <t>—</t>
        </is>
      </c>
      <c r="I121" s="11" t="n"/>
      <c r="J121" s="11" t="n"/>
      <c r="K121" s="11" t="n"/>
      <c r="L121" s="11" t="n"/>
      <c r="M121" s="11" t="n"/>
      <c r="N121" s="11" t="n"/>
    </row>
    <row r="122" ht="121" customHeight="1">
      <c r="A122" s="10" t="n">
        <v>120</v>
      </c>
      <c r="B122" s="10" t="inlineStr">
        <is>
          <t>Locale del macchinario</t>
        </is>
      </c>
      <c r="C122" s="10" t="inlineStr">
        <is>
          <t>Attacchi delle funi in taglia 2:1 — attacchi su una trave o sul telaio dell’argano sono un’alternativa: il tecnico lo indica, e allora P2 e P3 vanno nel carico del basamento</t>
        </is>
      </c>
      <c r="D122" s="10" t="inlineStr">
        <is>
          <t>in taglia 2:1 le funi finiscono negli attacchi sulla soletta del locale: una piastra d’acciaio sotto la soletta, quadrata di 180 mm e spessa 20 mm, con tirafondi passanti e una contropiastra sul pavimento del locale; i carichi P2 (lato cabina) e P3 (lato contrappeso) agiscono lì, separati da P1 (il basamento dell’argano); la pianta del locale li segna e quota il loro centro dai muri interni del vano</t>
        </is>
      </c>
      <c r="E122" s="10" t="inlineStr">
        <is>
          <t>UNI EN 81-20:2020, 5.2.1.8.1 (carichi sull’edificio) e 5.5.2.3.1 (attacchi delle funi ai punti fissi dei tratti morti); dimensioni scelta del software</t>
        </is>
      </c>
      <c r="F122" s="10" t="inlineStr">
        <is>
          <t>scelta del software (attacchi delle funi sulla soletta come nella pratica italiana), da verificare dal tecnico strutturale</t>
        </is>
      </c>
      <c r="G122" s="10" t="inlineStr">
        <is>
          <t>scelta del software</t>
        </is>
      </c>
      <c r="H122" s="10" t="inlineStr">
        <is>
          <t>—</t>
        </is>
      </c>
      <c r="I122" s="11" t="n"/>
      <c r="J122" s="11" t="n"/>
      <c r="K122" s="11" t="n"/>
      <c r="L122" s="11" t="n"/>
      <c r="M122" s="11" t="n"/>
      <c r="N122" s="11" t="n"/>
    </row>
    <row r="123" ht="134" customHeight="1">
      <c r="A123" s="10" t="n">
        <v>121</v>
      </c>
      <c r="B123" s="10" t="inlineStr">
        <is>
          <t>Locale del macchinario</t>
        </is>
      </c>
      <c r="C123" s="10" t="inlineStr">
        <is>
          <t>Luce, interruttori, prese, aerazione e canaline nel locale</t>
        </is>
      </c>
      <c r="D123" s="10" t="inlineStr">
        <is>
          <t>la pianta del locale disegna con la loro legenda: i punti luce sopra le zone di lavoro (almeno 200 lx al pavimento, illuminazione), l’interruttore della luce presso l’accesso, entro 1000 mm dalla porta, accanto all’interruttore generale; una presa 2P+PE per ogni area di lavoro (accanto all’argano e accanto al quadro); la griglia di aerazione; le canaline dal quadro all’argano e al vano, coperte dove si cammina</t>
        </is>
      </c>
      <c r="E123" s="10" t="inlineStr">
        <is>
          <t>UNI EN 81-20:2020, 5.2.1.4.2 (luce), 5.2.1.5.2 a)–b) (interruttore a ogni accesso, una presa per area di lavoro), 5.10.7.2 (prese 2P+PE), 5.10.8.2 (interruttore entro 1 m dall’accesso), 5.2.1.3 (ventilazione) e 5.2.6.3.2.5 (canaline a pavimento coperte); le posizioni sono una proposta del software</t>
        </is>
      </c>
      <c r="F123" s="10" t="inlineStr">
        <is>
          <t>UNI EN 81-20:2020, testo della norma, letto il 2026-10-06, pp. 25–26, 43, 119</t>
        </is>
      </c>
      <c r="G123" s="10" t="inlineStr">
        <is>
          <t>scelta del software</t>
        </is>
      </c>
      <c r="H123" s="10" t="inlineStr">
        <is>
          <t>—</t>
        </is>
      </c>
      <c r="I123" s="11" t="n"/>
      <c r="J123" s="11" t="n"/>
      <c r="K123" s="11" t="n"/>
      <c r="L123" s="11" t="n"/>
      <c r="M123" s="11" t="n"/>
      <c r="N123" s="11" t="n"/>
    </row>
    <row r="124" ht="69" customHeight="1">
      <c r="A124" s="10" t="n">
        <v>122</v>
      </c>
      <c r="B124" s="10" t="inlineStr">
        <is>
          <t>Locale del macchinario</t>
        </is>
      </c>
      <c r="C124" s="10" t="inlineStr">
        <is>
          <t>Illuminazione del vano e del locale del macchinario</t>
        </is>
      </c>
      <c r="D124" s="10" t="inlineStr">
        <is>
          <t>vano: luce fissa, almeno 50 lux a un metro dal tetto di cabina e dal fondo della fossa, 20 lux nel resto; locale del macchinario: almeno 200 lux al pavimento dove si lavora e 50 lux sui percorsi; 50 lux anche sull’accesso al macchinario</t>
        </is>
      </c>
      <c r="E124" s="10" t="inlineStr">
        <is>
          <t>UNI EN 81-20:2020, 5.2.1.4.1 a)–c), 5.2.1.4.2 e 5.2.2.2</t>
        </is>
      </c>
      <c r="F124" s="10" t="inlineStr">
        <is>
          <t>UNI EN 81-20:2020, testo della norma, letto il 2026-10-06, p. 25</t>
        </is>
      </c>
      <c r="G124" s="10" t="inlineStr">
        <is>
          <t>confermato</t>
        </is>
      </c>
      <c r="H124" s="10" t="inlineStr">
        <is>
          <t>—</t>
        </is>
      </c>
      <c r="I124" s="11" t="n"/>
      <c r="J124" s="11" t="n"/>
      <c r="K124" s="11" t="n"/>
      <c r="L124" s="11" t="n"/>
      <c r="M124" s="11" t="n"/>
      <c r="N124" s="11" t="n"/>
    </row>
    <row r="125" ht="43" customHeight="1">
      <c r="A125" s="10" t="n">
        <v>123</v>
      </c>
      <c r="B125" s="10" t="inlineStr">
        <is>
          <t>Locale del macchinario</t>
        </is>
      </c>
      <c r="C125" s="10" t="inlineStr">
        <is>
          <t>Temperatura dei locali del macchinario e degli armadi</t>
        </is>
      </c>
      <c r="D125" s="10" t="inlineStr">
        <is>
          <t>temperatura ambiente mantenuta tra +5 °C e +40 °C: ipotesi della norma, da garantire nell’edificio</t>
        </is>
      </c>
      <c r="E125" s="10" t="inlineStr">
        <is>
          <t>UNI EN 81-20:2020, 0.4.16 (ipotesi della norma, vale anche per il vano)</t>
        </is>
      </c>
      <c r="F125" s="10" t="inlineStr">
        <is>
          <t>UNI EN 81-20:2020, testo della norma, letto il 2026-10-06, p. 14</t>
        </is>
      </c>
      <c r="G125" s="10" t="inlineStr">
        <is>
          <t>confermato</t>
        </is>
      </c>
      <c r="H125" s="10" t="inlineStr">
        <is>
          <t>—</t>
        </is>
      </c>
      <c r="I125" s="11" t="n"/>
      <c r="J125" s="11" t="n"/>
      <c r="K125" s="11" t="n"/>
      <c r="L125" s="11" t="n"/>
      <c r="M125" s="11" t="n"/>
      <c r="N125" s="11" t="n"/>
    </row>
    <row r="126" ht="407" customHeight="1">
      <c r="A126" s="10" t="n">
        <v>124</v>
      </c>
      <c r="B126" s="10" t="inlineStr">
        <is>
          <t>Locale del macchinario</t>
        </is>
      </c>
      <c r="C126"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26"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26" s="10" t="inlineStr">
        <is>
          <t>UNI EN 81-20:2020, 5.2.1.8 (carichi sull’edificio); scelta del costruttore</t>
        </is>
      </c>
      <c r="F126"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26" s="10" t="inlineStr">
        <is>
          <t>scelta del software</t>
        </is>
      </c>
      <c r="H126" s="10" t="inlineStr">
        <is>
          <t>telaio o plinto sotto tutti gli appoggi dell’argano</t>
        </is>
      </c>
      <c r="I126" s="11" t="n"/>
      <c r="J126" s="11" t="n"/>
      <c r="K126" s="11" t="n"/>
      <c r="L126" s="11" t="n"/>
      <c r="M126" s="11" t="n"/>
      <c r="N126" s="11" t="n"/>
    </row>
    <row r="127" ht="420" customHeight="1">
      <c r="A127" s="10" t="n">
        <v>125</v>
      </c>
      <c r="B127" s="10" t="inlineStr">
        <is>
          <t>Locale del macchinario</t>
        </is>
      </c>
      <c r="C127"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27"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27" s="10" t="inlineStr">
        <is>
          <t>regola del committente (Panev): il telaio ha tre ferri sopra e la puleggia fra i ferri, altrimenti si ribalterebbe</t>
        </is>
      </c>
      <c r="F127"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27" s="10" t="inlineStr">
        <is>
          <t>scelta del software</t>
        </is>
      </c>
      <c r="H127" s="10" t="inlineStr">
        <is>
          <t>—</t>
        </is>
      </c>
      <c r="I127" s="11" t="n"/>
      <c r="J127" s="11" t="n"/>
      <c r="K127" s="11" t="n"/>
      <c r="L127" s="11" t="n"/>
      <c r="M127" s="11" t="n"/>
      <c r="N127" s="11" t="n"/>
    </row>
    <row r="128" ht="576" customHeight="1">
      <c r="A128" s="10" t="n">
        <v>126</v>
      </c>
      <c r="B128" s="10" t="inlineStr">
        <is>
          <t>Locale del macchinario</t>
        </is>
      </c>
      <c r="C128" s="10" t="inlineStr">
        <is>
          <t>Puleggia di rinvio nel locale del macchinario — fino a LIFT 1.27.0 e ROOM 1.11.0 il telaio del costruttore era disegnato e verificato lungo quanto il nostro (l’argano e il rinvio più 100 mm a ogni estremità), non quanto a catalogo</t>
        </is>
      </c>
      <c r="D128"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28" s="10" t="inlineStr">
        <is>
          <t>regola del committente (Panev): il rinvio sta nel telaio del locale macchina, mai nel vano; UNI EN 81-20:2020, 5.2.1.8 (carichi sull’edificio)</t>
        </is>
      </c>
      <c r="F128"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28" s="10" t="inlineStr">
        <is>
          <t>scelta del software</t>
        </is>
      </c>
      <c r="H128" s="10" t="inlineStr">
        <is>
          <t>calata del contrappeso nel telaio con rinvio del costruttore; argano e rinvio dentro la lunghezza del telaio con rinvio del costruttore</t>
        </is>
      </c>
      <c r="I128" s="11" t="n"/>
      <c r="J128" s="11" t="n"/>
      <c r="K128" s="11" t="n"/>
      <c r="L128" s="11" t="n"/>
      <c r="M128" s="11" t="n"/>
      <c r="N128" s="11" t="n"/>
    </row>
    <row r="129" ht="485" customHeight="1">
      <c r="A129" s="10" t="n">
        <v>127</v>
      </c>
      <c r="B129" s="10" t="inlineStr">
        <is>
          <t>Locale del macchinario</t>
        </is>
      </c>
      <c r="C129"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29"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29" s="10" t="inlineStr">
        <is>
          <t>—</t>
        </is>
      </c>
      <c r="F129" s="10" t="inlineStr">
        <is>
          <t>geometria del progetto: la pianta e l’altezza del locale inserite, gli ingombri dell’argano e del basamento; il verso dell’argano: scelta del software</t>
        </is>
      </c>
      <c r="G129" s="10" t="inlineStr">
        <is>
          <t>derivazione</t>
        </is>
      </c>
      <c r="H129" s="10" t="inlineStr">
        <is>
          <t>argano dentro il locale (muri e soffitto); puleggia di rinvio sul suo supporto sotto l’argano; rami alla macchina in basso liberi da parete, contrappeso, staffe e muri</t>
        </is>
      </c>
      <c r="I129" s="11" t="n"/>
      <c r="J129" s="11" t="n"/>
      <c r="K129" s="11" t="n"/>
      <c r="L129" s="11" t="n"/>
      <c r="M129" s="11" t="n"/>
      <c r="N129" s="11" t="n"/>
    </row>
    <row r="130" ht="316" customHeight="1">
      <c r="A130" s="10" t="n">
        <v>128</v>
      </c>
      <c r="B130" s="10" t="inlineStr">
        <is>
          <t>Locale del macchinario</t>
        </is>
      </c>
      <c r="C130"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30"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30"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30"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30" s="10" t="inlineStr">
        <is>
          <t>da verificare</t>
        </is>
      </c>
      <c r="H130" s="10" t="inlineStr">
        <is>
          <t>tensione nelle putrelle sotto l’argano; freccia delle putrelle sotto l’argano; appoggio delle putrelle sotto l’argano nei muri, fuori dalla porta</t>
        </is>
      </c>
      <c r="I130" s="11" t="n"/>
      <c r="J130" s="11" t="n"/>
      <c r="K130" s="11" t="n"/>
      <c r="L130" s="11" t="n"/>
      <c r="M130" s="11" t="n"/>
      <c r="N130" s="11" t="n"/>
    </row>
    <row r="131" ht="147" customHeight="1">
      <c r="A131" s="10" t="n">
        <v>129</v>
      </c>
      <c r="B131" s="10" t="inlineStr">
        <is>
          <t>Locale del macchinario</t>
        </is>
      </c>
      <c r="C131" s="10" t="inlineStr">
        <is>
          <t>Sostituzione dell’argano: calate esistenti e calate della nuova macchina — con il tiro diretto la nuova puleggia può essere più piccola delle calate esistenti: ogni ramo scende inclinato di (calate − D)/2 fino agli attacchi (la relazione tecnica lo scrive con l’angolo); i fori nella soletta seguono le funi al loro livello</t>
        </is>
      </c>
      <c r="D131"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31" s="10" t="inlineStr">
        <is>
          <t>—</t>
        </is>
      </c>
      <c r="F131" s="10" t="inlineStr">
        <is>
          <t>tolleranza scelta dal software per il rilievo in sito (le funi a qualche metro dal basamento): da confermare con l’installatore</t>
        </is>
      </c>
      <c r="G131" s="10" t="inlineStr">
        <is>
          <t>scelta del software</t>
        </is>
      </c>
      <c r="H131" s="10" t="inlineStr">
        <is>
          <t>sostituzione: calate della nuova macchina sulle calate esistenti</t>
        </is>
      </c>
      <c r="I131" s="11" t="n"/>
      <c r="J131" s="11" t="n"/>
      <c r="K131" s="11" t="n"/>
      <c r="L131" s="11" t="n"/>
      <c r="M131" s="11" t="n"/>
      <c r="N131" s="11" t="n"/>
    </row>
    <row r="132" ht="693" customHeight="1">
      <c r="A132" s="10" t="n">
        <v>130</v>
      </c>
      <c r="B132" s="10" t="inlineStr">
        <is>
          <t>Locale del macchinario</t>
        </is>
      </c>
      <c r="C132" s="10" t="inlineStr">
        <is>
          <t>Putrelle HEB sui muri del vano sotto l’argano — verifica semplice di trave appoggiata con il carico nella risultante; i disegni mostrano le piastre sopra i muri, il distacco dalla soletta e l’appoggio quotato, e le gambe del basamento fissate alle ali con piastre e bulloni (o morsetti) — dettaglio da confermare; in alternativa le putrelle in tasche nei muri sotto la soletta, che il tecnico disegna a parte; fino a LIFT 1.28.0 e ROOM 1.12.0 le putrelle erano disegnate appoggiate sulla soletta per tutta la lunghezza e potevano passare sopra i bordi dei fori (nessuna verifica m_hebkerb); il bordo è quello in lamiera del disegno (locale.fori): un bordo in calcestruzzo, più spesso, il tecnico lo tiene fuori dalle putrelle;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32"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ogni estremità poggia su una piastra di ripartizione sopra il muro, lunga quanto l’appoggio, larga 250 mm e spessa 15 mm, su un letto di malta antiritiro di 15 mm, così l’intradosso della putrella sta 30 mm sopra la soletta e non la tocca fra gli appoggi (il distacco supera la freccia ammessa più 10 mm: la verifica della freccia lo garantisce);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e fuori dai bordi dei loro fori (locale.fori: la putrella sta 30 mm sopra la soletta, sotto la sommità del bordo di 50 mm):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le putrelle fuori dai bordi dei fori in pianta (anche a filo),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32" s="10" t="inlineStr">
        <is>
          <t>UNI EN 81-20:2020, 5.2.1.8.1 e appendice E.1 (carichi sull’edificio); NTC 2018, §4.2.4.1.1 (γM0), Tab. 11.3.IX (S275), §11.3.4.1 (E); DPR 1497/1963, art. 5.1–5.2 (freccia ≤ 1/1500 della luce libera); proprietà dei profili EN 10365</t>
        </is>
      </c>
      <c r="F132" s="10" t="inlineStr">
        <is>
          <t>scelta del committente (putrelle HEB 120/140/160 sui muri del vano quando manca la verifica della soletta); scelta del software (appoggio di 200 mm, piastre di ripartizione e malta antiritiro secondo la pratica di cantiere, 50 mm dalle funi, le più corte e poi le più leggere); UNI EN 81-20:2020, testo della norma, letto il 2026-10-06, pp. 26, 148</t>
        </is>
      </c>
      <c r="G132" s="10" t="inlineStr">
        <is>
          <t>scelta del software</t>
        </is>
      </c>
      <c r="H132" s="10" t="inlineStr">
        <is>
          <t>tensione nelle putrelle HEB sui muri del vano; freccia delle putrelle HEB sui muri del vano; basamento dell’argano sulle putrelle HEB; funi lontane dalle putrelle HEB; putrelle HEB fuori dai bordi dei fori nella soletta; appoggio delle putrelle HEB nei muri del vano</t>
        </is>
      </c>
      <c r="I132" s="11" t="n"/>
      <c r="J132" s="11" t="n"/>
      <c r="K132" s="11" t="n"/>
      <c r="L132" s="11" t="n"/>
      <c r="M132" s="11" t="n"/>
      <c r="N132" s="11" t="n"/>
    </row>
    <row r="133" ht="147" customHeight="1">
      <c r="A133" s="10" t="n">
        <v>131</v>
      </c>
      <c r="B133" s="10" t="inlineStr">
        <is>
          <t>Carichi sull’edificio e spinte sulle guide</t>
        </is>
      </c>
      <c r="C133"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33"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33" s="10" t="inlineStr">
        <is>
          <t>UNI EN 81-20:2020, 5.2.1.8.4–5.2.1.8.6, 5.7.2.3.5 e Prospetto 14 (k1)</t>
        </is>
      </c>
      <c r="F133" s="10" t="inlineStr">
        <is>
          <t>UNI EN 81-20:2020, testo della norma, letto il 2026-10-06, pp. 27, 94–96</t>
        </is>
      </c>
      <c r="G133" s="10" t="inlineStr">
        <is>
          <t>confermato</t>
        </is>
      </c>
      <c r="H133" s="10" t="inlineStr">
        <is>
          <t>—</t>
        </is>
      </c>
      <c r="I133" s="11" t="n"/>
      <c r="J133" s="11" t="n"/>
      <c r="K133" s="11" t="n"/>
      <c r="L133" s="11" t="n"/>
      <c r="M133" s="11" t="n"/>
      <c r="N133" s="11" t="n"/>
    </row>
    <row r="134" ht="108" customHeight="1">
      <c r="A134" s="10" t="n">
        <v>132</v>
      </c>
      <c r="B134" s="10" t="inlineStr">
        <is>
          <t>Carichi sull’edificio e spinte sulle guide</t>
        </is>
      </c>
      <c r="C134" s="10" t="inlineStr">
        <is>
          <t>Spinte sulle guide di cabina — h, la distanza tra i pattini, è una stima del software (l’ingombro verticale dell’arcata)</t>
        </is>
      </c>
      <c r="D134"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34" s="10" t="inlineStr">
        <is>
          <t>UNI EN 81-50:2020, appendice C (informativa), C.2.1.1 e C.2.2.1; UNI EN 81-20:2020, 5.7.2.3.4 (portata su 3/4 della superficie: 1/8) e Prospetto 14 (k1; k2 = 1,2)</t>
        </is>
      </c>
      <c r="F134" s="10" t="inlineStr">
        <is>
          <t>UNI EN 81-50:2020, testo della norma, letto il 2026-10-06, pp. 77–79; UNI EN 81-20:2020, testo della norma, letto il 2026-10-06, pp. 94–96</t>
        </is>
      </c>
      <c r="G134" s="10" t="inlineStr">
        <is>
          <t>confermato</t>
        </is>
      </c>
      <c r="H134" s="10" t="inlineStr">
        <is>
          <t>—</t>
        </is>
      </c>
      <c r="I134" s="11" t="n"/>
      <c r="J134" s="11" t="n"/>
      <c r="K134" s="11" t="n"/>
      <c r="L134" s="11" t="n"/>
      <c r="M134" s="11" t="n"/>
      <c r="N134" s="11" t="n"/>
    </row>
    <row r="135" ht="108" customHeight="1">
      <c r="A135" s="10" t="n">
        <v>133</v>
      </c>
      <c r="B135" s="10" t="inlineStr">
        <is>
          <t>Carichi sull’edificio e spinte sulle guide</t>
        </is>
      </c>
      <c r="C135" s="10" t="inlineStr">
        <is>
          <t>Carico della macchina sulla soletta</t>
        </is>
      </c>
      <c r="D135" s="10" t="inlineStr">
        <is>
          <t>carico statico sull’asse (cabina, portata, contrappeso, funi, cavi; in taglia 2:1 la metà di cabina, portata e contrappeso) × 2 come coefficiente dinamico; sulla soletta anche la massa di macchina e telaio</t>
        </is>
      </c>
      <c r="E135" s="10" t="inlineStr">
        <is>
          <t>UNI EN 81-20:2020, 5.2.1.8.1 e appendice E.1 (informativa: l’effetto dinamico delle masse in moto con un fattore 2); il DPR 1497/1963, art. 5.1, per gli impianti costruiti secondo esso chiedeva 1,5 volte il carico statico delle funi</t>
        </is>
      </c>
      <c r="F135" s="10" t="inlineStr">
        <is>
          <t>UNI EN 81-20:2020, testo della norma, letto il 2026-10-06, pp. 26, 148</t>
        </is>
      </c>
      <c r="G135" s="10" t="inlineStr">
        <is>
          <t>confermato</t>
        </is>
      </c>
      <c r="H135" s="10" t="inlineStr">
        <is>
          <t>—</t>
        </is>
      </c>
      <c r="I135" s="11" t="n"/>
      <c r="J135" s="11" t="n"/>
      <c r="K135" s="11" t="n"/>
      <c r="L135" s="11" t="n"/>
      <c r="M135" s="11" t="n"/>
      <c r="N135" s="11" t="n"/>
    </row>
    <row r="136" ht="43" customHeight="1">
      <c r="A136" s="10" t="n">
        <v>134</v>
      </c>
      <c r="B136" s="10" t="inlineStr">
        <is>
          <t>Carichi sull’edificio e spinte sulle guide</t>
        </is>
      </c>
      <c r="C136" s="10" t="inlineStr">
        <is>
          <t>Massa dei cavi flessibili</t>
        </is>
      </c>
      <c r="D136" s="10" t="inlineStr">
        <is>
          <t>0,5 kg/m per metà della corsa più 3 m (cavo piatto 24G0,75), sul basamento dell’argano, nella relazione e nel foglio 1</t>
        </is>
      </c>
      <c r="E136" s="10" t="inlineStr">
        <is>
          <t>—</t>
        </is>
      </c>
      <c r="F136" s="10" t="inlineStr">
        <is>
          <t>schede dei costruttori di cavi piatti (0,48–0,57 kg/m)</t>
        </is>
      </c>
      <c r="G136" s="10" t="inlineStr">
        <is>
          <t>stima</t>
        </is>
      </c>
      <c r="H136" s="10" t="inlineStr">
        <is>
          <t>—</t>
        </is>
      </c>
      <c r="I136" s="11" t="n"/>
      <c r="J136" s="11" t="n"/>
      <c r="K136" s="11" t="n"/>
      <c r="L136" s="11" t="n"/>
      <c r="M136" s="11" t="n"/>
      <c r="N136" s="11" t="n"/>
    </row>
    <row r="137" ht="121" customHeight="1">
      <c r="A137" s="10" t="n">
        <v>135</v>
      </c>
      <c r="B137" s="10" t="inlineStr">
        <is>
          <t>Carichi sull’edificio e spinte sulle guide</t>
        </is>
      </c>
      <c r="C137" s="10" t="inlineStr">
        <is>
          <t>Numero e posizione delle staffe delle guide — il foglio 1 delle tavole riporta l’interasse massimo tra le staffe montate, lo stesso l della verifica delle guide di cabina (UNI EN 81-50:2020, 5.10); le quote di ogni staffa dal fondo della fossa sono nel foglio dello sviluppo delle guide</t>
        </is>
      </c>
      <c r="D137"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137" s="10" t="inlineStr">
        <is>
          <t>regola di montaggio indicata dal committente</t>
        </is>
      </c>
      <c r="F137" s="10" t="inlineStr">
        <is>
          <t>scelta del committente</t>
        </is>
      </c>
      <c r="G137" s="10" t="inlineStr">
        <is>
          <t>scelta del software</t>
        </is>
      </c>
      <c r="H137" s="10" t="inlineStr">
        <is>
          <t>—</t>
        </is>
      </c>
      <c r="I137" s="11" t="n"/>
      <c r="J137" s="11" t="n"/>
      <c r="K137" s="11" t="n"/>
      <c r="L137" s="11" t="n"/>
      <c r="M137" s="11" t="n"/>
      <c r="N137" s="11" t="n"/>
    </row>
    <row r="138" ht="82" customHeight="1">
      <c r="A138" s="10" t="n">
        <v>136</v>
      </c>
      <c r="B138" s="10" t="inlineStr">
        <is>
          <t>Carichi sull’edificio e spinte sulle guide</t>
        </is>
      </c>
      <c r="C138" s="10" t="inlineStr">
        <is>
          <t>Lunghezze stimate nel foglio dei dati</t>
        </is>
      </c>
      <c r="D138" s="10" t="inlineStr">
        <is>
          <t>guide dal pavimento della fossa fino a 50 mm sotto la soletta del vano; fune del limitatore: due volte l’altezza dalla fossa al limitatore, posto 800 mm sopra il pavimento del locale, arrotondata al metro superiore; funi di sospensione: la lunghezza di taglio (voce impianto.funi.taglio)</t>
        </is>
      </c>
      <c r="E138" s="10" t="inlineStr">
        <is>
          <t>—</t>
        </is>
      </c>
      <c r="F138" s="10" t="inlineStr">
        <is>
          <t>stima del software, da sostituire con le misure di cantiere</t>
        </is>
      </c>
      <c r="G138" s="10" t="inlineStr">
        <is>
          <t>stima</t>
        </is>
      </c>
      <c r="H138" s="10" t="inlineStr">
        <is>
          <t>—</t>
        </is>
      </c>
      <c r="I138" s="11" t="n"/>
      <c r="J138" s="11" t="n"/>
      <c r="K138" s="11" t="n"/>
      <c r="L138" s="11" t="n"/>
      <c r="M138" s="11" t="n"/>
      <c r="N138" s="11" t="n"/>
    </row>
    <row r="139" ht="186" customHeight="1">
      <c r="A139" s="10" t="n">
        <v>137</v>
      </c>
      <c r="B139" s="10" t="inlineStr">
        <is>
          <t>Carichi sull’edificio e spinte sulle guide</t>
        </is>
      </c>
      <c r="C139" s="10" t="inlineStr">
        <is>
          <t>Reazioni sugli appoggi del basamento (R1…Rn) — P1 resta il carico totale sul basamento; le reazioni non sono simultanee ai carichi P2…P8; la verifica della soletta e dei muri è del tecnico strutturale</t>
        </is>
      </c>
      <c r="D139" s="10" t="inlineStr">
        <is>
          <t>il carico dell’argano sul basamento — la massa dell’argano con il suo telaio al centro del suo ingombro e il carico statico sul suo asse per il coefficiente dinamico, sui rami delle funi — ripartito sugli appoggi come da un corpo rigido su appoggi ugualmente cedevoli (regola della leva nelle due direzioni): sulla soletta sotto gli antivibranti (spessori, piastre), le estremità dei profilati del telaio, le gambe del telaio con rinvio, i blocchi del plinto; nei muri agli appoggi delle putrelle da muro a muro o delle HEB sopra il vano (ogni trave la sua quota di traverso, appoggiata lungo, con il peso proprio); il foglio 1 le scrive in daN, la pianta segna R1…Rn</t>
        </is>
      </c>
      <c r="E139" s="10" t="inlineStr">
        <is>
          <t>UNI EN 81-20:2020, 5.2.1.8 (carichi sull’edificio); ripartizione scelta del software</t>
        </is>
      </c>
      <c r="F139" s="10" t="inlineStr">
        <is>
          <t>statica elementare (corpo rigido su appoggi elastici uguali; trave appoggiata); per il punzonamento della soletta sotto gambe e antivibranti, dati per il tecnico strutturale</t>
        </is>
      </c>
      <c r="G139" s="10" t="inlineStr">
        <is>
          <t>scelta del software</t>
        </is>
      </c>
      <c r="H139" s="10" t="inlineStr">
        <is>
          <t>—</t>
        </is>
      </c>
      <c r="I139" s="11" t="n"/>
      <c r="J139" s="11" t="n"/>
      <c r="K139" s="11" t="n"/>
      <c r="L139" s="11" t="n"/>
      <c r="M139" s="11" t="n"/>
      <c r="N139" s="11" t="n"/>
    </row>
    <row r="140" ht="329" customHeight="1">
      <c r="A140" s="10" t="n">
        <v>138</v>
      </c>
      <c r="B140" s="10" t="inlineStr">
        <is>
          <t>Carichi sull’edificio e spinte sulle guide</t>
        </is>
      </c>
      <c r="C140"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La flessione della suola è quella dei pattini a rotelle (5.10.5 ha una formula a parte per quelli a scorrimento; il tipo di pattino non è un dato del software).</t>
        </is>
      </c>
      <c r="D140"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40" s="10" t="inlineStr">
        <is>
          <t>UNI EN 81-50:2020, 5.10.2–5.10.6; UNI EN 81-20:2020, 5.7.2.3.5, 5.7.2.3.6, 5.7.4.5 (Prospetto 15), 5.7.4.6 e Prospetto 14; UNI EN 81-1:2008, G.2.5 (l’uso non indicato)</t>
        </is>
      </c>
      <c r="F140" s="10" t="inlineStr">
        <is>
          <t>UNI EN 81-50:2020, testo della norma, letto il 2026-10-06, pp. 35–39; UNI EN 81-20:2020, testo della norma, letto il 2026-10-06, pp. 94–97; Rm 370 è scelta del software (il valore più basso)</t>
        </is>
      </c>
      <c r="G140" s="10" t="inlineStr">
        <is>
          <t>confermato</t>
        </is>
      </c>
      <c r="H140" s="10" t="inlineStr">
        <is>
          <t>tensioni nelle guide di cabina; flessione della suola delle guide di cabina; frecce delle guide di cabina</t>
        </is>
      </c>
      <c r="I140" s="11" t="n"/>
      <c r="J140" s="11" t="n"/>
      <c r="K140" s="11" t="n"/>
      <c r="L140" s="11" t="n"/>
      <c r="M140" s="11" t="n"/>
      <c r="N140" s="11" t="n"/>
    </row>
    <row r="141" ht="147" customHeight="1">
      <c r="A141" s="10" t="n">
        <v>139</v>
      </c>
      <c r="B141" s="10" t="inlineStr">
        <is>
          <t>Carichi sull’edificio e spinte sulle guide</t>
        </is>
      </c>
      <c r="C141" s="10" t="inlineStr">
        <is>
          <t>Sezioni delle guide di cabina</t>
        </is>
      </c>
      <c r="D141" s="10" t="inlineStr">
        <is>
          <t>area, momenti d’inerzia e moduli di resistenza minimi attorno all’asse parallelo alla suola (x) e all’asse di simmetria (y), spessore c del collo tra lama e suola, per ogni profilo del software; raggi d’inerzia calcolati come √(I/A)</t>
        </is>
      </c>
      <c r="E141" s="10" t="inlineStr">
        <is>
          <t>ISO 7465:2007 (ora ISO 8100-33:2022); EN 10055:1995 per il T 70×70×8 laminato</t>
        </is>
      </c>
      <c r="F141"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41" s="10" t="inlineStr">
        <is>
          <t>da verificare</t>
        </is>
      </c>
      <c r="H141" s="10" t="inlineStr">
        <is>
          <t>—</t>
        </is>
      </c>
      <c r="I141" s="11" t="n"/>
      <c r="J141" s="11" t="n"/>
      <c r="K141" s="11" t="n"/>
      <c r="L141" s="11" t="n"/>
      <c r="M141" s="11" t="n"/>
      <c r="N141" s="11" t="n"/>
    </row>
    <row r="142" ht="69" customHeight="1">
      <c r="A142" s="10" t="n">
        <v>140</v>
      </c>
      <c r="B142" s="10" t="inlineStr">
        <is>
          <t>Carichi sull’edificio e spinte sulle guide</t>
        </is>
      </c>
      <c r="C142" s="10" t="inlineStr">
        <is>
          <t>Tipo di paracadute per la velocità nominale</t>
        </is>
      </c>
      <c r="D142" s="10" t="inlineStr">
        <is>
          <t>istantaneo (anche a rulli imprigionati) fino a 0,63 m/s; oltre, progressivo (la UNI EN 81-20 non ha più l’istantaneo con effetto ammortizzato fino a 1 m/s); il tipo viene dai dati dell’impianto (se manca: progressivo, con la nota sul foglio)</t>
        </is>
      </c>
      <c r="E142" s="10" t="inlineStr">
        <is>
          <t>UNI EN 81-20:2020, 5.6.2.1.2.1; la regola precedente in UNI EN 81-1 (1999, 2008), 9.8.2.1</t>
        </is>
      </c>
      <c r="F142" s="10" t="inlineStr">
        <is>
          <t>UNI EN 81-20:2020, testo della norma, letto il 2026-10-06, p. 81; UNI EN 81-1:2008, testo della norma, letto il 2026-10-06, p. 58</t>
        </is>
      </c>
      <c r="G142" s="10" t="inlineStr">
        <is>
          <t>confermato</t>
        </is>
      </c>
      <c r="H142" s="10" t="inlineStr">
        <is>
          <t>tipo di paracadute per la velocità</t>
        </is>
      </c>
      <c r="I142" s="11" t="n"/>
      <c r="J142" s="11" t="n"/>
      <c r="K142" s="11" t="n"/>
      <c r="L142" s="11" t="n"/>
      <c r="M142" s="11" t="n"/>
      <c r="N142" s="11" t="n"/>
    </row>
    <row r="143" ht="186" customHeight="1">
      <c r="A143" s="10" t="n">
        <v>141</v>
      </c>
      <c r="B143" s="10" t="inlineStr">
        <is>
          <t>Carichi sull’edificio e spinte sulle guide</t>
        </is>
      </c>
      <c r="C143" s="10" t="inlineStr">
        <is>
          <t>Spazio accessibile sotto il vano: paracadute del contrappeso e fondo della fossa — le guide del contrappeso con la presa del paracadute (UNI EN 81-50:2020, 5.10) non sono verificate dal software (modello.non.calcolate); in una modifica la UNI 10411-1:2024 (6.14) accetta al posto del paracadute un pilastro esistente fino al terreno, verificato per i nuovi carichi: è una scelta del progettista</t>
        </is>
      </c>
      <c r="D143" s="10" t="inlineStr">
        <is>
          <t>con uno spazio accessibile sotto il vano (macchina sotto la fossa) il contrappeso ha il paracadute e il fondo della fossa è progettato per almeno 5000 N/m² oltre alle reazioni degli ammortizzatori (P6, P8) e delle guide (P5, P7, con la presa del paracadute); il paracadute del contrappeso è progressivo oltre 1 m/s, fino a 1 m/s anche istantaneo, ed è azionato dal limitatore o, fino a 1 m/s, dalla rottura della sospensione o da una fune di sicurezza. Il tipo e l’azionamento si indicano nei dati dell’impianto: finché mancano la verifica non passa; il carico P7 conta la presa (progressivo se non indicato) su metà del contrappeso per guida</t>
        </is>
      </c>
      <c r="E143" s="10" t="inlineStr">
        <is>
          <t>UNI EN 81-20:2020, 5.2.5.4, 5.2.1.8.4, 5.6.2.1.2.3, prospetto 11 (5.6.1.2), 5.6.2.2.2 e 5.6.2.2.3; UNI EN 81-50:2020, 5.10</t>
        </is>
      </c>
      <c r="F143" s="10" t="inlineStr">
        <is>
          <t>UNI EN 81-20:2020, testo della norma, letto il 2026-10-06, pp. 27, 35, 79, 81</t>
        </is>
      </c>
      <c r="G143" s="10" t="inlineStr">
        <is>
          <t>confermato</t>
        </is>
      </c>
      <c r="H143" s="10" t="inlineStr">
        <is>
          <t>paracadute del contrappeso con spazi accessibili sotto il vano</t>
        </is>
      </c>
      <c r="I143" s="11" t="n"/>
      <c r="J143" s="11" t="n"/>
      <c r="K143" s="11" t="n"/>
      <c r="L143" s="11" t="n"/>
      <c r="M143" s="11" t="n"/>
      <c r="N143" s="11" t="n"/>
    </row>
    <row r="144" ht="43" customHeight="1">
      <c r="A144" s="10" t="n">
        <v>142</v>
      </c>
      <c r="B144" s="10" t="inlineStr">
        <is>
          <t>Vano: limiti del progetto</t>
        </is>
      </c>
      <c r="C144" s="10" t="inlineStr">
        <is>
          <t>Dimensioni proposte della cabina</t>
        </is>
      </c>
      <c r="D144" s="10" t="inlineStr">
        <is>
          <t>la cabina più grande che entra nel vano, a passi di 10 mm, con superficie entro il limite della portata; a parità di superficie, la più profonda</t>
        </is>
      </c>
      <c r="E144" s="10" t="inlineStr">
        <is>
          <t>—</t>
        </is>
      </c>
      <c r="F144" s="10" t="inlineStr">
        <is>
          <t>scelta del software</t>
        </is>
      </c>
      <c r="G144" s="10" t="inlineStr">
        <is>
          <t>scelta del software</t>
        </is>
      </c>
      <c r="H144" s="10" t="inlineStr">
        <is>
          <t>—</t>
        </is>
      </c>
      <c r="I144" s="11" t="n"/>
      <c r="J144" s="11" t="n"/>
      <c r="K144" s="11" t="n"/>
      <c r="L144" s="11" t="n"/>
      <c r="M144" s="11" t="n"/>
      <c r="N144" s="11" t="n"/>
    </row>
    <row r="145" ht="225" customHeight="1">
      <c r="A145" s="10" t="n">
        <v>143</v>
      </c>
      <c r="B145" s="10" t="inlineStr">
        <is>
          <t>Vano: limiti del progetto</t>
        </is>
      </c>
      <c r="C145" s="10" t="inlineStr">
        <is>
          <t>Quote della pianta fissate a mano</t>
        </is>
      </c>
      <c r="D145"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45" s="10" t="inlineStr">
        <is>
          <t>—</t>
        </is>
      </c>
      <c r="F145" s="10" t="inlineStr">
        <is>
          <t>scelta del software</t>
        </is>
      </c>
      <c r="G145" s="10" t="inlineStr">
        <is>
          <t>scelta del software</t>
        </is>
      </c>
      <c r="H145" s="10" t="inlineStr">
        <is>
          <t>quote fissate a mano: ingombri al loro posto; quote fissate a mano: porte dentro la cabina; ammortizzatori fissati a mano: sotto cabina e contrappeso, fuori dal rifugio</t>
        </is>
      </c>
      <c r="I145" s="11" t="n"/>
      <c r="J145" s="11" t="n"/>
      <c r="K145" s="11" t="n"/>
      <c r="L145" s="11" t="n"/>
      <c r="M145" s="11" t="n"/>
      <c r="N145" s="11" t="n"/>
    </row>
    <row r="146" ht="82" customHeight="1">
      <c r="A146" s="10" t="n">
        <v>144</v>
      </c>
      <c r="B146" s="10" t="inlineStr">
        <is>
          <t>Vano: limiti del progetto</t>
        </is>
      </c>
      <c r="C146" s="10" t="inlineStr">
        <is>
          <t>Limiti del modello del vano</t>
        </is>
      </c>
      <c r="D146" s="10" t="inlineStr">
        <is>
          <t>pianta, sezione A-A e locale macchina da un modello semplificato: arcata, operatori delle porte, ammortizzatori e macchina hanno posizioni e ingombri tipici, da sostituire con i dati dei fornitori; il rilievo dal disegno CAD va controllato in cantiere</t>
        </is>
      </c>
      <c r="E146" s="10" t="inlineStr">
        <is>
          <t>—</t>
        </is>
      </c>
      <c r="F146" s="10" t="inlineStr">
        <is>
          <t>limite del modello attuale</t>
        </is>
      </c>
      <c r="G146" s="10" t="inlineStr">
        <is>
          <t>scelta del software</t>
        </is>
      </c>
      <c r="H146" s="10" t="inlineStr">
        <is>
          <t>—</t>
        </is>
      </c>
      <c r="I146" s="11" t="n"/>
      <c r="J146" s="11" t="n"/>
      <c r="K146" s="11" t="n"/>
      <c r="L146" s="11" t="n"/>
      <c r="M146" s="11" t="n"/>
      <c r="N146" s="11" t="n"/>
    </row>
    <row r="147" ht="433" customHeight="1">
      <c r="A147" s="10" t="n">
        <v>145</v>
      </c>
      <c r="B147" s="10" t="inlineStr">
        <is>
          <t>Vano: limiti del progetto</t>
        </is>
      </c>
      <c r="C147" s="10" t="inlineStr">
        <is>
          <t>Verifiche che il software non calcola</t>
        </is>
      </c>
      <c r="D147" s="10" t="inlineStr">
        <is>
          <t>da fare a parte, con i dati dei fornitori: sollecitazioni e frecce delle staffe e delle guide del contrappeso, anche con la presa del suo paracadute quando c’è uno spazio accessibile sotto il vano (UNI EN 81-50:2020, 5.10: il software verifica le guide di cabina, sul foglio 1 delle tavole; il paracadute del contrappeso lo chiede e ne conta il carico P7: paracadute.contrappeso); il fondo della fossa e la soletta sopra un locale sotto la fossa (5000 N/m² con le reazioni P5–P8: progetto strutturale); puleggia del contrappeso in taglia 2:1 sotto il soffitto con il contrappeso nella posizione più alta; uno spazio accessibile sotto il vano che non sia il locale della macchina (il software lo conosce solo con la macchina sotto la fossa); distanza tra le parti fisse più alte della fossa e quelle più basse della cabina sugli ammortizzatori; sporgenze nel vano oltre 150 mm senza balaustra; movimento incontrollato della cabina (UCM) e velocità eccessiva in salita con la nuova macchina; rigidità e sporgenze della lamiera sotto la soglia di piano (5.2.5.3.2 b)–c), dato del fornitore delle porte); porte di soccorso oltre 11 m tra due porte di piano (5.2.3.1: la verifica le chiede, il disegno non le ha); le soluzioni della UNI EN 81-21:2022 per testata, fossa, locale e porte ridotti (le verifiche in sezione seguono solo la UNI EN 81-20:2020). Il locale della macchina in basso è disegnato e verificato (altezza, porta, spazi davanti al quadro e accanto alla macchina) e le pulegge di rinvio appese sotto la soletta entrano nello spazio di rifugio sul tetto (spazi.tetto.appese)</t>
        </is>
      </c>
      <c r="E147" s="10" t="inlineStr">
        <is>
          <t>UNI EN 81-20:2020: guide e staffe 5.7.2–5.7.4 (con UNI EN 81-50:2020, 5.10); distanze in testata 5.2.5.7.2; spazi accessibili sotto il vano 5.2.5.4 e fondo della fossa 5.2.1.8.4; parti fisse in fossa 5.2.5.8.2; sporgenze oltre 0,15 m 5.2.5.2.2.2; velocità eccessiva in salita 5.6.6; movimento incontrollato 5.6.7</t>
        </is>
      </c>
      <c r="F147" s="10" t="inlineStr">
        <is>
          <t>UNI EN 81-20:2020, testo della norma, letto il 2026-10-06, pp. 31–43, 89–97; analisi delle lacune del 2026-10-03</t>
        </is>
      </c>
      <c r="G147" s="10" t="inlineStr">
        <is>
          <t>scelta del software</t>
        </is>
      </c>
      <c r="H147" s="10" t="inlineStr">
        <is>
          <t>—</t>
        </is>
      </c>
      <c r="I147" s="11" t="n"/>
      <c r="J147" s="11" t="n"/>
      <c r="K147" s="11" t="n"/>
      <c r="L147" s="11" t="n"/>
      <c r="M147" s="11" t="n"/>
      <c r="N147" s="11" t="n"/>
    </row>
    <row r="148" ht="56" customHeight="1">
      <c r="A148" s="10" t="n">
        <v>146</v>
      </c>
      <c r="B148" s="10" t="inlineStr">
        <is>
          <t>Impianto: valori calcolati dai dati inseriti una volta</t>
        </is>
      </c>
      <c r="C148" s="10" t="inlineStr">
        <is>
          <t>Corsa</t>
        </is>
      </c>
      <c r="D148" s="10" t="inlineStr">
        <is>
          <t>somma delle altezze tra i piani, dal più basso al più alto</t>
        </is>
      </c>
      <c r="E148" s="10" t="inlineStr">
        <is>
          <t>—</t>
        </is>
      </c>
      <c r="F148" s="10" t="inlineStr">
        <is>
          <t>dati dei piani inseriti</t>
        </is>
      </c>
      <c r="G148" s="10" t="inlineStr">
        <is>
          <t>derivazione</t>
        </is>
      </c>
      <c r="H148" s="10" t="inlineStr">
        <is>
          <t>—</t>
        </is>
      </c>
      <c r="I148" s="11" t="n"/>
      <c r="J148" s="11" t="n"/>
      <c r="K148" s="11" t="n"/>
      <c r="L148" s="11" t="n"/>
      <c r="M148" s="11" t="n"/>
      <c r="N148" s="11" t="n"/>
    </row>
    <row r="149" ht="56" customHeight="1">
      <c r="A149" s="10" t="n">
        <v>147</v>
      </c>
      <c r="B149" s="10" t="inlineStr">
        <is>
          <t>Impianto: valori calcolati dai dati inseriti una volta</t>
        </is>
      </c>
      <c r="C149" s="10" t="inlineStr">
        <is>
          <t>Portata e velocità — In una modifica il confronto con i carichi documentati è nella voce impianto.variazione.carico.</t>
        </is>
      </c>
      <c r="D149" s="10" t="inlineStr">
        <is>
          <t>la portata inserita, oppure quella della cabina più grande che entra nel vano (Tabella 6); la velocità è una sola per il vano e per la macchina</t>
        </is>
      </c>
      <c r="E149" s="10" t="inlineStr">
        <is>
          <t>UNI EN 81-20:2020, 5.4.2.1</t>
        </is>
      </c>
      <c r="F149" s="10" t="inlineStr">
        <is>
          <t>progetto del vano</t>
        </is>
      </c>
      <c r="G149" s="10" t="inlineStr">
        <is>
          <t>derivazione</t>
        </is>
      </c>
      <c r="H149" s="10" t="inlineStr">
        <is>
          <t>—</t>
        </is>
      </c>
      <c r="I149" s="11" t="n"/>
      <c r="J149" s="11" t="n"/>
      <c r="K149" s="11" t="n"/>
      <c r="L149" s="11" t="n"/>
      <c r="M149" s="11" t="n"/>
      <c r="N149" s="11" t="n"/>
    </row>
    <row r="150" ht="212" customHeight="1">
      <c r="A150" s="10" t="n">
        <v>148</v>
      </c>
      <c r="B150" s="10" t="inlineStr">
        <is>
          <t>Impianto: valori calcolati dai dati inseriti una volta</t>
        </is>
      </c>
      <c r="C150"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t>
        </is>
      </c>
      <c r="D150"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50" s="10" t="inlineStr">
        <is>
          <t>UNI 10411-1:2024, 6.1 (prospetti 1 e 2); UNI 10411-11:2024, 6.1 e 6.2</t>
        </is>
      </c>
      <c r="F150" s="10" t="inlineStr">
        <is>
          <t>UNI 10411-1:2024, testo della norma, letto il 2026-10-06, p. 7; UNI 10411-11:2024, testo della norma, letto il 2026-10-06, pp. 7–8</t>
        </is>
      </c>
      <c r="G150" s="10" t="inlineStr">
        <is>
          <t>confermato</t>
        </is>
      </c>
      <c r="H150" s="10" t="inlineStr">
        <is>
          <t>—</t>
        </is>
      </c>
      <c r="I150" s="11" t="n"/>
      <c r="J150" s="11" t="n"/>
      <c r="K150" s="11" t="n"/>
      <c r="L150" s="11" t="n"/>
      <c r="M150" s="11" t="n"/>
      <c r="N150" s="11" t="n"/>
    </row>
    <row r="151" ht="108" customHeight="1">
      <c r="A151" s="10" t="n">
        <v>149</v>
      </c>
      <c r="B151" s="10" t="inlineStr">
        <is>
          <t>Impianto: valori calcolati dai dati inseriti una volta</t>
        </is>
      </c>
      <c r="C151" s="10" t="inlineStr">
        <is>
          <t>Modifica: UNI 10411-1 o UNI 10411-11 — la data dal DPR 162/1999 è una lettura dell’articolo 19 (messa in servizio secondo le regole precedenti fino al 30 giugno 1999)</t>
        </is>
      </c>
      <c r="D151"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51" s="10" t="inlineStr">
        <is>
          <t>UNI 10411-11:2024, 1 e 3.3–3.4; UNI 10411-1:2024, 1; DPR 162/1999, art. 7 c.2, art. 16 c.1 e c.3, art. 19 c.1</t>
        </is>
      </c>
      <c r="F151" s="10" t="inlineStr">
        <is>
          <t>UNI 10411-1:2024, testo della norma, letto il 2026-10-06, p. 5; UNI 10411-11:2024, testo della norma, letto il 2026-10-06, pp. 5–6; DPR 162/1999 (testo su Normattiva)</t>
        </is>
      </c>
      <c r="G151" s="10" t="inlineStr">
        <is>
          <t>confermato</t>
        </is>
      </c>
      <c r="H151" s="10" t="inlineStr">
        <is>
          <t>—</t>
        </is>
      </c>
      <c r="I151" s="11" t="n"/>
      <c r="J151" s="11" t="n"/>
      <c r="K151" s="11" t="n"/>
      <c r="L151" s="11" t="n"/>
      <c r="M151" s="11" t="n"/>
      <c r="N151" s="11" t="n"/>
    </row>
    <row r="152" ht="316" customHeight="1">
      <c r="A152" s="10" t="n">
        <v>150</v>
      </c>
      <c r="B152" s="10" t="inlineStr">
        <is>
          <t>Impianto: valori calcolati dai dati inseriti una volta</t>
        </is>
      </c>
      <c r="C152"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t>
        </is>
      </c>
      <c r="D152"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52" s="10" t="inlineStr">
        <is>
          <t>DPR 162/1999 e s.m.i.; UNI 10411-1:2024; UNI 10411-11:2024; UNI EN 81-20:2020; UNI EN 81-50:2020</t>
        </is>
      </c>
      <c r="F152" s="10" t="inlineStr">
        <is>
          <t>UNI 10411-1:2024, testo della norma, letto il 2026-10-06, pp. 5, 13–14; UNI 10411-11:2024, testo della norma, letto il 2026-10-06, pp. 5, 12; schema ICIM delle verifiche (la verifica straordinaria si limita di norma alle modifiche); ricerca, capitoli 2.4 e 6.6</t>
        </is>
      </c>
      <c r="G152" s="10" t="inlineStr">
        <is>
          <t>scelta del software</t>
        </is>
      </c>
      <c r="H152" s="10" t="inlineStr">
        <is>
          <t>—</t>
        </is>
      </c>
      <c r="I152" s="11" t="n"/>
      <c r="J152" s="11" t="n"/>
      <c r="K152" s="11" t="n"/>
      <c r="L152" s="11" t="n"/>
      <c r="M152" s="11" t="n"/>
      <c r="N152" s="11" t="n"/>
    </row>
    <row r="153" ht="264" customHeight="1">
      <c r="A153" s="10" t="n">
        <v>151</v>
      </c>
      <c r="B153" s="10" t="inlineStr">
        <is>
          <t>Impianto: valori calcolati dai dati inseriti una volta</t>
        </is>
      </c>
      <c r="C153"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53"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53" s="10" t="inlineStr">
        <is>
          <t>DPR 162/1999 e s.m.i., art. 2 c.1 lett. cc), art. 12 c.4, art. 14 c.3; UNI 10411-1:2024; UNI 10411-11:2024; UNI EN 81-21:2022 (scopo)</t>
        </is>
      </c>
      <c r="F153" s="10" t="inlineStr">
        <is>
          <t>indicazione del cliente (5 ottobre 2026): prassi di lasciare l’arcata; ricerca, capitolo 16 §3.2 e §5.3</t>
        </is>
      </c>
      <c r="G153" s="10" t="inlineStr">
        <is>
          <t>prassi di cantiere</t>
        </is>
      </c>
      <c r="H153" s="10" t="inlineStr">
        <is>
          <t>—</t>
        </is>
      </c>
      <c r="I153" s="11" t="n"/>
      <c r="J153" s="11" t="n"/>
      <c r="K153" s="11" t="n"/>
      <c r="L153" s="11" t="n"/>
      <c r="M153" s="11" t="n"/>
      <c r="N153" s="11" t="n"/>
    </row>
    <row r="154" ht="69" customHeight="1">
      <c r="A154" s="10" t="n">
        <v>152</v>
      </c>
      <c r="B154" s="10" t="inlineStr">
        <is>
          <t>Impianto: valori calcolati dai dati inseriti una volta</t>
        </is>
      </c>
      <c r="C154" s="10" t="inlineStr">
        <is>
          <t>Massa della cabina non inserita — va sostituita con la massa del libretto o con quella ricavata dalla prova di bilanciamento; la sensibilità ±10% ne mostra l’effetto</t>
        </is>
      </c>
      <c r="D154" s="10" t="inlineStr">
        <is>
          <t>P = 1,1·Q arrotondata per eccesso a 10 kg: valore di partenza per far girare il calcolo</t>
        </is>
      </c>
      <c r="E154" s="10" t="inlineStr">
        <is>
          <t>ricerca, capitoli 3 e 6 (origine della massa della cabina)</t>
        </is>
      </c>
      <c r="F154" s="10" t="inlineStr">
        <is>
          <t>scelta del software, senza fonte</t>
        </is>
      </c>
      <c r="G154" s="10" t="inlineStr">
        <is>
          <t>stima</t>
        </is>
      </c>
      <c r="H154" s="10" t="inlineStr">
        <is>
          <t>—</t>
        </is>
      </c>
      <c r="I154" s="11" t="n"/>
      <c r="J154" s="11" t="n"/>
      <c r="K154" s="11" t="n"/>
      <c r="L154" s="11" t="n"/>
      <c r="M154" s="11" t="n"/>
      <c r="N154" s="11" t="n"/>
    </row>
    <row r="155" ht="368" customHeight="1">
      <c r="A155" s="10" t="n">
        <v>153</v>
      </c>
      <c r="B155" s="10" t="inlineStr">
        <is>
          <t>Impianto: valori calcolati dai dati inseriti una volta</t>
        </is>
      </c>
      <c r="C155" s="10" t="inlineStr">
        <is>
          <t>Massa dell’argano nei carichi sull’edificio — la stima si sostituisce con la massa dell’argano completo dalla scheda del costruttore; fino a LIFT 1.28.0 e ROOM 1.12.0 la massa di catalogo entrava come quella dell’argano completo anche dove era il solo riduttore</t>
        </is>
      </c>
      <c r="D155" s="10" t="inlineStr">
        <is>
          <t>la massa di catalogo dice cose diverse secondo il costruttore (tutto l’argano; senza volano e puleggia; il solo riduttore, senza motore, volano e puleggia): nei carichi sull’edificio entra l’argano completo, aggiungendo la stima di ciò che manca — il motore dalla sua potenza (asincrono IEC a 4 poli in ghisa: 1,5 kW 25 kg, 2,2 kW 30 kg, 3 kW 33 kg, 4 kW 42 kg, 5,5 kW 62 kg, 7,5 kW 73 kg, 11 kW 115 kg, 15 kW 136 kg, 18,5 kW 175 kg, 22 kW 195 kg, 30 kW 255 kg, 37 kW 335 kg, 45 kW 370 kg, 55 kW 450 kg, 75 kW 560 kg, 90 kW 660 kg), la puleggia 0,00095 kg per mm di diametro primitivo e per mm di larghezza (le gole al loro passo — fino a Ø 12 passo 17, fino a Ø 14 passo 20, fino a Ø 16 passo 21 mm — più 12 mm di bordi, almeno 80 mm), il volano 21 kg; nel tiro sugli ancoraggi della macchina in basso conta solo la massa di catalogo (il limite inferiore, a favore di sicurezza); la massa inserita a mano, diversa da quella del catalogo, è presa come argano completo. Il modello è quello proposto dal catalogo o, con l’argano inserito a mano (anche dal calcolatore della sostituzione al progetto completo), quello che i valori del calcolo riconoscono — rapporto, carico statico, massa e puleggia, come la relazione lo nomina: lo stesso argano pesa lo stesso nel progetto, nel foglio 1, nella relazione e nella sostituzione</t>
        </is>
      </c>
      <c r="E155" s="10" t="inlineStr">
        <is>
          <t>UNI EN 81-20:2020, 5.2.1.8.1 (carichi della macchina sulla struttura)</t>
        </is>
      </c>
      <c r="F155" s="10" t="inlineStr">
        <is>
          <t>definizioni delle masse nei documenti dei costruttori (ricerca, capitolo 17: Sassi senza volano e puleggia, LEO senza puleggia, Montanari massa del riduttore, PENTA e M105 con il motore); pulegge e volani dal catalogo Sassi REV 2023/01 (da 24 kg a Ø 450 × 80 a 135 kg a Ø 800 × 180; volani fino a 20,7 kg); motori: masse tipiche dei cataloghi dei motori asincroni in ghisa</t>
        </is>
      </c>
      <c r="G155" s="10" t="inlineStr">
        <is>
          <t>stima</t>
        </is>
      </c>
      <c r="H155" s="10" t="inlineStr">
        <is>
          <t>—</t>
        </is>
      </c>
      <c r="I155" s="11" t="n"/>
      <c r="J155" s="11" t="n"/>
      <c r="K155" s="11" t="n"/>
      <c r="L155" s="11" t="n"/>
      <c r="M155" s="11" t="n"/>
      <c r="N155" s="11" t="n"/>
    </row>
    <row r="156" ht="264" customHeight="1">
      <c r="A156" s="10" t="n">
        <v>154</v>
      </c>
      <c r="B156" s="10" t="inlineStr">
        <is>
          <t>Impianto: valori calcolati dai dati inseriti una volta</t>
        </is>
      </c>
      <c r="C156" s="10" t="inlineStr">
        <is>
          <t>Peso proprio del basamento sulla soletta — fino a LIFT 1.28.0 e ROOM 1.12.0 il totale sulla soletta (P9) e la riga «Argano e telaio» contavano solo l’argano (e il telaio con rinvio del costruttore): plinto, telaio, putrelle e telaio con rinvio del software ne restavano fuori</t>
        </is>
      </c>
      <c r="D156" s="10" t="inlineStr">
        <is>
          <t>sulla soletta, oltre all’argano, il peso proprio di ciò che lo porta, con la geometria dei disegni: il telaio del software sotto un argano di catalogo (tre ferri a C alti quanto il telaio, ali di 70 mm, spessori 9 e 7 mm, con le traverse), il telaio di profilati (tre profilati e le due traverse), le putrelle (fra i muri con l’appoggio), le piastre sotto gli appoggi (180 × 120 mm), il plinto in calcestruzzo (2500 kg/m³, i due blocchi), il telaio con rinvio del software (travi UPN 160, gambe di tubo quadro da 9,2 kg/m, la puleggia di rinvio stimata come la puleggia di frizione), la puleggia sul suo supporto; acciaio 7850 kg/m³; il telaio con rinvio del costruttore con la sua massa di catalogo; le putrelle HEB sui muri del vano con la loro. Nel carico statico del foglio 1 (P9) e della relazione, senza coefficiente dinamico; nelle verifiche delle travi il peso proprio delle travi verificate è già nella verifica</t>
        </is>
      </c>
      <c r="E156" s="10" t="inlineStr">
        <is>
          <t>UNI EN 81-20:2020, 5.2.1.8.1</t>
        </is>
      </c>
      <c r="F156" s="10" t="inlineStr">
        <is>
          <t>masse dei profilati EN 10365 (catalogo del software); calcestruzzo armato 25 kN/m³; geometria dei disegni del software</t>
        </is>
      </c>
      <c r="G156" s="10" t="inlineStr">
        <is>
          <t>scelta del software</t>
        </is>
      </c>
      <c r="H156" s="10" t="inlineStr">
        <is>
          <t>—</t>
        </is>
      </c>
      <c r="I156" s="11" t="n"/>
      <c r="J156" s="11" t="n"/>
      <c r="K156" s="11" t="n"/>
      <c r="L156" s="11" t="n"/>
      <c r="M156" s="11" t="n"/>
      <c r="N156" s="11" t="n"/>
    </row>
    <row r="157" ht="134" customHeight="1">
      <c r="A157" s="10" t="n">
        <v>155</v>
      </c>
      <c r="B157" s="10" t="inlineStr">
        <is>
          <t>Impianto: valori calcolati dai dati inseriti una volta</t>
        </is>
      </c>
      <c r="C157" s="10" t="inlineStr">
        <is>
          <t>Fune oltre la corsa (L0) — inserita a mano (misurata sull’impianto) deve tornare con il progetto del vano entro 0,3 m, altrimenti va corretta: il progetto non si salva (scelta del software sulla tolleranza); passando dalla sostituzione al progetto completo il valore del calcolo non si porta come inserito, la geometria è quella del progetto del vano</t>
        </is>
      </c>
      <c r="D157"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57" s="10" t="inlineStr">
        <is>
          <t>—</t>
        </is>
      </c>
      <c r="F157" s="10" t="inlineStr">
        <is>
          <t>dati verticali del vano; altezza dell’asse scelta dal software</t>
        </is>
      </c>
      <c r="G157" s="10" t="inlineStr">
        <is>
          <t>scelta del software</t>
        </is>
      </c>
      <c r="H157" s="10" t="inlineStr">
        <is>
          <t>—</t>
        </is>
      </c>
      <c r="I157" s="11" t="n"/>
      <c r="J157" s="11" t="n"/>
      <c r="K157" s="11" t="n"/>
      <c r="L157" s="11" t="n"/>
      <c r="M157" s="11" t="n"/>
      <c r="N157" s="11" t="n"/>
    </row>
    <row r="158" ht="251" customHeight="1">
      <c r="A158" s="10" t="n">
        <v>156</v>
      </c>
      <c r="B158" s="10" t="inlineStr">
        <is>
          <t>Impianto: valori calcolati dai dati inseriti una volta</t>
        </is>
      </c>
      <c r="C158" s="10" t="inlineStr">
        <is>
          <t>Distanza orizzontale della puleggia di rinvio (dx) — fino a LIFT 1.27.0 e ROOM 1.11.0 in taglia 2:1 le pulegge di cabina e di contrappeso giravano nel piano delle calate e la calata era quella tra i centri meno Dp: con il contrappeso sottile contro il muro la sua puleggia entrava nel muro e nella corsa della cabina</t>
        </is>
      </c>
      <c r="D158" s="10" t="inlineStr">
        <is>
          <t>calata tra la fune di cabina e quella del contrappeso in pianta − D/2 − Dp/2 (rinvio semplice: la fune scende dal lato esterno della puleggia di rinvio); se la fune deve rientrare, − D/2 + Dp/2 (rinvio inverso: dal lato interno); con taglia 2:1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frizione sopra la cabina, il rinvio sopra il contrappeso; se nessuna delle due geometrie torna con l’angolo di avvolgimento, la distanza va misurata sull’impianto</t>
        </is>
      </c>
      <c r="E158" s="10" t="inlineStr">
        <is>
          <t>ricerca, capitolo 5.3</t>
        </is>
      </c>
      <c r="F158" s="10" t="inlineStr">
        <is>
          <t>pianta del vano</t>
        </is>
      </c>
      <c r="G158" s="10" t="inlineStr">
        <is>
          <t>derivazione</t>
        </is>
      </c>
      <c r="H158" s="10" t="inlineStr">
        <is>
          <t>—</t>
        </is>
      </c>
      <c r="I158" s="11" t="n"/>
      <c r="J158" s="11" t="n"/>
      <c r="K158" s="11" t="n"/>
      <c r="L158" s="11" t="n"/>
      <c r="M158" s="11" t="n"/>
      <c r="N158" s="11" t="n"/>
    </row>
    <row r="159" ht="173" customHeight="1">
      <c r="A159" s="10" t="n">
        <v>157</v>
      </c>
      <c r="B159" s="10" t="inlineStr">
        <is>
          <t>Impianto: valori calcolati dai dati inseriti una volta</t>
        </is>
      </c>
      <c r="C159"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59" s="10" t="inlineStr">
        <is>
          <t>senza rinvio le due calate scendono dai due lati della puleggia di frizione: la loro distanza in pianta (dall’asse della cabina a quello del contrappeso; con la taglia 2:1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59" s="10" t="inlineStr">
        <is>
          <t>ricerca, capitolo 5.3 (angolo di avvolgimento del tiro diretto)</t>
        </is>
      </c>
      <c r="F159" s="10" t="inlineStr">
        <is>
          <t>geometria delle funi</t>
        </is>
      </c>
      <c r="G159" s="10" t="inlineStr">
        <is>
          <t>derivazione</t>
        </is>
      </c>
      <c r="H159" s="10" t="inlineStr">
        <is>
          <t>—</t>
        </is>
      </c>
      <c r="I159" s="11" t="n"/>
      <c r="J159" s="11" t="n"/>
      <c r="K159" s="11" t="n"/>
      <c r="L159" s="11" t="n"/>
      <c r="M159" s="11" t="n"/>
      <c r="N159" s="11" t="n"/>
    </row>
    <row r="160" ht="212" customHeight="1">
      <c r="A160" s="10" t="n">
        <v>158</v>
      </c>
      <c r="B160" s="10" t="inlineStr">
        <is>
          <t>Impianto: valori calcolati dai dati inseriti una volta</t>
        </is>
      </c>
      <c r="C160" s="10" t="inlineStr">
        <is>
          <t>Macchina in basso: altezza fino alle pulegge in alto (Hv) — inserita a mano deve tornare con il progetto del vano entro 0,5 m (scelta del software sulla tolleranza), altrimenti va corretta e il progetto non si salva: un Hv più lungo di quanto lo schema consente (con la macchina accanto al vano al piano più basso, oltre l’altezza della testata sopra la puleggia) darebbe funi, masse e lunghezze d’ordine sbagliate; passando dalla sostituzione al progetto completo il valore del calcolo (spesso quello dell’esempio) non si porta come inserito</t>
        </is>
      </c>
      <c r="D160" s="10" t="inlineStr">
        <is>
          <t>dall’asse dei rinvii in testata all’asse della puleggia di frizione, secondo lo schema delle funi (impianto.basso.schema); la puleggia ha l’asse a 0,9·D sul pavimento del suo locale</t>
        </is>
      </c>
      <c r="E160" s="10" t="inlineStr">
        <is>
          <t>ricerca, capitolo 5; funi con la macchina in basso, capitolo 2.6</t>
        </is>
      </c>
      <c r="F160" s="10" t="inlineStr">
        <is>
          <t>dati verticali del vano</t>
        </is>
      </c>
      <c r="G160" s="10" t="inlineStr">
        <is>
          <t>derivazione</t>
        </is>
      </c>
      <c r="H160" s="10" t="inlineStr">
        <is>
          <t>—</t>
        </is>
      </c>
      <c r="I160" s="11" t="n"/>
      <c r="J160" s="11" t="n"/>
      <c r="K160" s="11" t="n"/>
      <c r="L160" s="11" t="n"/>
      <c r="M160" s="11" t="n"/>
      <c r="N160" s="11" t="n"/>
    </row>
    <row r="161" ht="446" customHeight="1">
      <c r="A161" s="10" t="n">
        <v>159</v>
      </c>
      <c r="B161" s="10" t="inlineStr">
        <is>
          <t>Impianto: valori calcolati dai dati inseriti una volta</t>
        </is>
      </c>
      <c r="C161"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t>
        </is>
      </c>
      <c r="D161"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(accanto al vano a 50 mm la puleggia, quando è più larga dei rami: tra i rami nel vano, con il corpo della macchina tutto nel locale a 50 mm dalla parete e nel muro solo l’albero lento nel suo manicotto); per lato un rinvio a 180° se il ramo dista dalla calata in pianta non più di Dp, altrimenti due rinvii a 90° con un tratto orizzontale. Il calcolo conta due rinvii per la macchina in basso: gli altri entrano come flessioni semplici aggiuntive (nps)</t>
        </is>
      </c>
      <c r="E161" s="10" t="inlineStr">
        <is>
          <t>ricerca, funi con la macchina in basso, capitoli 2–5; DPR 1497/1963 artt. 5–9, 33</t>
        </is>
      </c>
      <c r="F161" s="10" t="inlineStr">
        <is>
          <t>geometria ricostruita dal software</t>
        </is>
      </c>
      <c r="G161" s="10" t="inlineStr">
        <is>
          <t>scelta del software</t>
        </is>
      </c>
      <c r="H161" s="10" t="inlineStr">
        <is>
          <t>—</t>
        </is>
      </c>
      <c r="I161" s="11" t="n"/>
      <c r="J161" s="11" t="n"/>
      <c r="K161" s="11" t="n"/>
      <c r="L161" s="11" t="n"/>
      <c r="M161" s="11" t="n"/>
      <c r="N161" s="11" t="n"/>
    </row>
    <row r="162" ht="381" customHeight="1">
      <c r="A162" s="10" t="n">
        <v>160</v>
      </c>
      <c r="B162" s="10" t="inlineStr">
        <is>
          <t>Impianto: valori calcolati dai dati inseriti una volta</t>
        </is>
      </c>
      <c r="C162" s="10" t="inlineStr">
        <is>
          <t>Macchina proposta dal catalogo di un costruttore — la tolleranza sul rapporto è una scelta del software: la velocità reale con l’inverter deve restare entro il 5 % sopra la nominale (UNI EN 81-20:2020, 5.9.2.4; buona pratica non oltre l'8 % sotto);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 fino a LIFT 1.28.0 il motore e la gola restavano quelli della griglia, al rapporto ideale e con la geometria dell’argano generico: un argano più veloce poteva mancare la potenza statica e uno con l’asse più basso l’aderenza, e su plinto o telaio un argano con l’asse più alto era proposto anche quando la pianta non posizionava il rinvio (da inserire a mano)</t>
        </is>
      </c>
      <c r="D162"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con il rapporto del catalogo e la geometria dell’argano com’è (asse della puleggia, telaio con rinvio del costruttore: h, angolo di avvolgimento, fune oltre la corsa) motore, gola e freno sono dimensionati di nuovo con le regole del dimensionamento — il motore IEC più piccolo che copre la potenza statica alla velocità reale, non oltre il più grande del catalogo; la gola che aderisce col margine più largo e, se con essa il coefficiente di sicurezza delle funi non basta, quella che aderisce di più fra le meno incise, a mezzo grado, fino al margine successivo; l’argano che non passa ogni verifica così, o per cui la pianta non sa posizionare il rinvio, non prende l’opzione e si prova la successiva; i disegni e il 3D mostrano l’argano SICOR com’è (ingombri, piedi e fori, asse della puleggia, P ed E della scheda), sul telaio del software</t>
        </is>
      </c>
      <c r="E162" s="10" t="inlineStr">
        <is>
          <t>ricerca, capitolo 12 (catalogo degli argani)</t>
        </is>
      </c>
      <c r="F162" s="10" t="inlineStr">
        <is>
          <t>SICOR: schede tecniche 2025 e modelli CAD scaricati da sicoritaly.com il 2 ottobre 2026 (solo le quote); Sassi, Montanari, GEM, FAER: estratti delle pagine dei costruttori e dei rivenditori, 1° ottobre 2026</t>
        </is>
      </c>
      <c r="G162" s="10" t="inlineStr">
        <is>
          <t>scelta del software</t>
        </is>
      </c>
      <c r="H162" s="10" t="inlineStr">
        <is>
          <t>—</t>
        </is>
      </c>
      <c r="I162" s="11" t="n"/>
      <c r="J162" s="11" t="n"/>
      <c r="K162" s="11" t="n"/>
      <c r="L162" s="11" t="n"/>
      <c r="M162" s="11" t="n"/>
      <c r="N162" s="11" t="n"/>
    </row>
    <row r="163" ht="134" customHeight="1">
      <c r="A163" s="10" t="n">
        <v>161</v>
      </c>
      <c r="B163" s="10" t="inlineStr">
        <is>
          <t>Impianto: valori calcolati dai dati inseriti una volta</t>
        </is>
      </c>
      <c r="C163"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63" s="10" t="inlineStr">
        <is>
          <t>la prima opzione del dimensionamento (capitolo 8): puleggia, funi, rapporto, gola, motore e freno che passano ogni verifica; con le ipotesi del gruppo (poli, giri, rendimenti, inerzie) inserite</t>
        </is>
      </c>
      <c r="E163" s="10" t="inlineStr">
        <is>
          <t>ricerca, capitolo 8</t>
        </is>
      </c>
      <c r="F163" s="10" t="inlineStr">
        <is>
          <t>motore di calcolo</t>
        </is>
      </c>
      <c r="G163" s="10" t="inlineStr">
        <is>
          <t>scelta del software</t>
        </is>
      </c>
      <c r="H163" s="10" t="inlineStr">
        <is>
          <t>—</t>
        </is>
      </c>
      <c r="I163" s="11" t="n"/>
      <c r="J163" s="11" t="n"/>
      <c r="K163" s="11" t="n"/>
      <c r="L163" s="11" t="n"/>
      <c r="M163" s="11" t="n"/>
      <c r="N163" s="11" t="n"/>
    </row>
    <row r="164" ht="95" customHeight="1">
      <c r="A164" s="10" t="n">
        <v>162</v>
      </c>
      <c r="B164" s="10" t="inlineStr">
        <is>
          <t>Impianto: valori calcolati dai dati inseriti una volta</t>
        </is>
      </c>
      <c r="C164" s="10" t="inlineStr">
        <is>
          <t>Altezza minima delle scritte dei disegni — prima i nomi che non stavano si rimpicciolivano sotto i 2,5 mm di corpo, fino a non leggersi in stampa</t>
        </is>
      </c>
      <c r="D164" s="10" t="inlineStr">
        <is>
          <t>nomi, sigle e richiami dei carichi a corpo 2,5 mm sul foglio (maiuscole alte 1,8 mm); una scritta che alla scala del foglio non ci sta non si rimpicciolisce: esce dal disegno con una linea di richiamo; le etichette del cartiglio e della striscia a corpo 2 mm, le quote con le proprie altezze</t>
        </is>
      </c>
      <c r="E164" s="10" t="inlineStr">
        <is>
          <t>UNI EN ISO 3098-1 (serie delle altezze nominali della scrittura: 1,8 – 2,5 – 3,5 mm …)</t>
        </is>
      </c>
      <c r="F164" s="10" t="inlineStr">
        <is>
          <t>scelta del software sulla serie della norma; misura del carattere DejaVu Sans (maiuscole 0,73 del corpo)</t>
        </is>
      </c>
      <c r="G164" s="10" t="inlineStr">
        <is>
          <t>scelta del software</t>
        </is>
      </c>
      <c r="H164" s="10" t="inlineStr">
        <is>
          <t>—</t>
        </is>
      </c>
      <c r="I164" s="11" t="n"/>
      <c r="J164" s="11" t="n"/>
      <c r="K164" s="11" t="n"/>
      <c r="L164" s="11" t="n"/>
      <c r="M164" s="11" t="n"/>
      <c r="N164" s="11" t="n"/>
    </row>
    <row r="165" ht="82" customHeight="1">
      <c r="A165" s="10" t="n">
        <v>163</v>
      </c>
      <c r="B165" s="10" t="inlineStr">
        <is>
          <t>Impianto: valori calcolati dai dati inseriti una volta</t>
        </is>
      </c>
      <c r="C165" s="10" t="inlineStr">
        <is>
          <t>Numero di matricola nel cartiglio e nella striscia</t>
        </is>
      </c>
      <c r="D165" s="10" t="inlineStr">
        <is>
          <t>quello dei dati dell’impianto; se manca, «DA ASSEGNARE» per un impianto nuovo (il Comune lo assegna dopo la comunicazione della messa in esercizio) e «DA COMUNICARE» per un impianto esistente modificato, che il Comune e l’organismo delle verifiche conoscono per matricola</t>
        </is>
      </c>
      <c r="E165" s="10" t="inlineStr">
        <is>
          <t>DPR 162/1999 e s.m.i., art. 12 c.1–3 (matricola entro 30 giorni dalla comunicazione), c.4–5 (modifica)</t>
        </is>
      </c>
      <c r="F165" s="10" t="inlineStr">
        <is>
          <t>DPR 162/1999 (testo su Normattiva)</t>
        </is>
      </c>
      <c r="G165" s="10" t="inlineStr">
        <is>
          <t>confermato</t>
        </is>
      </c>
      <c r="H165" s="10" t="inlineStr">
        <is>
          <t>—</t>
        </is>
      </c>
      <c r="I165" s="11" t="n"/>
      <c r="J165" s="11" t="n"/>
      <c r="K165" s="11" t="n"/>
      <c r="L165" s="11" t="n"/>
      <c r="M165" s="11" t="n"/>
      <c r="N165" s="11" t="n"/>
    </row>
    <row r="166" ht="108" customHeight="1">
      <c r="A166" s="10" t="n">
        <v>164</v>
      </c>
      <c r="B166" s="10" t="inlineStr">
        <is>
          <t>Impianto: valori calcolati dai dati inseriti una volta</t>
        </is>
      </c>
      <c r="C166" s="10" t="inlineStr">
        <is>
          <t>Revisioni nel cartiglio</t>
        </is>
      </c>
      <c r="D166" s="10" t="inlineStr">
        <is>
          <t>R0 «PRIMA EMISSIONE» con la data della prima emissione, poi R1, R2 … con la nota e la data di ciascuna; il cartiglio ne mostra le ultime 4; la casella del DIS. N° e la striscia di ogni foglio portano la revisione corrente con la sua data; una bozza (non emessa) non ha R0 e lascia la casella da compilare a mano; sotto il cartiglio la cella del timbro e della firma del progettista</t>
        </is>
      </c>
      <c r="E166" s="10" t="inlineStr">
        <is>
          <t>ISO 7200 (campi del cartiglio: numero del disegno, indice di revisione, data)</t>
        </is>
      </c>
      <c r="F166" s="10" t="inlineStr">
        <is>
          <t>prassi dei disegni tecnici</t>
        </is>
      </c>
      <c r="G166" s="10" t="inlineStr">
        <is>
          <t>prassi di cantiere</t>
        </is>
      </c>
      <c r="H166" s="10" t="inlineStr">
        <is>
          <t>—</t>
        </is>
      </c>
      <c r="I166" s="11" t="n"/>
      <c r="J166" s="11" t="n"/>
      <c r="K166" s="11" t="n"/>
      <c r="L166" s="11" t="n"/>
      <c r="M166" s="11" t="n"/>
      <c r="N166" s="11" t="n"/>
    </row>
    <row r="167" ht="134" customHeight="1">
      <c r="A167" s="10" t="n">
        <v>165</v>
      </c>
      <c r="B167" s="10" t="inlineStr">
        <is>
          <t>Impianto: valori calcolati dai dati inseriti una volta</t>
        </is>
      </c>
      <c r="C167" s="10" t="inlineStr">
        <is>
          <t>Nome dell’argano nei disegni</t>
        </is>
      </c>
      <c r="D167" s="10" t="inlineStr">
        <is>
          <t>il modello del catalogo su cui è fatto il calcolo, con accanto «(rif. impianto: …)» il testo dei dati dell’impianto quando è diverso; il testo deve nominare quel modello a parole intere (senza la nota fra parentesi, la puleggia «Ø…» e «con …»; «M 73» è M73, ma «Sx» è una parola a sé) e nessun altro modello o costruttore del catalogo (SH130G non è SH130, M73S non è M73): altrimenti l’emissione delle tavole si ferma finché non si corregge</t>
        </is>
      </c>
      <c r="E167" s="10" t="inlineStr">
        <is>
          <t>relazione di calcolo e tavole dello stesso impianto: un solo argano</t>
        </is>
      </c>
      <c r="F167" s="10" t="inlineStr">
        <is>
          <t>scelta del software</t>
        </is>
      </c>
      <c r="G167" s="10" t="inlineStr">
        <is>
          <t>scelta del software</t>
        </is>
      </c>
      <c r="H167" s="10" t="inlineStr">
        <is>
          <t>—</t>
        </is>
      </c>
      <c r="I167" s="11" t="n"/>
      <c r="J167" s="11" t="n"/>
      <c r="K167" s="11" t="n"/>
      <c r="L167" s="11" t="n"/>
      <c r="M167" s="11" t="n"/>
      <c r="N167" s="11" t="n"/>
    </row>
    <row r="168" ht="121" customHeight="1">
      <c r="A168" s="10" t="n">
        <v>166</v>
      </c>
      <c r="B168" s="10" t="inlineStr">
        <is>
          <t>Impianto: valori calcolati dai dati inseriti una volta</t>
        </is>
      </c>
      <c r="C168" s="10" t="inlineStr">
        <is>
          <t>Richiami dei carichi P1…P8 sulle tavole</t>
        </is>
      </c>
      <c r="D168" s="10" t="inlineStr">
        <is>
          <t>dove ogni carico agisce: P1 sull’argano nel locale (con la macchina in basso sulle pulegge di rinvio in testata, tratteggiate nella pianta in testata, un richiamo con una linea a ciascuna), P2 e P3 sugli attacchi delle funi a 2:1, P4 sul limitatore, P5–P8 su guide e ammortizzatori nella pianta della fossa; ogni cerchio ad almeno 2r + 0,5 mm dagli altri e fuori dalle scritte, al primo posto libero intorno a ciò che indica</t>
        </is>
      </c>
      <c r="E168" s="10" t="inlineStr">
        <is>
          <t>UNI EN 81-20:2020, 5.2.1.8 (carichi sulla struttura dell’edificio: voci carichi.macchina e carichi.fossa)</t>
        </is>
      </c>
      <c r="F168" s="10" t="inlineStr">
        <is>
          <t>scelta del software</t>
        </is>
      </c>
      <c r="G168" s="10" t="inlineStr">
        <is>
          <t>scelta del software</t>
        </is>
      </c>
      <c r="H168" s="10" t="inlineStr">
        <is>
          <t>—</t>
        </is>
      </c>
      <c r="I168" s="11" t="n"/>
      <c r="J168" s="11" t="n"/>
      <c r="K168" s="11" t="n"/>
      <c r="L168" s="11" t="n"/>
      <c r="M168" s="11" t="n"/>
      <c r="N168" s="11" t="n"/>
    </row>
    <row r="169" ht="56" customHeight="1">
      <c r="A169" s="10" t="n">
        <v>167</v>
      </c>
      <c r="B169" s="10" t="inlineStr">
        <is>
          <t>Impianto: valori calcolati dai dati inseriti una volta</t>
        </is>
      </c>
      <c r="C169" s="10" t="inlineStr">
        <is>
          <t>Carico del limitatore (P4) non noto</t>
        </is>
      </c>
      <c r="D169" s="10" t="inlineStr">
        <is>
          <t>senza il carico del limitatore nei dati dell’impianto il foglio 1 scrive «DA FORNITORE» e non lo somma: lo dà il costruttore del limitatore (massa e tiro della fune all’intervento)</t>
        </is>
      </c>
      <c r="E169" s="10" t="inlineStr">
        <is>
          <t>UNI EN 81-20:2020, 5.6.2.2 (limitatore di velocità)</t>
        </is>
      </c>
      <c r="F169" s="10" t="inlineStr">
        <is>
          <t>scelta del software</t>
        </is>
      </c>
      <c r="G169" s="10" t="inlineStr">
        <is>
          <t>scelta del software</t>
        </is>
      </c>
      <c r="H169" s="10" t="inlineStr">
        <is>
          <t>—</t>
        </is>
      </c>
      <c r="I169" s="11" t="n"/>
      <c r="J169" s="11" t="n"/>
      <c r="K169" s="11" t="n"/>
      <c r="L169" s="11" t="n"/>
      <c r="M169" s="11" t="n"/>
      <c r="N169" s="11" t="n"/>
    </row>
    <row r="170" ht="108" customHeight="1">
      <c r="A170" s="10" t="n">
        <v>168</v>
      </c>
      <c r="B170" s="10" t="inlineStr">
        <is>
          <t>Impianto: valori calcolati dai dati inseriti una volta</t>
        </is>
      </c>
      <c r="C170" s="10" t="inlineStr">
        <is>
          <t>Elaborati collegati sul foglio 1</t>
        </is>
      </c>
      <c r="D170" s="10" t="inlineStr">
        <is>
          <t>sopra il cartiglio: «QUOTE IN mm, DA VERIFICARE IN CANTIERE», il numero delle verifiche non superate della tabella e i record da cui la serie è disegnata con l’inizio del loro SHA-256 (il calcolo e il progetto del vano, o il rilievo del locale e il calcolo per una sostituzione); la relazione tecnica della sostituzione cita le tavole emesse con numero, revisione e SHA-256</t>
        </is>
      </c>
      <c r="E170" s="10" t="inlineStr">
        <is>
          <t>UNI 10411-1:2024, App. C (documenti della modifica)</t>
        </is>
      </c>
      <c r="F170" s="10" t="inlineStr">
        <is>
          <t>scelta del software</t>
        </is>
      </c>
      <c r="G170" s="10" t="inlineStr">
        <is>
          <t>scelta del software</t>
        </is>
      </c>
      <c r="H170" s="10" t="inlineStr">
        <is>
          <t>—</t>
        </is>
      </c>
      <c r="I170" s="11" t="n"/>
      <c r="J170" s="11" t="n"/>
      <c r="K170" s="11" t="n"/>
      <c r="L170" s="11" t="n"/>
      <c r="M170" s="11" t="n"/>
      <c r="N170" s="11" t="n"/>
    </row>
    <row r="171" ht="134" customHeight="1">
      <c r="A171" s="10" t="n">
        <v>169</v>
      </c>
      <c r="B171" s="10" t="inlineStr">
        <is>
          <t>Impianto: valori calcolati dai dati inseriti una volta</t>
        </is>
      </c>
      <c r="C171" s="10" t="inlineStr">
        <is>
          <t>File CAD della serie emessa</t>
        </is>
      </c>
      <c r="D171" s="10" t="inlineStr">
        <is>
          <t>DXF (AutoCAD 2007) e DWG (AutoCAD 2000) della serie emessa, ridisegnati dal suo record solo se i motori danno lo stesso disegno: le viste in scala reale, il calcestruzzo campito ANSI31 (linee a 45° a 1,6 mm sul foglio), il foglio 1 alla scala della prima vista con il cartiglio come blocco CARTIGLIO i cui attributi sono numero, revisioni, date, matricola, committente e ubicazione; sotto la prima vista numero, revisione e SHA-256 della serie</t>
        </is>
      </c>
      <c r="E171" s="10" t="inlineStr">
        <is>
          <t>prassi dello scambio dei disegni (blocco del cartiglio con attributi)</t>
        </is>
      </c>
      <c r="F171" s="10" t="inlineStr">
        <is>
          <t>scelta del software</t>
        </is>
      </c>
      <c r="G171" s="10" t="inlineStr">
        <is>
          <t>scelta del software</t>
        </is>
      </c>
      <c r="H171" s="10" t="inlineStr">
        <is>
          <t>—</t>
        </is>
      </c>
      <c r="I171" s="11" t="n"/>
      <c r="J171" s="11" t="n"/>
      <c r="K171" s="11" t="n"/>
      <c r="L171" s="11" t="n"/>
      <c r="M171" s="11" t="n"/>
      <c r="N171" s="11" t="n"/>
    </row>
    <row r="172" ht="238" customHeight="1">
      <c r="A172" s="10" t="n">
        <v>170</v>
      </c>
      <c r="B172" s="10" t="inlineStr">
        <is>
          <t>Impianto: valori calcolati dai dati inseriti una volta</t>
        </is>
      </c>
      <c r="C172" s="10" t="inlineStr">
        <is>
          <t>Lunghezza di taglio delle funi di sospensione — fino a LIFT 1.28.0 e ROOM 1.12.0 il foglio 1 dava la formula arrotondata al metro più vicino, i carichi la formula e la distinta la geometria senza aggiunta: con la macchina in basso circa 3 m di differenza per fune</t>
        </is>
      </c>
      <c r="D172" s="10" t="inlineStr">
        <is>
          <t>per ogni fune la lunghezza misurata sul progetto da attacco ad attacco con la cabina al piano più basso, su tutte le pulegge (puleggia di frizione, rinvio, pulegge in testata della macchina in basso, pulegge della taglia 2:1: tratti rettilinei e archi di avvolgimento), più 1 m per i due attacchi e la regolazione, arrotondata al metro superiore; un calcolo fatto da un progetto del vano la misura sulla geometria di quel progetto con il suo argano; senza il progetto del vano (sostituzione dell’argano) la lunghezza è taglia × (corsa + 2 × tratto oltre la corsa) più deviazione o rinvii. La stessa lunghezza nel foglio 1, nella distinta, nella bozza d’ordine e nella massa delle funi dei carichi sulla macchina; le funi che il collaudo lascia al loro posto il foglio 1 le dà come esistenti (la loro massa nei carichi resta a quella lunghezza)</t>
        </is>
      </c>
      <c r="E172" s="10" t="inlineStr">
        <is>
          <t>—</t>
        </is>
      </c>
      <c r="F172" s="10" t="inlineStr">
        <is>
          <t>prassi di cantiere: la fune si taglia più lunga e si accorcia all’attacco; da misurare in sito prima del taglio</t>
        </is>
      </c>
      <c r="G172" s="10" t="inlineStr">
        <is>
          <t>prassi di cantiere</t>
        </is>
      </c>
      <c r="H172" s="10" t="inlineStr">
        <is>
          <t>—</t>
        </is>
      </c>
      <c r="I172" s="11" t="n"/>
      <c r="J172" s="11" t="n"/>
      <c r="K172" s="11" t="n"/>
      <c r="L172" s="11" t="n"/>
      <c r="M172" s="11" t="n"/>
      <c r="N172" s="11" t="n"/>
    </row>
    <row r="173" ht="316" customHeight="1">
      <c r="A173" s="10" t="n">
        <v>171</v>
      </c>
      <c r="B173" s="10" t="inlineStr">
        <is>
          <t>Impianto: valori calcolati dai dati inseriti una volta</t>
        </is>
      </c>
      <c r="C173" s="10" t="inlineStr">
        <is>
          <t>Macchina in basso accanto al vano: albero lento prolungato — come le quote A e B delle schede corrispondono allo sbalzo del progetto non è detto: il carico statico ammesso per lo sbalzo indicato va confermato con il costruttore prima dell’ordine. Nel calcolatore della sostituzione, che non conosce lo schema, la macchina in basso è presa accanto al vano</t>
        </is>
      </c>
      <c r="D173" s="10" t="inlineStr">
        <is>
          <t>con la macchina nel locale accanto al vano (rinvii in testata o locale pulegge) la puleggia di frizione sta nel vano, sull’albero lento che attraversa il muro: la proposta da un catalogo e il confronto tra SICOR e Montanari prendono solo le varianti ad albero lungo (SICOR LS, Montanari AL) o con supporto esterno (SICOR TS, Montanari S e i modelli con supporto, GEM L e CL, FAER P58F), con il carico statico ammesso con l’albero più lungo della scheda (SICOR SH140LS 1500 kg, SH160LS 3200 kg) o, se la scheda ne dà uno solo, quello del catalogo; un argano standard scelto per nome non si prende (lo schermo lo dice e nomina le varianti del costruttore). La bozza d’ordine riporta il piano medio della puleggia dalla faccia del muro verso il vano (la distanza dei rami dalla parete della voce impianto.basso.schema più metà del pacco funi), il muro attraversato, lo sbalzo minimo dalla faccia del riduttore a 50 mm dal muro e il supporto esterno; l’allungamento dell’albero rispetto al disegno del costruttore solo per un argano disegnato com’è che non sia già la variante ad albero lungo. Con la macchina sotto la fossa vale ogni argano</t>
        </is>
      </c>
      <c r="E173" s="10" t="inlineStr">
        <is>
          <t>ricerca, capitolo 17 §2.1 (SICOR LS: carico statico per lunghezza dell’albero A e quota B) e §3 (Montanari AL e S)</t>
        </is>
      </c>
      <c r="F173" s="10" t="inlineStr">
        <is>
          <t>brochure SICOR Geared 2026, pp. 59 e 69; schede Montanari M73, M75, M93 e M98 (documenti del costruttore); scelta del software</t>
        </is>
      </c>
      <c r="G173" s="10" t="inlineStr">
        <is>
          <t>da verificare</t>
        </is>
      </c>
      <c r="H173" s="10" t="inlineStr">
        <is>
          <t>—</t>
        </is>
      </c>
      <c r="I173" s="11" t="n"/>
      <c r="J173" s="11" t="n"/>
      <c r="K173" s="11" t="n"/>
      <c r="L173" s="11" t="n"/>
      <c r="M173" s="11" t="n"/>
      <c r="N173" s="11" t="n"/>
    </row>
    <row r="174" ht="251" customHeight="1">
      <c r="A174" s="10" t="n">
        <v>172</v>
      </c>
      <c r="B174" s="10" t="inlineStr">
        <is>
          <t>Impianto: valori calcolati dai dati inseriti una volta</t>
        </is>
      </c>
      <c r="C174" s="10" t="inlineStr">
        <is>
          <t>Protezioni ACOP e UCM nella bozza d’ordine e nella distinta — la soluzione la sceglie il progettista con il costruttore: il software non verifica l’organo d’arresto né lo spazio d’arresto</t>
        </is>
      </c>
      <c r="D174" s="10" t="inlineStr">
        <is>
          <t>impianto nuovo (UNI EN 81-20/50): la bozza d’ordine chiede come si realizzano la protezione contro la sovravelocità in salita e quella contro i movimenti incontrollati, con l’organo d’arresto su cabina, contrappeso, funi, puleggia di frizione o albero della puleggia sostenuto in due soli punti — mai il freno sull’albero del motore di un argano con riduttore —: freno sull’albero lento o sulla puleggia certificato, bloccafuni certificato, oppure paracadute di cabina bidirezionale con il rilevamento dei movimenti incontrollati nel quadro; il numero del certificato di esame UE del tipo e i microinterruttori di controllo del freno; la distinta conta un dispositivo. Modifica con l’argano sostituito: la bozza chiede che le protezioni esistenti continuino a funzionare e, senza UCM conforme, il controllo dell’apertura del freno; con la UNI 10411-11 la distinta conta il loro adeguamento</t>
        </is>
      </c>
      <c r="E174" s="10" t="inlineStr">
        <is>
          <t>UNI EN 81-20:2020, 5.6.6.2, 5.6.6.4, 5.6.6.11, 5.6.7.3, 5.6.7.4, 5.6.7.13 e 6.3.11–6.3.13; UNI 10411-1:2024, 14.4 c), d) e g); UNI 10411-11:2024, 14.3 a) e b), appendice A (14)</t>
        </is>
      </c>
      <c r="F174" s="10" t="inlineStr">
        <is>
          <t>UNI EN 81-20:2020, testo della norma, letto il 2026-10-06, pp. 89–93; UNI 10411-1:2024, testo della norma, letto il 2026-10-06, p. 14; UNI 10411-11:2024, testo della norma, letto il 2026-10-06, p. 12; scelta del software (le righe dell’ordine e della distinta)</t>
        </is>
      </c>
      <c r="G174" s="10" t="inlineStr">
        <is>
          <t>scelta del software</t>
        </is>
      </c>
      <c r="H174" s="10" t="inlineStr">
        <is>
          <t>—</t>
        </is>
      </c>
      <c r="I174" s="11" t="n"/>
      <c r="J174" s="11" t="n"/>
      <c r="K174" s="11" t="n"/>
      <c r="L174" s="11" t="n"/>
      <c r="M174" s="11" t="n"/>
      <c r="N174" s="11" t="n"/>
    </row>
    <row r="175" ht="160" customHeight="1">
      <c r="A175" s="10" t="n">
        <v>173</v>
      </c>
      <c r="B175" s="10" t="inlineStr">
        <is>
          <t>Impianto: valori calcolati dai dati inseriti una volta</t>
        </is>
      </c>
      <c r="C175" s="10" t="inlineStr">
        <is>
          <t>Esecuzione dell’argano (destra o sinistra) nella bozza d’ordine — la mano segnata va confermata con lo schema di esecuzione del costruttore prima dell’ordine</t>
        </is>
      </c>
      <c r="D175" s="10" t="inlineStr">
        <is>
          <t>dalla geometria del progetto: guardando l’argano dal lato della puleggia, destra se il motore sta a destra, sinistra se sta a sinistra, come lo disegnano la pianta del locale, il piano della macchina in basso e il 3D (girato di 180° resta della stessa mano); il lato del motore è quello della forma dell’argano (lo SICOR SV110, a vite verticale, ha il motore dall’altra parte dell’asse della puleggia rispetto agli argani a vite orizzontale e all’argano generico); senza la geometria (calcolo senza progetto del vano) la casella resta da segnare</t>
        </is>
      </c>
      <c r="E175" s="10" t="inlineStr">
        <is>
          <t>—</t>
        </is>
      </c>
      <c r="F175" s="10" t="inlineStr">
        <is>
          <t>scelta del software: la convenzione di destra e sinistra cambia tra i costruttori</t>
        </is>
      </c>
      <c r="G175" s="10" t="inlineStr">
        <is>
          <t>scelta del software</t>
        </is>
      </c>
      <c r="H175" s="10" t="inlineStr">
        <is>
          <t>—</t>
        </is>
      </c>
      <c r="I175" s="11" t="n"/>
      <c r="J175" s="11" t="n"/>
      <c r="K175" s="11" t="n"/>
      <c r="L175" s="11" t="n"/>
      <c r="M175" s="11" t="n"/>
      <c r="N175" s="11" t="n"/>
    </row>
    <row r="176" ht="238" customHeight="1">
      <c r="A176" s="10" t="n">
        <v>174</v>
      </c>
      <c r="B176" s="10" t="inlineStr">
        <is>
          <t>Impianto: valori calcolati dai dati inseriti una volta</t>
        </is>
      </c>
      <c r="C176" s="10" t="inlineStr">
        <is>
          <t>Distinta dei materiali del progetto</t>
        </is>
      </c>
      <c r="D176" s="10" t="inlineStr">
        <is>
          <t>guide in barre da 5 m (per guida le barre dal fondo della fossa alla soletta, l’ultima tagliata) con una giunzione tra due barre; funi alla lunghezza di taglio (voce impianto.funi.taglio) con due attacchi a cuneo con molla per fune; fune del limitatore come nel foglio 1; paracadute di cabina del tipo dei dati dell’impianto (senza dato progressivo, come nel foglio 1); due pattini per guida di cabina e di contrappeso; in taglia 2:1 la puleggia della cabina e quella del contrappeso, l’arcata e il contrappeso per la taglia 2:1 e due attacchi fissi sotto la soletta; con la macchina in basso le pulegge in testata con il loro telaio e il basamento dell’argano ancorato contro il sollevamento netto della prova; nella modifica secondo UNI 10411 solo le parti che il collaudo indica come sostituite (le altre restano, come nel foglio 1) e la manodopera a corpo</t>
        </is>
      </c>
      <c r="E176" s="10" t="inlineStr">
        <is>
          <t>UNI EN 81-20:2020, 5.5.5.1 (uguagliamento automatico delle tensioni almeno a un’estremità delle funi)</t>
        </is>
      </c>
      <c r="F176" s="10" t="inlineStr">
        <is>
          <t>UNI EN 81-20:2020, testo della norma, letto il 2026-10-06, p. 75; scelta del software (le quantità)</t>
        </is>
      </c>
      <c r="G176" s="10" t="inlineStr">
        <is>
          <t>scelta del software</t>
        </is>
      </c>
      <c r="H176" s="10" t="inlineStr">
        <is>
          <t>—</t>
        </is>
      </c>
      <c r="I176" s="11" t="n"/>
      <c r="J176" s="11" t="n"/>
      <c r="K176" s="11" t="n"/>
      <c r="L176" s="11" t="n"/>
      <c r="M176" s="11" t="n"/>
      <c r="N176" s="11" t="n"/>
    </row>
    <row r="177" ht="69" customHeight="1">
      <c r="A177" s="10" t="n">
        <v>175</v>
      </c>
      <c r="B177" s="10" t="inlineStr">
        <is>
          <t>Simulazione nel tempo (3D e grafici)</t>
        </is>
      </c>
      <c r="C177" s="10" t="inlineStr">
        <is>
          <t>Forze nella simulazione — agli estremi della corsa e alle accelerazioni della verifica i valori coincidono con quelli della verifica (test automatico)</t>
        </is>
      </c>
      <c r="D177" s="10" t="inlineStr">
        <is>
          <t>tiri delle funi, T1/T2, e^(f·α), coppie e decelerazione del freno con le stesse funzioni della verifica (modello delle funi del motore di calcolo), valutate istante per istante con la posizione e l’accelerazione della cabina</t>
        </is>
      </c>
      <c r="E177" s="10" t="inlineStr">
        <is>
          <t>UNI EN 81-50:2020, 5.11 (aderenza); ricerca, capitolo 4</t>
        </is>
      </c>
      <c r="F177" s="10" t="inlineStr">
        <is>
          <t>motore di calcolo (src/calc/model.ts)</t>
        </is>
      </c>
      <c r="G177" s="10" t="inlineStr">
        <is>
          <t>derivazione</t>
        </is>
      </c>
      <c r="H177" s="10" t="inlineStr">
        <is>
          <t>—</t>
        </is>
      </c>
      <c r="I177" s="11" t="n"/>
      <c r="J177" s="11" t="n"/>
      <c r="K177" s="11" t="n"/>
      <c r="L177" s="11" t="n"/>
      <c r="M177" s="11" t="n"/>
      <c r="N177" s="11" t="n"/>
    </row>
    <row r="178" ht="56" customHeight="1">
      <c r="A178" s="10" t="n">
        <v>176</v>
      </c>
      <c r="B178" s="10" t="inlineStr">
        <is>
          <t>Simulazione nel tempo (3D e grafici)</t>
        </is>
      </c>
      <c r="C178" s="10" t="inlineStr">
        <is>
          <t>Profilo del moto tra i piani — accelerazione e strappo sono dati di progetto dell’azionamento, non limiti normativi</t>
        </is>
      </c>
      <c r="D178" s="10" t="inlineStr">
        <is>
          <t>profilo a strappo limitato: velocità nominale, accelerazione di progetto e strappo 1 m/s³; se il tragitto è corto, la velocità più alta che ci sta</t>
        </is>
      </c>
      <c r="E178" s="10" t="inlineStr">
        <is>
          <t>ISO 18738-1:2012 (misura della qualità di marcia, nessun limite)</t>
        </is>
      </c>
      <c r="F178" s="10" t="inlineStr">
        <is>
          <t>scelta del software</t>
        </is>
      </c>
      <c r="G178" s="10" t="inlineStr">
        <is>
          <t>scelta del software</t>
        </is>
      </c>
      <c r="H178" s="10" t="inlineStr">
        <is>
          <t>—</t>
        </is>
      </c>
      <c r="I178" s="11" t="n"/>
      <c r="J178" s="11" t="n"/>
      <c r="K178" s="11" t="n"/>
      <c r="L178" s="11" t="n"/>
      <c r="M178" s="11" t="n"/>
      <c r="N178" s="11" t="n"/>
    </row>
    <row r="179" ht="69" customHeight="1">
      <c r="A179" s="10" t="n">
        <v>177</v>
      </c>
      <c r="B179" s="10" t="inlineStr">
        <is>
          <t>Simulazione nel tempo (3D e grafici)</t>
        </is>
      </c>
      <c r="C179" s="10" t="inlineStr">
        <is>
          <t>Limite di aderenza mostrato durante la marcia</t>
        </is>
      </c>
      <c r="D179" s="10" t="inlineStr">
        <is>
          <t>e^(f·α) con il coefficiente d’attrito della frenatura (μ ridotto con la velocità delle funi): il confronto è indicativo (oltre il limite: avviso, non verifica fallita), la verifica resta quella dei casi della norma</t>
        </is>
      </c>
      <c r="E179" s="10" t="inlineStr">
        <is>
          <t>UNI EN 81-50:2020, 5.11.1 e 5.11.2.3.2 (μ della frenatura)</t>
        </is>
      </c>
      <c r="F179" s="10" t="inlineStr">
        <is>
          <t>scelta del software</t>
        </is>
      </c>
      <c r="G179" s="10" t="inlineStr">
        <is>
          <t>scelta del software</t>
        </is>
      </c>
      <c r="H179" s="10" t="inlineStr">
        <is>
          <t>—</t>
        </is>
      </c>
      <c r="I179" s="11" t="n"/>
      <c r="J179" s="11" t="n"/>
      <c r="K179" s="11" t="n"/>
      <c r="L179" s="11" t="n"/>
      <c r="M179" s="11" t="n"/>
      <c r="N179" s="11" t="n"/>
    </row>
    <row r="180" ht="108" customHeight="1">
      <c r="A180" s="10" t="n">
        <v>178</v>
      </c>
      <c r="B180" s="10" t="inlineStr">
        <is>
          <t>Simulazione nel tempo (3D e grafici)</t>
        </is>
      </c>
      <c r="C180" s="10" t="inlineStr">
        <is>
          <t>Tempi delle porte — La norma non dà tempi: per le porte automatiche orizzontali dà l’energia cinetica (≤ 10 J, ≤ 4 J con il dispositivo di protezione escluso) e la forza contro la chiusura (≤ 150 N) (UNI EN 81-20:2020, 5.3.6.2.2.1), dati del fornitore delle porte.</t>
        </is>
      </c>
      <c r="D180" s="10" t="inlineStr">
        <is>
          <t>apertura 2,5 s, chiusura 3 s, sosta a porte aperte 3 s, partenza 0,5 s dopo la chiusura</t>
        </is>
      </c>
      <c r="E180" s="10" t="inlineStr">
        <is>
          <t>—</t>
        </is>
      </c>
      <c r="F180" s="10" t="inlineStr">
        <is>
          <t>scelta del software (solo animazione)</t>
        </is>
      </c>
      <c r="G180" s="10" t="inlineStr">
        <is>
          <t>scelta del software</t>
        </is>
      </c>
      <c r="H180" s="10" t="inlineStr">
        <is>
          <t>—</t>
        </is>
      </c>
      <c r="I180" s="11" t="n"/>
      <c r="J180" s="11" t="n"/>
      <c r="K180" s="11" t="n"/>
      <c r="L180" s="11" t="n"/>
      <c r="M180" s="11" t="n"/>
      <c r="N180" s="11" t="n"/>
    </row>
    <row r="181" ht="212" customHeight="1">
      <c r="A181" s="10" t="n">
        <v>179</v>
      </c>
      <c r="B181" s="10" t="inlineStr">
        <is>
          <t>Simulazione nel tempo (3D e grafici)</t>
        </is>
      </c>
      <c r="C181"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t>
        </is>
      </c>
      <c r="D181"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81" s="10" t="inlineStr">
        <is>
          <t>UNI EN 81-20:2020, 5.8.2.1.1.1–5.8.2.1.1.2 (urto al 115 %; corsa piena con un carico statico tra 2,5 e 4 volte: il software prende 4), 5.8.2.1.2.2 (90 %), 5.8.2.2.1 e 5.8.2.2.3 a)</t>
        </is>
      </c>
      <c r="F181" s="10" t="inlineStr">
        <is>
          <t>UNI EN 81-20:2020, testo della norma, letto il 2026-10-06, pp. 98–99</t>
        </is>
      </c>
      <c r="G181" s="10" t="inlineStr">
        <is>
          <t>scelta del software</t>
        </is>
      </c>
      <c r="H181" s="10" t="inlineStr">
        <is>
          <t>—</t>
        </is>
      </c>
      <c r="I181" s="11" t="n"/>
      <c r="J181" s="11" t="n"/>
      <c r="K181" s="11" t="n"/>
      <c r="L181" s="11" t="n"/>
      <c r="M181" s="11" t="n"/>
      <c r="N181" s="11" t="n"/>
    </row>
    <row r="182" ht="82" customHeight="1">
      <c r="A182" s="10" t="n">
        <v>180</v>
      </c>
      <c r="B182" s="10" t="inlineStr">
        <is>
          <t>Simulazione nel tempo (3D e grafici)</t>
        </is>
      </c>
      <c r="C182" s="10" t="inlineStr">
        <is>
          <t>Cabina bloccata: rotazione in salita — La simulazione mostra il contrappeso sugli ammortizzatori con la cabina in alto; la norma chiede anche la cabina vuota in basso, che il calcolo verifica (tr_stall).</t>
        </is>
      </c>
      <c r="D182" s="10" t="inlineStr">
        <is>
          <t>la macchina gira in salita a 0,3 m/s finché il contrappeso poggia sui suoi ammortizzatori; poi le funi devono slittare (T1/T2 ≥ e^(f·α), μ della cabina bloccata)</t>
        </is>
      </c>
      <c r="E182" s="10" t="inlineStr">
        <is>
          <t>UNI EN 81-50:2020, 5.11.2.2.3</t>
        </is>
      </c>
      <c r="F182" s="10" t="inlineStr">
        <is>
          <t>motore di calcolo; velocità scelta dal software</t>
        </is>
      </c>
      <c r="G182" s="10" t="inlineStr">
        <is>
          <t>scelta del software</t>
        </is>
      </c>
      <c r="H182" s="10" t="inlineStr">
        <is>
          <t>—</t>
        </is>
      </c>
      <c r="I182" s="11" t="n"/>
      <c r="J182" s="11" t="n"/>
      <c r="K182" s="11" t="n"/>
      <c r="L182" s="11" t="n"/>
      <c r="M182" s="11" t="n"/>
      <c r="N182" s="11" t="n"/>
    </row>
    <row r="183" ht="43" customHeight="1">
      <c r="A183" s="10" t="n">
        <v>181</v>
      </c>
      <c r="B183" s="10" t="inlineStr">
        <is>
          <t>Simulazione nel tempo (3D e grafici)</t>
        </is>
      </c>
      <c r="C183" s="10" t="inlineStr">
        <is>
          <t>Passo di campionamento</t>
        </is>
      </c>
      <c r="D183" s="10" t="inlineStr">
        <is>
          <t>0,02 s; tra due campioni i valori sono interpolati linearmente</t>
        </is>
      </c>
      <c r="E183" s="10" t="inlineStr">
        <is>
          <t>—</t>
        </is>
      </c>
      <c r="F183" s="10" t="inlineStr">
        <is>
          <t>scelta del software</t>
        </is>
      </c>
      <c r="G183" s="10" t="inlineStr">
        <is>
          <t>scelta del software</t>
        </is>
      </c>
      <c r="H183" s="10" t="inlineStr">
        <is>
          <t>—</t>
        </is>
      </c>
      <c r="I183" s="11" t="n"/>
      <c r="J183" s="11" t="n"/>
      <c r="K183" s="11" t="n"/>
      <c r="L183" s="11" t="n"/>
      <c r="M183" s="11" t="n"/>
      <c r="N183" s="11" t="n"/>
    </row>
    <row r="184" ht="56" customHeight="1">
      <c r="A184" s="10" t="n">
        <v>182</v>
      </c>
      <c r="B184" s="10" t="inlineStr">
        <is>
          <t>Collaudo: adempimenti del DPR 162/1999 (impianto nuovo)</t>
        </is>
      </c>
      <c r="C184" s="10" t="inlineStr">
        <is>
          <t>DPR 162/1999, art. 4-bis</t>
        </is>
      </c>
      <c r="D184" s="10" t="inlineStr">
        <is>
          <t>progetto, fabbricazione, installazione e prove conformi all’All. I; documentazione tecnica e dichiarazione di conformità conservate per 10 anni</t>
        </is>
      </c>
      <c r="E184" s="10" t="inlineStr">
        <is>
          <t>DPR 162/1999, art. 4-bis</t>
        </is>
      </c>
      <c r="F184" s="10" t="inlineStr">
        <is>
          <t>ricerca, cap. 16 (testi ufficiali e schede UNI, 2026-10-02)</t>
        </is>
      </c>
      <c r="G184" s="10" t="inlineStr">
        <is>
          <t>confermato</t>
        </is>
      </c>
      <c r="H184" s="10" t="inlineStr">
        <is>
          <t>—</t>
        </is>
      </c>
      <c r="I184" s="11" t="n"/>
      <c r="J184" s="11" t="n"/>
      <c r="K184" s="11" t="n"/>
      <c r="L184" s="11" t="n"/>
      <c r="M184" s="11" t="n"/>
      <c r="N184" s="11" t="n"/>
    </row>
    <row r="185" ht="56" customHeight="1">
      <c r="A185" s="10" t="n">
        <v>183</v>
      </c>
      <c r="B185" s="10" t="inlineStr">
        <is>
          <t>Collaudo: adempimenti del DPR 162/1999 (impianto nuovo)</t>
        </is>
      </c>
      <c r="C185" s="10" t="inlineStr">
        <is>
          <t>DPR 162/1999 e s.m.i., artt. 6-bis e 7 c.3</t>
        </is>
      </c>
      <c r="D185" s="10" t="inlineStr">
        <is>
          <t>procedura con un organismo notificato (ascensore modello con esame UE del tipo, All. IV B, più All. V, X o XII; oppure All. VIII o XI); marcatura CE in cabina con il numero dell’organismo</t>
        </is>
      </c>
      <c r="E185" s="10" t="inlineStr">
        <is>
          <t>DPR 162/1999 e s.m.i., artt. 6-bis e 7 c.3</t>
        </is>
      </c>
      <c r="F185" s="10" t="inlineStr">
        <is>
          <t>ricerca, cap. 16 (testi ufficiali e schede UNI, 2026-10-02)</t>
        </is>
      </c>
      <c r="G185" s="10" t="inlineStr">
        <is>
          <t>confermato</t>
        </is>
      </c>
      <c r="H185" s="10" t="inlineStr">
        <is>
          <t>—</t>
        </is>
      </c>
      <c r="I185" s="11" t="n"/>
      <c r="J185" s="11" t="n"/>
      <c r="K185" s="11" t="n"/>
      <c r="L185" s="11" t="n"/>
      <c r="M185" s="11" t="n"/>
      <c r="N185" s="11" t="n"/>
    </row>
    <row r="186" ht="56" customHeight="1">
      <c r="A186" s="10" t="n">
        <v>184</v>
      </c>
      <c r="B186" s="10" t="inlineStr">
        <is>
          <t>Collaudo: adempimenti del DPR 162/1999 (impianto nuovo)</t>
        </is>
      </c>
      <c r="C186" s="10" t="inlineStr">
        <is>
          <t>DPR 162/1999 e s.m.i., art. 12 c.1–3</t>
        </is>
      </c>
      <c r="D186" s="10" t="inlineStr">
        <is>
          <t>comunicazione al Comune entro 60 giorni dalla dichiarazione di conformità (oltre: con il verbale di una verifica straordinaria di attivazione); matricola entro 30 giorni</t>
        </is>
      </c>
      <c r="E186" s="10" t="inlineStr">
        <is>
          <t>DPR 162/1999 e s.m.i., art. 12 c.1–3</t>
        </is>
      </c>
      <c r="F186" s="10" t="inlineStr">
        <is>
          <t>ricerca, cap. 16 (testi ufficiali e schede UNI, 2026-10-02)</t>
        </is>
      </c>
      <c r="G186" s="10" t="inlineStr">
        <is>
          <t>confermato</t>
        </is>
      </c>
      <c r="H186" s="10" t="inlineStr">
        <is>
          <t>—</t>
        </is>
      </c>
      <c r="I186" s="11" t="n"/>
      <c r="J186" s="11" t="n"/>
      <c r="K186" s="11" t="n"/>
      <c r="L186" s="11" t="n"/>
      <c r="M186" s="11" t="n"/>
      <c r="N186" s="11" t="n"/>
    </row>
    <row r="187" ht="56" customHeight="1">
      <c r="A187" s="10" t="n">
        <v>185</v>
      </c>
      <c r="B187" s="10" t="inlineStr">
        <is>
          <t>Collaudo: adempimenti del DPR 162/1999 (impianto nuovo)</t>
        </is>
      </c>
      <c r="C187" s="10" t="inlineStr">
        <is>
          <t>DPR 162/1999, artt. 13, 15 c.4 e 16 c.3</t>
        </is>
      </c>
      <c r="D187" s="10" t="inlineStr">
        <is>
          <t>verifiche periodiche ogni 2 anni; controllo dei dispositivi di sicurezza, delle funi e dell’isolamento almeno ogni 6 mesi; targa in cabina</t>
        </is>
      </c>
      <c r="E187" s="10" t="inlineStr">
        <is>
          <t>DPR 162/1999, artt. 13, 15 c.4 e 16 c.3</t>
        </is>
      </c>
      <c r="F187" s="10" t="inlineStr">
        <is>
          <t>ricerca, cap. 16 (testi ufficiali e schede UNI, 2026-10-02)</t>
        </is>
      </c>
      <c r="G187" s="10" t="inlineStr">
        <is>
          <t>confermato</t>
        </is>
      </c>
      <c r="H187" s="10" t="inlineStr">
        <is>
          <t>—</t>
        </is>
      </c>
      <c r="I187" s="11" t="n"/>
      <c r="J187" s="11" t="n"/>
      <c r="K187" s="11" t="n"/>
      <c r="L187" s="11" t="n"/>
      <c r="M187" s="11" t="n"/>
      <c r="N187" s="11" t="n"/>
    </row>
    <row r="188" ht="43" customHeight="1">
      <c r="A188" s="10" t="n">
        <v>186</v>
      </c>
      <c r="B188" s="10" t="inlineStr">
        <is>
          <t>Collaudo: adempimenti del DPR 162/1999 (modifica)</t>
        </is>
      </c>
      <c r="C188" s="10" t="inlineStr">
        <is>
          <t>DPR 162/1999, art. 2 c.1 lett. cc)</t>
        </is>
      </c>
      <c r="D188" s="10" t="inlineStr">
        <is>
          <t>la modifica è costruttiva: la sostituzione del macchinario ne è il caso n. 5)</t>
        </is>
      </c>
      <c r="E188" s="10" t="inlineStr">
        <is>
          <t>DPR 162/1999, art. 2 c.1 lett. cc)</t>
        </is>
      </c>
      <c r="F188" s="10" t="inlineStr">
        <is>
          <t>ricerca, cap. 16 (testi ufficiali e schede UNI, 2026-10-02)</t>
        </is>
      </c>
      <c r="G188" s="10" t="inlineStr">
        <is>
          <t>confermato</t>
        </is>
      </c>
      <c r="H188" s="10" t="inlineStr">
        <is>
          <t>—</t>
        </is>
      </c>
      <c r="I188" s="11" t="n"/>
      <c r="J188" s="11" t="n"/>
      <c r="K188" s="11" t="n"/>
      <c r="L188" s="11" t="n"/>
      <c r="M188" s="11" t="n"/>
      <c r="N188" s="11" t="n"/>
    </row>
    <row r="189" ht="43" customHeight="1">
      <c r="A189" s="10" t="n">
        <v>187</v>
      </c>
      <c r="B189" s="10" t="inlineStr">
        <is>
          <t>Collaudo: adempimenti del DPR 162/1999 (modifica)</t>
        </is>
      </c>
      <c r="C189" s="10" t="inlineStr">
        <is>
          <t>DPR 162/1999, art. 12 c.4</t>
        </is>
      </c>
      <c r="D189" s="10" t="inlineStr">
        <is>
          <t>prima della comunicazione, adeguamento della parte modificata o sostituita e delle altre parti interessate</t>
        </is>
      </c>
      <c r="E189" s="10" t="inlineStr">
        <is>
          <t>DPR 162/1999, art. 12 c.4</t>
        </is>
      </c>
      <c r="F189" s="10" t="inlineStr">
        <is>
          <t>ricerca, cap. 16 (testi ufficiali e schede UNI, 2026-10-02)</t>
        </is>
      </c>
      <c r="G189" s="10" t="inlineStr">
        <is>
          <t>confermato</t>
        </is>
      </c>
      <c r="H189" s="10" t="inlineStr">
        <is>
          <t>—</t>
        </is>
      </c>
      <c r="I189" s="11" t="n"/>
      <c r="J189" s="11" t="n"/>
      <c r="K189" s="11" t="n"/>
      <c r="L189" s="11" t="n"/>
      <c r="M189" s="11" t="n"/>
      <c r="N189" s="11" t="n"/>
    </row>
    <row r="190" ht="43" customHeight="1">
      <c r="A190" s="10" t="n">
        <v>188</v>
      </c>
      <c r="B190" s="10" t="inlineStr">
        <is>
          <t>Collaudo: adempimenti del DPR 162/1999 (modifica)</t>
        </is>
      </c>
      <c r="C190" s="10" t="inlineStr">
        <is>
          <t>DPR 162/1999, art. 12 c.4–5</t>
        </is>
      </c>
      <c r="D190" s="10" t="inlineStr">
        <is>
          <t>comunicazione al Comune e al soggetto delle verifiche periodiche; l’impianto non resta in esercizio senza le comunicazioni aggiornate</t>
        </is>
      </c>
      <c r="E190" s="10" t="inlineStr">
        <is>
          <t>DPR 162/1999, art. 12 c.4–5</t>
        </is>
      </c>
      <c r="F190" s="10" t="inlineStr">
        <is>
          <t>ricerca, cap. 16 (testi ufficiali e schede UNI, 2026-10-02)</t>
        </is>
      </c>
      <c r="G190" s="10" t="inlineStr">
        <is>
          <t>confermato</t>
        </is>
      </c>
      <c r="H190" s="10" t="inlineStr">
        <is>
          <t>—</t>
        </is>
      </c>
      <c r="I190" s="11" t="n"/>
      <c r="J190" s="11" t="n"/>
      <c r="K190" s="11" t="n"/>
      <c r="L190" s="11" t="n"/>
      <c r="M190" s="11" t="n"/>
      <c r="N190" s="11" t="n"/>
    </row>
    <row r="191" ht="69" customHeight="1">
      <c r="A191" s="10" t="n">
        <v>189</v>
      </c>
      <c r="B191" s="10" t="inlineStr">
        <is>
          <t>Collaudo: adempimenti del DPR 162/1999 (modifica)</t>
        </is>
      </c>
      <c r="C191" s="10" t="inlineStr">
        <is>
          <t>DPR 162/1999 e s.m.i., art. 14 c.3; schema ICIM SCI 162 rev. 02</t>
        </is>
      </c>
      <c r="D191" s="10" t="inlineStr">
        <is>
          <t>verifica straordinaria da uno dei soggetti dell’art. 13 c.1 (la legge); secondo lo schema ICIM è di norma limitata ai controlli sulle modifiche, con la documentazione delle modifiche e dei componenti sostituiti</t>
        </is>
      </c>
      <c r="E191" s="10" t="inlineStr">
        <is>
          <t>DPR 162/1999 e s.m.i., art. 14 c.3; schema ICIM SCI 162 rev. 02</t>
        </is>
      </c>
      <c r="F191" s="10" t="inlineStr">
        <is>
          <t>ricerca, cap. 16 (testi ufficiali e schede UNI, 2026-10-02)</t>
        </is>
      </c>
      <c r="G191" s="10" t="inlineStr">
        <is>
          <t>confermato</t>
        </is>
      </c>
      <c r="H191" s="10" t="inlineStr">
        <is>
          <t>—</t>
        </is>
      </c>
      <c r="I191" s="11" t="n"/>
      <c r="J191" s="11" t="n"/>
      <c r="K191" s="11" t="n"/>
      <c r="L191" s="11" t="n"/>
      <c r="M191" s="11" t="n"/>
      <c r="N191" s="11" t="n"/>
    </row>
    <row r="192" ht="82" customHeight="1">
      <c r="A192" s="10" t="n">
        <v>190</v>
      </c>
      <c r="B192" s="10" t="inlineStr">
        <is>
          <t>Collaudo: adempimenti del DPR 162/1999 (modifica)</t>
        </is>
      </c>
      <c r="C192" s="10" t="inlineStr">
        <is>
          <t>UNI 10411-1:2024 e UNI 10411-11:2024, 25</t>
        </is>
      </c>
      <c r="D192"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192" s="10" t="inlineStr">
        <is>
          <t>UNI 10411-1:2024 e UNI 10411-11:2024, 25</t>
        </is>
      </c>
      <c r="F192" s="10" t="inlineStr">
        <is>
          <t>testo della norma, letto il 2026-10-06 (punti e valori con parole nostre)</t>
        </is>
      </c>
      <c r="G192" s="10" t="inlineStr">
        <is>
          <t>confermato</t>
        </is>
      </c>
      <c r="H192" s="10" t="inlineStr">
        <is>
          <t>—</t>
        </is>
      </c>
      <c r="I192" s="11" t="n"/>
      <c r="J192" s="11" t="n"/>
      <c r="K192" s="11" t="n"/>
      <c r="L192" s="11" t="n"/>
      <c r="M192" s="11" t="n"/>
      <c r="N192" s="11" t="n"/>
    </row>
    <row r="193" ht="56" customHeight="1">
      <c r="A193" s="10" t="n">
        <v>191</v>
      </c>
      <c r="B193" s="10" t="inlineStr">
        <is>
          <t>Collaudo: UNI EN 81-20:2020 e UNI EN 81-50:2020</t>
        </is>
      </c>
      <c r="C193" s="10" t="inlineStr">
        <is>
          <t>DPR 162/1999, All. V 3.3 (All. VIII 4)</t>
        </is>
      </c>
      <c r="D193" s="10" t="inlineStr">
        <is>
          <t>prove dell’organismo notificato: funzionamento a vuoto e a pieno carico, in mancanza di energia, prova statica a 1,25 volte la portata e controllo che non restino deformazioni</t>
        </is>
      </c>
      <c r="E193" s="10" t="inlineStr">
        <is>
          <t>DPR 162/1999, All. V 3.3 (All. VIII 4)</t>
        </is>
      </c>
      <c r="F193" s="10" t="inlineStr">
        <is>
          <t>ricerca, cap. 16 (testi ufficiali e schede UNI, 2026-10-02)</t>
        </is>
      </c>
      <c r="G193" s="10" t="inlineStr">
        <is>
          <t>confermato</t>
        </is>
      </c>
      <c r="H193" s="10" t="inlineStr">
        <is>
          <t>—</t>
        </is>
      </c>
      <c r="I193" s="11" t="n"/>
      <c r="J193" s="11" t="n"/>
      <c r="K193" s="11" t="n"/>
      <c r="L193" s="11" t="n"/>
      <c r="M193" s="11" t="n"/>
      <c r="N193" s="11" t="n"/>
    </row>
    <row r="194" ht="56" customHeight="1">
      <c r="A194" s="10" t="n">
        <v>192</v>
      </c>
      <c r="B194" s="10" t="inlineStr">
        <is>
          <t>Collaudo: UNI EN 81-20:2020 e UNI EN 81-50:2020</t>
        </is>
      </c>
      <c r="C194" s="10" t="inlineStr">
        <is>
          <t>DPR 162/1999, All. VIII 3 e), g), h)</t>
        </is>
      </c>
      <c r="D194" s="10" t="inlineStr">
        <is>
          <t>documentazione tecnica con i risultati dei calcoli di progetto, le relazioni sulle prove e l’elenco delle norme armonizzate applicate, anche in parte</t>
        </is>
      </c>
      <c r="E194" s="10" t="inlineStr">
        <is>
          <t>DPR 162/1999, All. VIII 3 e), g), h)</t>
        </is>
      </c>
      <c r="F194" s="10" t="inlineStr">
        <is>
          <t>ricerca, cap. 16 (testi ufficiali e schede UNI, 2026-10-02)</t>
        </is>
      </c>
      <c r="G194" s="10" t="inlineStr">
        <is>
          <t>confermato</t>
        </is>
      </c>
      <c r="H194" s="10" t="inlineStr">
        <is>
          <t>—</t>
        </is>
      </c>
      <c r="I194" s="11" t="n"/>
      <c r="J194" s="11" t="n"/>
      <c r="K194" s="11" t="n"/>
      <c r="L194" s="11" t="n"/>
      <c r="M194" s="11" t="n"/>
      <c r="N194" s="11" t="n"/>
    </row>
    <row r="195" ht="56" customHeight="1">
      <c r="A195" s="10" t="n">
        <v>193</v>
      </c>
      <c r="B195" s="10" t="inlineStr">
        <is>
          <t>Collaudo: UNI EN 81-20:2020 e UNI EN 81-50:2020</t>
        </is>
      </c>
      <c r="C195" s="10" t="inlineStr">
        <is>
          <t>Regolamento (UE) 2023/1230, art. 51 par. 2</t>
        </is>
      </c>
      <c r="D195" s="10" t="inlineStr">
        <is>
          <t>per gli ascensori dichiarati conformi dal 20/01/2027: requisiti dell’All. III del Regolamento macchine (tra cui 1.1.9 e 1.2.1), con una valutazione aggiuntiva per i requisiti nuovi o cambiati</t>
        </is>
      </c>
      <c r="E195" s="10" t="inlineStr">
        <is>
          <t>Regolamento (UE) 2023/1230, art. 51 par. 2</t>
        </is>
      </c>
      <c r="F195" s="10" t="inlineStr">
        <is>
          <t>ricerca, cap. 16 (testi ufficiali e schede UNI, 2026-10-02)</t>
        </is>
      </c>
      <c r="G195" s="10" t="inlineStr">
        <is>
          <t>confermato</t>
        </is>
      </c>
      <c r="H195" s="10" t="inlineStr">
        <is>
          <t>—</t>
        </is>
      </c>
      <c r="I195" s="11" t="n"/>
      <c r="J195" s="11" t="n"/>
      <c r="K195" s="11" t="n"/>
      <c r="L195" s="11" t="n"/>
      <c r="M195" s="11" t="n"/>
      <c r="N195" s="11" t="n"/>
    </row>
    <row r="196" ht="82" customHeight="1">
      <c r="A196" s="10" t="n">
        <v>194</v>
      </c>
      <c r="B196" s="10" t="inlineStr">
        <is>
          <t>Collaudo: UNI EN 81-20:2020 e UNI EN 81-50:2020</t>
        </is>
      </c>
      <c r="C196" s="10" t="inlineStr">
        <is>
          <t>UNI EN 81-50:2020, 5.12.1 e 5.12.2.1</t>
        </is>
      </c>
      <c r="D196"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196" s="10" t="inlineStr">
        <is>
          <t>UNI EN 81-50:2020, 5.12.1 e 5.12.2.1</t>
        </is>
      </c>
      <c r="F196" s="10" t="inlineStr">
        <is>
          <t>testo della norma, letto il 2026-10-06 (punti e valori con parole nostre)</t>
        </is>
      </c>
      <c r="G196" s="10" t="inlineStr">
        <is>
          <t>confermato</t>
        </is>
      </c>
      <c r="H196" s="10" t="inlineStr">
        <is>
          <t>—</t>
        </is>
      </c>
      <c r="I196" s="11" t="n"/>
      <c r="J196" s="11" t="n"/>
      <c r="K196" s="11" t="n"/>
      <c r="L196" s="11" t="n"/>
      <c r="M196" s="11" t="n"/>
      <c r="N196" s="11" t="n"/>
    </row>
    <row r="197" ht="43" customHeight="1">
      <c r="A197" s="10" t="n">
        <v>195</v>
      </c>
      <c r="B197" s="10" t="inlineStr">
        <is>
          <t>Collaudo: UNI EN 81-20:2020 e UNI EN 81-50:2020</t>
        </is>
      </c>
      <c r="C197" s="10" t="inlineStr">
        <is>
          <t>UNI EN 81-20:2020, 5.6.2.2.1.2</t>
        </is>
      </c>
      <c r="D197" s="10" t="inlineStr">
        <is>
          <t>tempo di risposta del limitatore di velocità: i suoi punti d’intervento distano al massimo 250 mm di corsa della fune del limitatore</t>
        </is>
      </c>
      <c r="E197" s="10" t="inlineStr">
        <is>
          <t>UNI EN 81-20:2020, 5.6.2.2.1.2</t>
        </is>
      </c>
      <c r="F197" s="10" t="inlineStr">
        <is>
          <t>testo della norma, letto il 2026-10-06 (punti e valori con parole nostre)</t>
        </is>
      </c>
      <c r="G197" s="10" t="inlineStr">
        <is>
          <t>confermato</t>
        </is>
      </c>
      <c r="H197" s="10" t="inlineStr">
        <is>
          <t>—</t>
        </is>
      </c>
      <c r="I197" s="11" t="n"/>
      <c r="J197" s="11" t="n"/>
      <c r="K197" s="11" t="n"/>
      <c r="L197" s="11" t="n"/>
      <c r="M197" s="11" t="n"/>
      <c r="N197" s="11" t="n"/>
    </row>
    <row r="198" ht="56" customHeight="1">
      <c r="A198" s="10" t="n">
        <v>196</v>
      </c>
      <c r="B198" s="10" t="inlineStr">
        <is>
          <t>Collaudo: UNI EN 81-20:2020 e UNI EN 81-50:2020</t>
        </is>
      </c>
      <c r="C198" s="10" t="inlineStr">
        <is>
          <t>UNI EN 81-20:2020, 5.8.2.1.2.1 e 5.8.2.2.3</t>
        </is>
      </c>
      <c r="D198" s="10" t="inlineStr">
        <is>
          <t>ammortizzatori (dato del fornitore): decelerazione non oltre 1 gn, sopra 2,5 gn al massimo per 0,04 s; per quelli ad accumulo non lineari anche picco non oltre 6 gn e rimbalzo non oltre 1 m/s</t>
        </is>
      </c>
      <c r="E198" s="10" t="inlineStr">
        <is>
          <t>UNI EN 81-20:2020, 5.8.2.1.2.1 e 5.8.2.2.3</t>
        </is>
      </c>
      <c r="F198" s="10" t="inlineStr">
        <is>
          <t>testo della norma, letto il 2026-10-06 (punti e valori con parole nostre)</t>
        </is>
      </c>
      <c r="G198" s="10" t="inlineStr">
        <is>
          <t>confermato</t>
        </is>
      </c>
      <c r="H198" s="10" t="inlineStr">
        <is>
          <t>—</t>
        </is>
      </c>
      <c r="I198" s="11" t="n"/>
      <c r="J198" s="11" t="n"/>
      <c r="K198" s="11" t="n"/>
      <c r="L198" s="11" t="n"/>
      <c r="M198" s="11" t="n"/>
      <c r="N198" s="11" t="n"/>
    </row>
    <row r="199" ht="69" customHeight="1">
      <c r="A199" s="10" t="n">
        <v>197</v>
      </c>
      <c r="B199" s="10" t="inlineStr">
        <is>
          <t>Collaudo: UNI EN 81-20:2020 e UNI EN 81-50:2020</t>
        </is>
      </c>
      <c r="C199" s="10" t="inlineStr">
        <is>
          <t>UNI EN 81-20:2020, 5.2.5.7.1</t>
        </is>
      </c>
      <c r="D199" s="10" t="inlineStr">
        <is>
          <t>cartello sopra o accanto allo schermo del contrappeso (5.2.5.5.1) con il gioco massimo ammesso tra contrappeso e ammortizzatore con la cabina al piano più alto, per conservare gli spazi in testata</t>
        </is>
      </c>
      <c r="E199" s="10" t="inlineStr">
        <is>
          <t>UNI EN 81-20:2020, 5.2.5.7.1</t>
        </is>
      </c>
      <c r="F199" s="10" t="inlineStr">
        <is>
          <t>testo della norma, letto il 2026-10-06 (punti e valori con parole nostre)</t>
        </is>
      </c>
      <c r="G199" s="10" t="inlineStr">
        <is>
          <t>confermato</t>
        </is>
      </c>
      <c r="H199" s="10" t="inlineStr">
        <is>
          <t>—</t>
        </is>
      </c>
      <c r="I199" s="11" t="n"/>
      <c r="J199" s="11" t="n"/>
      <c r="K199" s="11" t="n"/>
      <c r="L199" s="11" t="n"/>
      <c r="M199" s="11" t="n"/>
      <c r="N199" s="11" t="n"/>
    </row>
    <row r="200" ht="43" customHeight="1">
      <c r="A200" s="10" t="n">
        <v>198</v>
      </c>
      <c r="B200" s="10" t="inlineStr">
        <is>
          <t>Collaudo: UNI EN 81-20:2020 e UNI EN 81-50:2020</t>
        </is>
      </c>
      <c r="C200" s="10" t="inlineStr">
        <is>
          <t>UNI EN 81-20:2020, 5.2.2.4</t>
        </is>
      </c>
      <c r="D200" s="10" t="inlineStr">
        <is>
          <t>fossa più profonda di 2,50 m: porta di accesso; fino a 2,50 m porta di accesso oppure scala dentro il vano (appendice F)</t>
        </is>
      </c>
      <c r="E200" s="10" t="inlineStr">
        <is>
          <t>UNI EN 81-20:2020, 5.2.2.4</t>
        </is>
      </c>
      <c r="F200" s="10" t="inlineStr">
        <is>
          <t>testo della norma, letto il 2026-10-06 (punti e valori con parole nostre)</t>
        </is>
      </c>
      <c r="G200" s="10" t="inlineStr">
        <is>
          <t>confermato</t>
        </is>
      </c>
      <c r="H200" s="10" t="inlineStr">
        <is>
          <t>—</t>
        </is>
      </c>
      <c r="I200" s="11" t="n"/>
      <c r="J200" s="11" t="n"/>
      <c r="K200" s="11" t="n"/>
      <c r="L200" s="11" t="n"/>
      <c r="M200" s="11" t="n"/>
      <c r="N200" s="11" t="n"/>
    </row>
    <row r="201" ht="43" customHeight="1">
      <c r="A201" s="10" t="n">
        <v>199</v>
      </c>
      <c r="B201" s="10" t="inlineStr">
        <is>
          <t>Collaudo: UNI EN 81-20:2020 e UNI EN 81-50:2020</t>
        </is>
      </c>
      <c r="C201" s="10" t="inlineStr">
        <is>
          <t>UNI EN 81-20:2020, 5.2.1.5.1 b)</t>
        </is>
      </c>
      <c r="D201" s="10" t="inlineStr">
        <is>
          <t>in fossa un commutatore di ispezione fisso, manovrabile da non oltre 0,30 m da uno spazio di rifugio</t>
        </is>
      </c>
      <c r="E201" s="10" t="inlineStr">
        <is>
          <t>UNI EN 81-20:2020, 5.2.1.5.1 b)</t>
        </is>
      </c>
      <c r="F201" s="10" t="inlineStr">
        <is>
          <t>testo della norma, letto il 2026-10-06 (punti e valori con parole nostre)</t>
        </is>
      </c>
      <c r="G201" s="10" t="inlineStr">
        <is>
          <t>confermato</t>
        </is>
      </c>
      <c r="H201" s="10" t="inlineStr">
        <is>
          <t>—</t>
        </is>
      </c>
      <c r="I201" s="11" t="n"/>
      <c r="J201" s="11" t="n"/>
      <c r="K201" s="11" t="n"/>
      <c r="L201" s="11" t="n"/>
      <c r="M201" s="11" t="n"/>
      <c r="N201" s="11" t="n"/>
    </row>
    <row r="202" ht="69" customHeight="1">
      <c r="A202" s="10" t="n">
        <v>200</v>
      </c>
      <c r="B202" s="10" t="inlineStr">
        <is>
          <t>Collaudo: UNI EN 81-20:2020 e UNI EN 81-50:2020</t>
        </is>
      </c>
      <c r="C202" s="10" t="inlineStr">
        <is>
          <t>UNI EN 81-20:2020, 5.12.1.5.2.1 f)</t>
        </is>
      </c>
      <c r="D202" s="10" t="inlineStr">
        <is>
          <t>velocità in manovra d’ispezione non oltre 0,30 m/s quando sopra un posto in piedi sul tetto della cabina o in fossa l’altezza libera è di 2,0 m o meno (spazi di rifugio di tipo 2 o 3): da impostare nel quadro</t>
        </is>
      </c>
      <c r="E202" s="10" t="inlineStr">
        <is>
          <t>UNI EN 81-20:2020, 5.12.1.5.2.1 f)</t>
        </is>
      </c>
      <c r="F202" s="10" t="inlineStr">
        <is>
          <t>testo della norma, letto il 2026-10-06 (punti e valori con parole nostre)</t>
        </is>
      </c>
      <c r="G202" s="10" t="inlineStr">
        <is>
          <t>confermato</t>
        </is>
      </c>
      <c r="H202" s="10" t="inlineStr">
        <is>
          <t>—</t>
        </is>
      </c>
      <c r="I202" s="11" t="n"/>
      <c r="J202" s="11" t="n"/>
      <c r="K202" s="11" t="n"/>
      <c r="L202" s="11" t="n"/>
      <c r="M202" s="11" t="n"/>
      <c r="N202" s="11" t="n"/>
    </row>
    <row r="203" ht="43" customHeight="1">
      <c r="A203" s="10" t="n">
        <v>201</v>
      </c>
      <c r="B203" s="10" t="inlineStr">
        <is>
          <t>Collaudo: UNI EN 81-20:2020 e UNI EN 81-50:2020</t>
        </is>
      </c>
      <c r="C203" s="10" t="inlineStr">
        <is>
          <t>UNI EN 81-20:2020, 5.2.5.7.1 e 5.2.5.8.1</t>
        </is>
      </c>
      <c r="D203" s="10" t="inlineStr">
        <is>
          <t>uno spazio di rifugio per ogni persona, tutti dello stesso tipo e senza sovrapposizioni; cartello con il numero di persone ammesse e la postura</t>
        </is>
      </c>
      <c r="E203" s="10" t="inlineStr">
        <is>
          <t>UNI EN 81-20:2020, 5.2.5.7.1 e 5.2.5.8.1</t>
        </is>
      </c>
      <c r="F203" s="10" t="inlineStr">
        <is>
          <t>testo della norma, letto il 2026-10-06 (punti e valori con parole nostre)</t>
        </is>
      </c>
      <c r="G203" s="10" t="inlineStr">
        <is>
          <t>confermato</t>
        </is>
      </c>
      <c r="H203" s="10" t="inlineStr">
        <is>
          <t>—</t>
        </is>
      </c>
      <c r="I203" s="11" t="n"/>
      <c r="J203" s="11" t="n"/>
      <c r="K203" s="11" t="n"/>
      <c r="L203" s="11" t="n"/>
      <c r="M203" s="11" t="n"/>
      <c r="N203" s="11" t="n"/>
    </row>
    <row r="204" ht="69" customHeight="1">
      <c r="A204" s="10" t="n">
        <v>202</v>
      </c>
      <c r="B204" s="10" t="inlineStr">
        <is>
          <t>Collaudo: UNI EN 81-20:2020 e UNI EN 81-50:2020</t>
        </is>
      </c>
      <c r="C204" s="10" t="inlineStr">
        <is>
          <t>UNI EN 81-20:2020, 5.2.1.4.1</t>
        </is>
      </c>
      <c r="D204" s="10" t="inlineStr">
        <is>
          <t>illuminazione del vano: almeno 50 lux a 1 m sopra il tetto della cabina nella sua proiezione e a 1 m sopra il fondo della fossa dove si sta, si lavora o si passa tra le zone di lavoro; almeno 20 lux altrove</t>
        </is>
      </c>
      <c r="E204" s="10" t="inlineStr">
        <is>
          <t>UNI EN 81-20:2020, 5.2.1.4.1</t>
        </is>
      </c>
      <c r="F204" s="10" t="inlineStr">
        <is>
          <t>testo della norma, letto il 2026-10-06 (punti e valori con parole nostre)</t>
        </is>
      </c>
      <c r="G204" s="10" t="inlineStr">
        <is>
          <t>confermato</t>
        </is>
      </c>
      <c r="H204" s="10" t="inlineStr">
        <is>
          <t>—</t>
        </is>
      </c>
      <c r="I204" s="11" t="n"/>
      <c r="J204" s="11" t="n"/>
      <c r="K204" s="11" t="n"/>
      <c r="L204" s="11" t="n"/>
      <c r="M204" s="11" t="n"/>
      <c r="N204" s="11" t="n"/>
    </row>
    <row r="205" ht="56" customHeight="1">
      <c r="A205" s="10" t="n">
        <v>203</v>
      </c>
      <c r="B205" s="10" t="inlineStr">
        <is>
          <t>Collaudo: UNI EN 81-20:2020 e UNI EN 81-50:2020</t>
        </is>
      </c>
      <c r="C205" s="10" t="inlineStr">
        <is>
          <t>UNI EN 81-20:2020, 5.4.10.1 e 5.4.10.4</t>
        </is>
      </c>
      <c r="D205" s="10" t="inlineStr">
        <is>
          <t>luce in cabina almeno 100 lux sui comandi e a 1 m dal pavimento; luce di emergenza di almeno 5 lux per un’ora presso gli allarmi in cabina e sul tetto e al centro di cabina e tetto, a 1 m</t>
        </is>
      </c>
      <c r="E205" s="10" t="inlineStr">
        <is>
          <t>UNI EN 81-20:2020, 5.4.10.1 e 5.4.10.4</t>
        </is>
      </c>
      <c r="F205" s="10" t="inlineStr">
        <is>
          <t>testo della norma, letto il 2026-10-06 (punti e valori con parole nostre)</t>
        </is>
      </c>
      <c r="G205" s="10" t="inlineStr">
        <is>
          <t>confermato</t>
        </is>
      </c>
      <c r="H205" s="10" t="inlineStr">
        <is>
          <t>—</t>
        </is>
      </c>
      <c r="I205" s="11" t="n"/>
      <c r="J205" s="11" t="n"/>
      <c r="K205" s="11" t="n"/>
      <c r="L205" s="11" t="n"/>
      <c r="M205" s="11" t="n"/>
      <c r="N205" s="11" t="n"/>
    </row>
    <row r="206" ht="43" customHeight="1">
      <c r="A206" s="10" t="n">
        <v>204</v>
      </c>
      <c r="B206" s="10" t="inlineStr">
        <is>
          <t>Collaudo: UNI EN 81-20:2020 e UNI EN 81-50:2020</t>
        </is>
      </c>
      <c r="C206" s="10" t="inlineStr">
        <is>
          <t>UNI EN 81-20:2020, 5.4.4</t>
        </is>
      </c>
      <c r="D206" s="10" t="inlineStr">
        <is>
          <t>materiali della cabina secondo EN 13501-1: pavimento Cfl-s2, pareti C-s2,d1, soffitto C-s2,d0</t>
        </is>
      </c>
      <c r="E206" s="10" t="inlineStr">
        <is>
          <t>UNI EN 81-20:2020, 5.4.4</t>
        </is>
      </c>
      <c r="F206" s="10" t="inlineStr">
        <is>
          <t>testo della norma, letto il 2026-10-06 (punti e valori con parole nostre)</t>
        </is>
      </c>
      <c r="G206" s="10" t="inlineStr">
        <is>
          <t>confermato</t>
        </is>
      </c>
      <c r="H206" s="10" t="inlineStr">
        <is>
          <t>—</t>
        </is>
      </c>
      <c r="I206" s="11" t="n"/>
      <c r="J206" s="11" t="n"/>
      <c r="K206" s="11" t="n"/>
      <c r="L206" s="11" t="n"/>
      <c r="M206" s="11" t="n"/>
      <c r="N206" s="11" t="n"/>
    </row>
    <row r="207" ht="95" customHeight="1">
      <c r="A207" s="10" t="n">
        <v>205</v>
      </c>
      <c r="B207" s="10" t="inlineStr">
        <is>
          <t>Collaudo: UNI EN 81-20:2020 e UNI EN 81-50:2020</t>
        </is>
      </c>
      <c r="C207" s="10" t="inlineStr">
        <is>
          <t>UNI EN 81-20:2020, 6.3.1</t>
        </is>
      </c>
      <c r="D207"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207" s="10" t="inlineStr">
        <is>
          <t>UNI EN 81-20:2020, 6.3.1</t>
        </is>
      </c>
      <c r="F207" s="10" t="inlineStr">
        <is>
          <t>testo della norma, letto il 2026-10-06 (punti e valori con parole nostre)</t>
        </is>
      </c>
      <c r="G207" s="10" t="inlineStr">
        <is>
          <t>confermato</t>
        </is>
      </c>
      <c r="H207" s="10" t="inlineStr">
        <is>
          <t>—</t>
        </is>
      </c>
      <c r="I207" s="11" t="n"/>
      <c r="J207" s="11" t="n"/>
      <c r="K207" s="11" t="n"/>
      <c r="L207" s="11" t="n"/>
      <c r="M207" s="11" t="n"/>
      <c r="N207" s="11" t="n"/>
    </row>
    <row r="208" ht="69" customHeight="1">
      <c r="A208" s="10" t="n">
        <v>206</v>
      </c>
      <c r="B208" s="10" t="inlineStr">
        <is>
          <t>Collaudo: UNI EN 81-20:2020 e UNI EN 81-50:2020</t>
        </is>
      </c>
      <c r="C208" s="10" t="inlineStr">
        <is>
          <t>UNI EN 81-20:2020, 6.3.2</t>
        </is>
      </c>
      <c r="D208" s="10" t="inlineStr">
        <is>
          <t>impianto elettrico: esame a vista, continuità dei conduttori di protezione, isolamento circuito per circuito con l’elettronica scollegata, efficacia dell’interruzione automatica in caso di guasto</t>
        </is>
      </c>
      <c r="E208" s="10" t="inlineStr">
        <is>
          <t>UNI EN 81-20:2020, 6.3.2</t>
        </is>
      </c>
      <c r="F208" s="10" t="inlineStr">
        <is>
          <t>testo della norma, letto il 2026-10-06 (punti e valori con parole nostre)</t>
        </is>
      </c>
      <c r="G208" s="10" t="inlineStr">
        <is>
          <t>confermato</t>
        </is>
      </c>
      <c r="H208" s="10" t="inlineStr">
        <is>
          <t>—</t>
        </is>
      </c>
      <c r="I208" s="11" t="n"/>
      <c r="J208" s="11" t="n"/>
      <c r="K208" s="11" t="n"/>
      <c r="L208" s="11" t="n"/>
      <c r="M208" s="11" t="n"/>
      <c r="N208" s="11" t="n"/>
    </row>
    <row r="209" ht="82" customHeight="1">
      <c r="A209" s="10" t="n">
        <v>207</v>
      </c>
      <c r="B209" s="10" t="inlineStr">
        <is>
          <t>Collaudo: UNI EN 81-20:2020 e UNI EN 81-50:2020</t>
        </is>
      </c>
      <c r="C209" s="10" t="inlineStr">
        <is>
          <t>UNI EN 81-20:2020, 6.3.3</t>
        </is>
      </c>
      <c r="D209"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209" s="10" t="inlineStr">
        <is>
          <t>UNI EN 81-20:2020, 6.3.3</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121" customHeight="1">
      <c r="A210" s="10" t="n">
        <v>208</v>
      </c>
      <c r="B210" s="10" t="inlineStr">
        <is>
          <t>Collaudo: UNI EN 81-20:2020 e UNI EN 81-50:2020</t>
        </is>
      </c>
      <c r="C210" s="10" t="inlineStr">
        <is>
          <t>UNI EN 81-20:2020, 6.3.4, 6.3.5 e 6.3.7</t>
        </is>
      </c>
      <c r="D210"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210" s="10" t="inlineStr">
        <is>
          <t>UNI EN 81-20:2020, 6.3.4, 6.3.5 e 6.3.7</t>
        </is>
      </c>
      <c r="F210" s="10" t="inlineStr">
        <is>
          <t>testo della norma, letto il 2026-10-06 (punti e valori con parole nostre)</t>
        </is>
      </c>
      <c r="G210" s="10" t="inlineStr">
        <is>
          <t>confermato</t>
        </is>
      </c>
      <c r="H210" s="10" t="inlineStr">
        <is>
          <t>—</t>
        </is>
      </c>
      <c r="I210" s="11" t="n"/>
      <c r="J210" s="11" t="n"/>
      <c r="K210" s="11" t="n"/>
      <c r="L210" s="11" t="n"/>
      <c r="M210" s="11" t="n"/>
      <c r="N210" s="11" t="n"/>
    </row>
    <row r="211" ht="108" customHeight="1">
      <c r="A211" s="10" t="n">
        <v>209</v>
      </c>
      <c r="B211" s="10" t="inlineStr">
        <is>
          <t>Collaudo: UNI EN 81-20:2020 e UNI EN 81-50:2020</t>
        </is>
      </c>
      <c r="C211" s="10" t="inlineStr">
        <is>
          <t>UNI EN 81-20:2020, 6.3.11, 6.3.12 e 6.3.13</t>
        </is>
      </c>
      <c r="D211"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211" s="10" t="inlineStr">
        <is>
          <t>UNI EN 81-20:2020, 6.3.11, 6.3.12 e 6.3.13</t>
        </is>
      </c>
      <c r="F211" s="10" t="inlineStr">
        <is>
          <t>testo della norma, letto il 2026-10-06 (punti e valori con parole nostre)</t>
        </is>
      </c>
      <c r="G211" s="10" t="inlineStr">
        <is>
          <t>confermato</t>
        </is>
      </c>
      <c r="H211" s="10" t="inlineStr">
        <is>
          <t>—</t>
        </is>
      </c>
      <c r="I211" s="11" t="n"/>
      <c r="J211" s="11" t="n"/>
      <c r="K211" s="11" t="n"/>
      <c r="L211" s="11" t="n"/>
      <c r="M211" s="11" t="n"/>
      <c r="N211" s="11" t="n"/>
    </row>
    <row r="212" ht="43" customHeight="1">
      <c r="A212" s="10" t="n">
        <v>210</v>
      </c>
      <c r="B212" s="10" t="inlineStr">
        <is>
          <t>Collaudo: UNI EN 81-20:2020 e UNI EN 81-50:2020</t>
        </is>
      </c>
      <c r="C212" s="10" t="inlineStr">
        <is>
          <t>UNI EN 81-20:2020, 6.3.14</t>
        </is>
      </c>
      <c r="D212" s="10" t="inlineStr">
        <is>
          <t>cabina fuori dalla zona di sbloccaggio e porta di piano tenuta aperta di 100 mm: lasciata, la porta si richiude e si blocca</t>
        </is>
      </c>
      <c r="E212" s="10" t="inlineStr">
        <is>
          <t>UNI EN 81-20:2020, 6.3.14</t>
        </is>
      </c>
      <c r="F212" s="10" t="inlineStr">
        <is>
          <t>testo della norma, letto il 2026-10-06 (punti e valori con parole nostre)</t>
        </is>
      </c>
      <c r="G212" s="10" t="inlineStr">
        <is>
          <t>confermato</t>
        </is>
      </c>
      <c r="H212" s="10" t="inlineStr">
        <is>
          <t>—</t>
        </is>
      </c>
      <c r="I212" s="11" t="n"/>
      <c r="J212" s="11" t="n"/>
      <c r="K212" s="11" t="n"/>
      <c r="L212" s="11" t="n"/>
      <c r="M212" s="11" t="n"/>
      <c r="N212" s="11" t="n"/>
    </row>
    <row r="213" ht="43" customHeight="1">
      <c r="A213" s="10" t="n">
        <v>211</v>
      </c>
      <c r="B213" s="10" t="inlineStr">
        <is>
          <t>Collaudo: UNI EN 81-20:2020 e UNI EN 81-50:2020</t>
        </is>
      </c>
      <c r="C213" s="10" t="inlineStr">
        <is>
          <t>UNI EN 81-20:2020, C.2 e 7.3.2</t>
        </is>
      </c>
      <c r="D213" s="10" t="inlineStr">
        <is>
          <t>la sostituzione della macchina o della puleggia di frizione è una trasformazione importante: si annota nel registro dell’impianto, da aggiornare</t>
        </is>
      </c>
      <c r="E213" s="10" t="inlineStr">
        <is>
          <t>UNI EN 81-20:2020, C.2 e 7.3.2</t>
        </is>
      </c>
      <c r="F213" s="10" t="inlineStr">
        <is>
          <t>testo della norma, letto il 2026-10-06 (punti e valori con parole nostre)</t>
        </is>
      </c>
      <c r="G213" s="10" t="inlineStr">
        <is>
          <t>confermato</t>
        </is>
      </c>
      <c r="H213" s="10" t="inlineStr">
        <is>
          <t>—</t>
        </is>
      </c>
      <c r="I213" s="11" t="n"/>
      <c r="J213" s="11" t="n"/>
      <c r="K213" s="11" t="n"/>
      <c r="L213" s="11" t="n"/>
      <c r="M213" s="11" t="n"/>
      <c r="N213" s="11" t="n"/>
    </row>
    <row r="214" ht="108" customHeight="1">
      <c r="A214" s="10" t="n">
        <v>212</v>
      </c>
      <c r="B214" s="10" t="inlineStr">
        <is>
          <t>Collaudo: UNI EN 81-20:2020 e UNI EN 81-50:2020</t>
        </is>
      </c>
      <c r="C214" s="10" t="inlineStr">
        <is>
          <t>UNI EN 81-20:2020, 5.3.5.3.2, 5.3.5.3.4, 5.3.6.2.2.1 b) e 5.3.15.2 b)</t>
        </is>
      </c>
      <c r="D214"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214" s="10" t="inlineStr">
        <is>
          <t>UNI EN 81-20:2020, 5.3.5.3.2, 5.3.5.3.4, 5.3.6.2.2.1 b) e 5.3.15.2 b)</t>
        </is>
      </c>
      <c r="F214" s="10" t="inlineStr">
        <is>
          <t>testo della norma, letto il 2026-10-06 (punti e valori con parole nostre)</t>
        </is>
      </c>
      <c r="G214" s="10" t="inlineStr">
        <is>
          <t>confermato</t>
        </is>
      </c>
      <c r="H214" s="10" t="inlineStr">
        <is>
          <t>—</t>
        </is>
      </c>
      <c r="I214" s="11" t="n"/>
      <c r="J214" s="11" t="n"/>
      <c r="K214" s="11" t="n"/>
      <c r="L214" s="11" t="n"/>
      <c r="M214" s="11" t="n"/>
      <c r="N214" s="11" t="n"/>
    </row>
    <row r="215" ht="121" customHeight="1">
      <c r="A215" s="10" t="n">
        <v>213</v>
      </c>
      <c r="B215" s="10" t="inlineStr">
        <is>
          <t>Collaudo: UNI EN 81-20:2020 e UNI EN 81-50:2020</t>
        </is>
      </c>
      <c r="C215" s="10" t="inlineStr">
        <is>
          <t>UNI EN 81-20:2020, 5.3.6.2.2.1 a)–d)</t>
        </is>
      </c>
      <c r="D215"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215" s="10" t="inlineStr">
        <is>
          <t>UNI EN 81-20:2020, 5.3.6.2.2.1 a)–d)</t>
        </is>
      </c>
      <c r="F215" s="10" t="inlineStr">
        <is>
          <t>testo della norma, letto il 2026-10-06 (punti e valori con parole nostre)</t>
        </is>
      </c>
      <c r="G215" s="10" t="inlineStr">
        <is>
          <t>confermato</t>
        </is>
      </c>
      <c r="H215" s="10" t="inlineStr">
        <is>
          <t>—</t>
        </is>
      </c>
      <c r="I215" s="11" t="n"/>
      <c r="J215" s="11" t="n"/>
      <c r="K215" s="11" t="n"/>
      <c r="L215" s="11" t="n"/>
      <c r="M215" s="11" t="n"/>
      <c r="N215" s="11" t="n"/>
    </row>
    <row r="216" ht="56" customHeight="1">
      <c r="A216" s="10" t="n">
        <v>214</v>
      </c>
      <c r="B216" s="10" t="inlineStr">
        <is>
          <t>Collaudo: UNI 10411-1:2024</t>
        </is>
      </c>
      <c r="C216" s="10" t="inlineStr">
        <is>
          <t>UNI 10411-1:2024, scopo</t>
        </is>
      </c>
      <c r="D216" s="10" t="inlineStr">
        <is>
          <t>impianti elettrici a frizione fuori dalla 95/16/CE e dalla 2014/33/UE; esclude le modifiche che cambiano le misure antincendio (per queste, a nostro giudizio, il DM 15/09/2005 o il Codice V.3)</t>
        </is>
      </c>
      <c r="E216" s="10" t="inlineStr">
        <is>
          <t>UNI 10411-1:2024, scopo</t>
        </is>
      </c>
      <c r="F216" s="10" t="inlineStr">
        <is>
          <t>testo della norma, letto il 2026-10-06 (punti e valori con parole nostre)</t>
        </is>
      </c>
      <c r="G216" s="10" t="inlineStr">
        <is>
          <t>confermato</t>
        </is>
      </c>
      <c r="H216" s="10" t="inlineStr">
        <is>
          <t>—</t>
        </is>
      </c>
      <c r="I216" s="11" t="n"/>
      <c r="J216" s="11" t="n"/>
      <c r="K216" s="11" t="n"/>
      <c r="L216" s="11" t="n"/>
      <c r="M216" s="11" t="n"/>
      <c r="N216" s="11" t="n"/>
    </row>
    <row r="217" ht="134" customHeight="1">
      <c r="A217" s="10" t="n">
        <v>215</v>
      </c>
      <c r="B217" s="10" t="inlineStr">
        <is>
          <t>Collaudo: UNI 10411-1:2024</t>
        </is>
      </c>
      <c r="C217" s="10" t="inlineStr">
        <is>
          <t>UNI 10411-1:2024, 9.1–9.2</t>
        </is>
      </c>
      <c r="D217"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217" s="10" t="inlineStr">
        <is>
          <t>UNI 10411-1:2024, 9.1–9.2</t>
        </is>
      </c>
      <c r="F217" s="10" t="inlineStr">
        <is>
          <t>testo della norma, letto il 2026-10-06 (punti e valori con parole nostre)</t>
        </is>
      </c>
      <c r="G217" s="10" t="inlineStr">
        <is>
          <t>confermato</t>
        </is>
      </c>
      <c r="H217" s="10" t="inlineStr">
        <is>
          <t>—</t>
        </is>
      </c>
      <c r="I217" s="11" t="n"/>
      <c r="J217" s="11" t="n"/>
      <c r="K217" s="11" t="n"/>
      <c r="L217" s="11" t="n"/>
      <c r="M217" s="11" t="n"/>
      <c r="N217" s="11" t="n"/>
    </row>
    <row r="218" ht="121" customHeight="1">
      <c r="A218" s="10" t="n">
        <v>216</v>
      </c>
      <c r="B218" s="10" t="inlineStr">
        <is>
          <t>Collaudo: UNI 10411-1:2024</t>
        </is>
      </c>
      <c r="C218" s="10" t="inlineStr">
        <is>
          <t>UNI 10411-1:2024, 5 e App. C (5, 9 e 14)</t>
        </is>
      </c>
      <c r="D218"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218" s="10" t="inlineStr">
        <is>
          <t>UNI 10411-1:2024, 5 e App. C (5, 9 e 14)</t>
        </is>
      </c>
      <c r="F218" s="10" t="inlineStr">
        <is>
          <t>testo della norma, letto il 2026-10-06 (punti e valori con parole nostre)</t>
        </is>
      </c>
      <c r="G218" s="10" t="inlineStr">
        <is>
          <t>confermato</t>
        </is>
      </c>
      <c r="H218" s="10" t="inlineStr">
        <is>
          <t>—</t>
        </is>
      </c>
      <c r="I218" s="11" t="n"/>
      <c r="J218" s="11" t="n"/>
      <c r="K218" s="11" t="n"/>
      <c r="L218" s="11" t="n"/>
      <c r="M218" s="11" t="n"/>
      <c r="N218" s="11" t="n"/>
    </row>
    <row r="219" ht="121" customHeight="1">
      <c r="A219" s="10" t="n">
        <v>217</v>
      </c>
      <c r="B219" s="10" t="inlineStr">
        <is>
          <t>Collaudo: UNI 10411-1:2024</t>
        </is>
      </c>
      <c r="C219" s="10" t="inlineStr">
        <is>
          <t>UNI 10411-1:2024, 14.4 a)–g)</t>
        </is>
      </c>
      <c r="D219"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219" s="10" t="inlineStr">
        <is>
          <t>UNI 10411-1:2024, 14.4 a)–g)</t>
        </is>
      </c>
      <c r="F219" s="10" t="inlineStr">
        <is>
          <t>testo della norma, letto il 2026-10-06 (punti e valori con parole nostre)</t>
        </is>
      </c>
      <c r="G219" s="10" t="inlineStr">
        <is>
          <t>confermato</t>
        </is>
      </c>
      <c r="H219" s="10" t="inlineStr">
        <is>
          <t>—</t>
        </is>
      </c>
      <c r="I219" s="11" t="n"/>
      <c r="J219" s="11" t="n"/>
      <c r="K219" s="11" t="n"/>
      <c r="L219" s="11" t="n"/>
      <c r="M219" s="11" t="n"/>
      <c r="N219" s="11" t="n"/>
    </row>
    <row r="220" ht="56" customHeight="1">
      <c r="A220" s="10" t="n">
        <v>218</v>
      </c>
      <c r="B220" s="10" t="inlineStr">
        <is>
          <t>Collaudo: UNI 10411-11:2024</t>
        </is>
      </c>
      <c r="C220" s="10" t="inlineStr">
        <is>
          <t>UNI 10411-11:2024, scopo</t>
        </is>
      </c>
      <c r="D220" s="10" t="inlineStr">
        <is>
          <t>impianti elettrici a frizione marcati CE secondo la Direttiva; esclude le modifiche che cambiano le misure antincendio (per queste, a nostro giudizio, il DM 15/09/2005 o il Codice V.3)</t>
        </is>
      </c>
      <c r="E220" s="10" t="inlineStr">
        <is>
          <t>UNI 10411-11:2024, scopo</t>
        </is>
      </c>
      <c r="F220" s="10" t="inlineStr">
        <is>
          <t>testo della norma, letto il 2026-10-06 (punti e valori con parole nostre)</t>
        </is>
      </c>
      <c r="G220" s="10" t="inlineStr">
        <is>
          <t>confermato</t>
        </is>
      </c>
      <c r="H220" s="10" t="inlineStr">
        <is>
          <t>—</t>
        </is>
      </c>
      <c r="I220" s="11" t="n"/>
      <c r="J220" s="11" t="n"/>
      <c r="K220" s="11" t="n"/>
      <c r="L220" s="11" t="n"/>
      <c r="M220" s="11" t="n"/>
      <c r="N220" s="11" t="n"/>
    </row>
    <row r="221" ht="108" customHeight="1">
      <c r="A221" s="10" t="n">
        <v>219</v>
      </c>
      <c r="B221" s="10" t="inlineStr">
        <is>
          <t>Collaudo: UNI 10411-11:2024</t>
        </is>
      </c>
      <c r="C221" s="10" t="inlineStr">
        <is>
          <t>UNI 10411-11:2024, 14.3 a) e App. A (14); UNI EN 81-20:2020, 5.6.6.2 e 5.6.7.3</t>
        </is>
      </c>
      <c r="D221"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221" s="10" t="inlineStr">
        <is>
          <t>UNI 10411-11:2024, 14.3 a) e App. A (14); UNI EN 81-20:2020, 5.6.6.2 e 5.6.7.3</t>
        </is>
      </c>
      <c r="F221" s="10" t="inlineStr">
        <is>
          <t>testo della norma, letto il 2026-10-06 (punti e valori con parole nostre)</t>
        </is>
      </c>
      <c r="G221" s="10" t="inlineStr">
        <is>
          <t>confermato</t>
        </is>
      </c>
      <c r="H221" s="10" t="inlineStr">
        <is>
          <t>—</t>
        </is>
      </c>
      <c r="I221" s="11" t="n"/>
      <c r="J221" s="11" t="n"/>
      <c r="K221" s="11" t="n"/>
      <c r="L221" s="11" t="n"/>
      <c r="M221" s="11" t="n"/>
      <c r="N221" s="11" t="n"/>
    </row>
    <row r="222" ht="95" customHeight="1">
      <c r="A222" s="10" t="n">
        <v>220</v>
      </c>
      <c r="B222" s="10" t="inlineStr">
        <is>
          <t>Collaudo: UNI 10411-11:2024</t>
        </is>
      </c>
      <c r="C222" s="10" t="inlineStr">
        <is>
          <t>UNI 10411-11:2024, 5 e 9.2</t>
        </is>
      </c>
      <c r="D222"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222" s="10" t="inlineStr">
        <is>
          <t>UNI 10411-11:2024, 5 e 9.2</t>
        </is>
      </c>
      <c r="F222" s="10" t="inlineStr">
        <is>
          <t>testo della norma, letto il 2026-10-06 (punti e valori con parole nostre)</t>
        </is>
      </c>
      <c r="G222" s="10" t="inlineStr">
        <is>
          <t>confermato</t>
        </is>
      </c>
      <c r="H222" s="10" t="inlineStr">
        <is>
          <t>—</t>
        </is>
      </c>
      <c r="I222" s="11" t="n"/>
      <c r="J222" s="11" t="n"/>
      <c r="K222" s="11" t="n"/>
      <c r="L222" s="11" t="n"/>
      <c r="M222" s="11" t="n"/>
      <c r="N222" s="11" t="n"/>
    </row>
    <row r="223" ht="56" customHeight="1">
      <c r="A223" s="10" t="n">
        <v>221</v>
      </c>
      <c r="B223" s="10" t="inlineStr">
        <is>
          <t>Collaudo: UNI 10411-11:2024</t>
        </is>
      </c>
      <c r="C223" s="10" t="inlineStr">
        <is>
          <t>UNI 10411-11:2024, 14.3 b)</t>
        </is>
      </c>
      <c r="D223" s="10" t="inlineStr">
        <is>
          <t>senza UCM conforme alla 5.6.7 e con il rallentamento controllato: macchinario senza alimentazione se il freno non si apre, al più tardi all’arrivo al piano, con ripristino solo manuale</t>
        </is>
      </c>
      <c r="E223" s="10" t="inlineStr">
        <is>
          <t>UNI 10411-11:2024, 14.3 b)</t>
        </is>
      </c>
      <c r="F223" s="10" t="inlineStr">
        <is>
          <t>testo della norma, letto il 2026-10-06 (punti e valori con parole nostre)</t>
        </is>
      </c>
      <c r="G223" s="10" t="inlineStr">
        <is>
          <t>confermato</t>
        </is>
      </c>
      <c r="H223" s="10" t="inlineStr">
        <is>
          <t>—</t>
        </is>
      </c>
      <c r="I223" s="11" t="n"/>
      <c r="J223" s="11" t="n"/>
      <c r="K223" s="11" t="n"/>
      <c r="L223" s="11" t="n"/>
      <c r="M223" s="11" t="n"/>
      <c r="N223" s="11" t="n"/>
    </row>
    <row r="224" ht="56" customHeight="1">
      <c r="A224" s="10" t="n">
        <v>222</v>
      </c>
      <c r="B224" s="10" t="inlineStr">
        <is>
          <t>Collaudo: UNI EN 81-21:2022 (ascensori nuovi in edifici esistenti)</t>
        </is>
      </c>
      <c r="C224" s="10" t="inlineStr">
        <is>
          <t>UNI EN 81-21:2022, 1</t>
        </is>
      </c>
      <c r="D224" s="10" t="inlineStr">
        <is>
          <t>ascensori nuovi in un edificio esistente, dove l’edificio non permette di rispettare tutta la UNI EN 81-20:2020; esclusi gli impianti montati prima della sua pubblicazione</t>
        </is>
      </c>
      <c r="E224" s="10" t="inlineStr">
        <is>
          <t>UNI EN 81-21:2022, 1</t>
        </is>
      </c>
      <c r="F224" s="10" t="inlineStr">
        <is>
          <t>testo della norma, letto il 2026-10-06 (punti e valori con parole nostre)</t>
        </is>
      </c>
      <c r="G224" s="10" t="inlineStr">
        <is>
          <t>confermato</t>
        </is>
      </c>
      <c r="H224" s="10" t="inlineStr">
        <is>
          <t>—</t>
        </is>
      </c>
      <c r="I224" s="11" t="n"/>
      <c r="J224" s="11" t="n"/>
      <c r="K224" s="11" t="n"/>
      <c r="L224" s="11" t="n"/>
      <c r="M224" s="11" t="n"/>
      <c r="N224" s="11" t="n"/>
    </row>
    <row r="225" ht="95" customHeight="1">
      <c r="A225" s="10" t="n">
        <v>223</v>
      </c>
      <c r="B225" s="10" t="inlineStr">
        <is>
          <t>Collaudo: UNI EN 81-21:2022 (ascensori nuovi in edifici esistenti)</t>
        </is>
      </c>
      <c r="C225" s="10" t="inlineStr">
        <is>
          <t>UNI EN 81-21:2022, 6.2 e 7.1</t>
        </is>
      </c>
      <c r="D225"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225" s="10" t="inlineStr">
        <is>
          <t>UNI EN 81-21:2022, 6.2 e 7.1</t>
        </is>
      </c>
      <c r="F225" s="10" t="inlineStr">
        <is>
          <t>testo della norma, letto il 2026-10-06 (punti e valori con parole nostre)</t>
        </is>
      </c>
      <c r="G225" s="10" t="inlineStr">
        <is>
          <t>confermato</t>
        </is>
      </c>
      <c r="H225" s="10" t="inlineStr">
        <is>
          <t>—</t>
        </is>
      </c>
      <c r="I225" s="11" t="n"/>
      <c r="J225" s="11" t="n"/>
      <c r="K225" s="11" t="n"/>
      <c r="L225" s="11" t="n"/>
      <c r="M225" s="11" t="n"/>
      <c r="N225" s="11" t="n"/>
    </row>
    <row r="226" ht="82" customHeight="1">
      <c r="A226" s="10" t="n">
        <v>224</v>
      </c>
      <c r="B226" s="10" t="inlineStr">
        <is>
          <t>Collaudo: UNI EN 81-21:2022 (ascensori nuovi in edifici esistenti)</t>
        </is>
      </c>
      <c r="C226" s="10" t="inlineStr">
        <is>
          <t>DPR 162/1999, art. 17-bis; DM 19/03/2015; linee guida MIMIT 2022</t>
        </is>
      </c>
      <c r="D226"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226" s="10" t="inlineStr">
        <is>
          <t>DPR 162/1999, art. 17-bis; DM 19/03/2015; linee guida MIMIT 2022</t>
        </is>
      </c>
      <c r="F226" s="10" t="inlineStr">
        <is>
          <t>ricerca, cap. 16 (testi ufficiali e schede UNI, 2026-10-02)</t>
        </is>
      </c>
      <c r="G226" s="10" t="inlineStr">
        <is>
          <t>confermato</t>
        </is>
      </c>
      <c r="H226" s="10" t="inlineStr">
        <is>
          <t>—</t>
        </is>
      </c>
      <c r="I226" s="11" t="n"/>
      <c r="J226" s="11" t="n"/>
      <c r="K226" s="11" t="n"/>
      <c r="L226" s="11" t="n"/>
      <c r="M226" s="11" t="n"/>
      <c r="N226" s="11" t="n"/>
    </row>
    <row r="227" ht="82" customHeight="1">
      <c r="A227" s="10" t="n">
        <v>225</v>
      </c>
      <c r="B227" s="10" t="inlineStr">
        <is>
          <t>Collaudo: UNI EN 81-28:2022 (teleallarme)</t>
        </is>
      </c>
      <c r="C227" s="10" t="inlineStr">
        <is>
          <t>UNI EN 81-20:2020, 5.12.3.1; UNI EN 81-28:2004, 4.1.3, 4.2.1 e 7</t>
        </is>
      </c>
      <c r="D227"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227" s="10" t="inlineStr">
        <is>
          <t>UNI EN 81-20:2020, 5.12.3.1; UNI EN 81-28:2004, 4.1.3, 4.2.1 e 7</t>
        </is>
      </c>
      <c r="F227" s="10" t="inlineStr">
        <is>
          <t>testo della norma, letto il 2026-10-06 (punti e valori con parole nostre)</t>
        </is>
      </c>
      <c r="G227" s="10" t="inlineStr">
        <is>
          <t>confermato</t>
        </is>
      </c>
      <c r="H227" s="10" t="inlineStr">
        <is>
          <t>—</t>
        </is>
      </c>
      <c r="I227" s="11" t="n"/>
      <c r="J227" s="11" t="n"/>
      <c r="K227" s="11" t="n"/>
      <c r="L227" s="11" t="n"/>
      <c r="M227" s="11" t="n"/>
      <c r="N227" s="11" t="n"/>
    </row>
    <row r="228" ht="56" customHeight="1">
      <c r="A228" s="10" t="n">
        <v>226</v>
      </c>
      <c r="B228" s="10" t="inlineStr">
        <is>
          <t>Collaudo: UNI EN 81-28:2022 (teleallarme)</t>
        </is>
      </c>
      <c r="C228" s="10" t="inlineStr">
        <is>
          <t>UNI EN 81-28:2022</t>
        </is>
      </c>
      <c r="D228" s="10" t="inlineStr">
        <is>
          <t>requisiti dell’edizione citata in GUUE da verificare sul testo; nelle modifiche la UNI 10411-1/-11:2024 (punto 23) ammette l’allarme nuovo secondo la EN 81-20 5.12.3.1 o la UNI EN 81-28:2022</t>
        </is>
      </c>
      <c r="E228" s="10" t="inlineStr">
        <is>
          <t>UNI EN 81-28:2022</t>
        </is>
      </c>
      <c r="F228" s="10" t="inlineStr">
        <is>
          <t>ricerca, cap. 16 (testi ufficiali e schede UNI, 2026-10-02)</t>
        </is>
      </c>
      <c r="G228" s="10" t="inlineStr">
        <is>
          <t>da verificare</t>
        </is>
      </c>
      <c r="H228" s="10" t="inlineStr">
        <is>
          <t>—</t>
        </is>
      </c>
      <c r="I228" s="11" t="n"/>
      <c r="J228" s="11" t="n"/>
      <c r="K228" s="11" t="n"/>
      <c r="L228" s="11" t="n"/>
      <c r="M228" s="11" t="n"/>
      <c r="N228" s="11" t="n"/>
    </row>
    <row r="229" ht="95" customHeight="1">
      <c r="A229" s="10" t="n">
        <v>227</v>
      </c>
      <c r="B229" s="10" t="inlineStr">
        <is>
          <t>Collaudo: UNI EN 81-58:2022 (resistenza al fuoco delle porte di piano)</t>
        </is>
      </c>
      <c r="C229" s="10" t="inlineStr">
        <is>
          <t>UNI EN 81-58:2022; DM 15/09/2005, 3.2–3.3 e art. 1 c.2 lett. c)</t>
        </is>
      </c>
      <c r="D229"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229" s="10" t="inlineStr">
        <is>
          <t>UNI EN 81-58:2022; DM 15/09/2005, 3.2–3.3 e art. 1 c.2 lett. c)</t>
        </is>
      </c>
      <c r="F229" s="10" t="inlineStr">
        <is>
          <t>ricerca, cap. 16 (testi ufficiali e schede UNI, 2026-10-02)</t>
        </is>
      </c>
      <c r="G229" s="10" t="inlineStr">
        <is>
          <t>confermato</t>
        </is>
      </c>
      <c r="H229" s="10" t="inlineStr">
        <is>
          <t>—</t>
        </is>
      </c>
      <c r="I229" s="11" t="n"/>
      <c r="J229" s="11" t="n"/>
      <c r="K229" s="11" t="n"/>
      <c r="L229" s="11" t="n"/>
      <c r="M229" s="11" t="n"/>
      <c r="N229" s="11" t="n"/>
    </row>
    <row r="230" ht="95" customHeight="1">
      <c r="A230" s="10" t="n">
        <v>228</v>
      </c>
      <c r="B230" s="10" t="inlineStr">
        <is>
          <t>Collaudo: UNI EN 81-70:2022 (accessibilità)</t>
        </is>
      </c>
      <c r="C230" s="10" t="inlineStr">
        <is>
          <t>UNI EN 81-70:2022, 5.3.1</t>
        </is>
      </c>
      <c r="D230"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230" s="10" t="inlineStr">
        <is>
          <t>UNI EN 81-70:2022, 5.3.1</t>
        </is>
      </c>
      <c r="F230" s="10" t="inlineStr">
        <is>
          <t>ricerca, cap. 16 (testi ufficiali e schede UNI, 2026-10-02)</t>
        </is>
      </c>
      <c r="G230" s="10" t="inlineStr">
        <is>
          <t>da verificare</t>
        </is>
      </c>
      <c r="H230" s="10" t="inlineStr">
        <is>
          <t>—</t>
        </is>
      </c>
      <c r="I230" s="11" t="n"/>
      <c r="J230" s="11" t="n"/>
      <c r="K230" s="11" t="n"/>
      <c r="L230" s="11" t="n"/>
      <c r="M230" s="11" t="n"/>
      <c r="N230" s="11" t="n"/>
    </row>
    <row r="231" ht="95" customHeight="1">
      <c r="A231" s="10" t="n">
        <v>229</v>
      </c>
      <c r="B231" s="10" t="inlineStr">
        <is>
          <t>Collaudo: UNI EN 81-70:2022 (accessibilità)</t>
        </is>
      </c>
      <c r="C231" s="10" t="inlineStr">
        <is>
          <t>UNI EN 81-70:2022, 5.3.2 e 5.4</t>
        </is>
      </c>
      <c r="D231"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231" s="10" t="inlineStr">
        <is>
          <t>UNI EN 81-70:2022, 5.3.2 e 5.4</t>
        </is>
      </c>
      <c r="F231" s="10" t="inlineStr">
        <is>
          <t>ricerca, cap. 16 (testi ufficiali e schede UNI, 2026-10-02)</t>
        </is>
      </c>
      <c r="G231" s="10" t="inlineStr">
        <is>
          <t>da verificare</t>
        </is>
      </c>
      <c r="H231" s="10" t="inlineStr">
        <is>
          <t>—</t>
        </is>
      </c>
      <c r="I231" s="11" t="n"/>
      <c r="J231" s="11" t="n"/>
      <c r="K231" s="11" t="n"/>
      <c r="L231" s="11" t="n"/>
      <c r="M231" s="11" t="n"/>
      <c r="N231" s="11" t="n"/>
    </row>
    <row r="232" ht="43" customHeight="1">
      <c r="A232" s="10" t="n">
        <v>230</v>
      </c>
      <c r="B232" s="10" t="inlineStr">
        <is>
          <t>Collaudo: UNI EN 81-70:2022 (accessibilità)</t>
        </is>
      </c>
      <c r="C232" s="10" t="inlineStr">
        <is>
          <t>UNI EN 81-70:2022, scopo</t>
        </is>
      </c>
      <c r="D232" s="10" t="inlineStr">
        <is>
          <t>si usa con la UNI EN 81-20:2020; per gli impianti esistenti vale la UNI EN 81-82</t>
        </is>
      </c>
      <c r="E232" s="10" t="inlineStr">
        <is>
          <t>UNI EN 81-70:2022, scopo</t>
        </is>
      </c>
      <c r="F232" s="10" t="inlineStr">
        <is>
          <t>ricerca, cap. 16 (testi ufficiali e schede UNI, 2026-10-02)</t>
        </is>
      </c>
      <c r="G232" s="10" t="inlineStr">
        <is>
          <t>confermato</t>
        </is>
      </c>
      <c r="H232" s="10" t="inlineStr">
        <is>
          <t>—</t>
        </is>
      </c>
      <c r="I232" s="11" t="n"/>
      <c r="J232" s="11" t="n"/>
      <c r="K232" s="11" t="n"/>
      <c r="L232" s="11" t="n"/>
      <c r="M232" s="11" t="n"/>
      <c r="N232" s="11" t="n"/>
    </row>
    <row r="233" ht="43" customHeight="1">
      <c r="A233" s="10" t="n">
        <v>231</v>
      </c>
      <c r="B233" s="10" t="inlineStr">
        <is>
          <t>Collaudo: UNI EN 81-71 (ascensori antivandalo)</t>
        </is>
      </c>
      <c r="C233" s="10" t="inlineStr">
        <is>
          <t>UNI EN 81-71</t>
        </is>
      </c>
      <c r="D233" s="10" t="inlineStr">
        <is>
          <t>categoria antivandalo da concordare con il committente; per la presunzione di conformità vale l’edizione 2005+A1:2006</t>
        </is>
      </c>
      <c r="E233" s="10" t="inlineStr">
        <is>
          <t>UNI EN 81-71</t>
        </is>
      </c>
      <c r="F233" s="10" t="inlineStr">
        <is>
          <t>ricerca, cap. 16 (testi ufficiali e schede UNI, 2026-10-02)</t>
        </is>
      </c>
      <c r="G233" s="10" t="inlineStr">
        <is>
          <t>da verificare</t>
        </is>
      </c>
      <c r="H233" s="10" t="inlineStr">
        <is>
          <t>—</t>
        </is>
      </c>
      <c r="I233" s="11" t="n"/>
      <c r="J233" s="11" t="n"/>
      <c r="K233" s="11" t="n"/>
      <c r="L233" s="11" t="n"/>
      <c r="M233" s="11" t="n"/>
      <c r="N233" s="11" t="n"/>
    </row>
    <row r="234" ht="108" customHeight="1">
      <c r="A234" s="10" t="n">
        <v>232</v>
      </c>
      <c r="B234" s="10" t="inlineStr">
        <is>
          <t>Collaudo: UNI EN 81-72:2020 (ascensori antincendio)</t>
        </is>
      </c>
      <c r="C234" s="10" t="inlineStr">
        <is>
          <t>DM 15/09/2005, punto 7 (valori); Codice V.3.3.4</t>
        </is>
      </c>
      <c r="D234"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34" s="10" t="inlineStr">
        <is>
          <t>DM 15/09/2005, punto 7 (valori); Codice V.3.3.4</t>
        </is>
      </c>
      <c r="F234" s="10" t="inlineStr">
        <is>
          <t>ricerca, cap. 16 (testi ufficiali e schede UNI, 2026-10-02)</t>
        </is>
      </c>
      <c r="G234" s="10" t="inlineStr">
        <is>
          <t>confermato</t>
        </is>
      </c>
      <c r="H234" s="10" t="inlineStr">
        <is>
          <t>—</t>
        </is>
      </c>
      <c r="I234" s="11" t="n"/>
      <c r="J234" s="11" t="n"/>
      <c r="K234" s="11" t="n"/>
      <c r="L234" s="11" t="n"/>
      <c r="M234" s="11" t="n"/>
      <c r="N234" s="11" t="n"/>
    </row>
    <row r="235" ht="56" customHeight="1">
      <c r="A235" s="10" t="n">
        <v>233</v>
      </c>
      <c r="B235" s="10" t="inlineStr">
        <is>
          <t>Collaudo: UNI EN 81-72:2020 (ascensori antincendio)</t>
        </is>
      </c>
      <c r="C235" s="10" t="inlineStr">
        <is>
          <t>Codice S.10, Tab. S.10-2</t>
        </is>
      </c>
      <c r="D235" s="10" t="inlineStr">
        <is>
          <t>alimentazione di sicurezza dell’ascensore antincendio: interruzione al massimo 15 s, autonomia oltre 30 min</t>
        </is>
      </c>
      <c r="E235" s="10" t="inlineStr">
        <is>
          <t>Codice S.10, Tab. S.10-2</t>
        </is>
      </c>
      <c r="F235" s="10" t="inlineStr">
        <is>
          <t>ricerca, cap. 16 (testi ufficiali e schede UNI, 2026-10-02)</t>
        </is>
      </c>
      <c r="G235" s="10" t="inlineStr">
        <is>
          <t>confermato</t>
        </is>
      </c>
      <c r="H235" s="10" t="inlineStr">
        <is>
          <t>—</t>
        </is>
      </c>
      <c r="I235" s="11" t="n"/>
      <c r="J235" s="11" t="n"/>
      <c r="K235" s="11" t="n"/>
      <c r="L235" s="11" t="n"/>
      <c r="M235" s="11" t="n"/>
      <c r="N235" s="11" t="n"/>
    </row>
    <row r="236" ht="56" customHeight="1">
      <c r="A236" s="10" t="n">
        <v>234</v>
      </c>
      <c r="B236" s="10" t="inlineStr">
        <is>
          <t>Collaudo: UNI EN 81-72:2020 (ascensori antincendio)</t>
        </is>
      </c>
      <c r="C236" s="10" t="inlineStr">
        <is>
          <t>UNI EN 81-72:2020</t>
        </is>
      </c>
      <c r="D236" s="10" t="inlineStr">
        <is>
          <t>requisiti propri della norma (cabina, tempi, protezione dall’acqua) da verificare sul testo</t>
        </is>
      </c>
      <c r="E236" s="10" t="inlineStr">
        <is>
          <t>UNI EN 81-72:2020</t>
        </is>
      </c>
      <c r="F236" s="10" t="inlineStr">
        <is>
          <t>ricerca, cap. 16 (testi ufficiali e schede UNI, 2026-10-02)</t>
        </is>
      </c>
      <c r="G236" s="10" t="inlineStr">
        <is>
          <t>da verificare</t>
        </is>
      </c>
      <c r="H236" s="10" t="inlineStr">
        <is>
          <t>—</t>
        </is>
      </c>
      <c r="I236" s="11" t="n"/>
      <c r="J236" s="11" t="n"/>
      <c r="K236" s="11" t="n"/>
      <c r="L236" s="11" t="n"/>
      <c r="M236" s="11" t="n"/>
      <c r="N236" s="11" t="n"/>
    </row>
    <row r="237" ht="69" customHeight="1">
      <c r="A237" s="10" t="n">
        <v>235</v>
      </c>
      <c r="B237" s="10" t="inlineStr">
        <is>
          <t>Collaudo: UNI EN 81-73:2020 (comportamento in caso d’incendio)</t>
        </is>
      </c>
      <c r="C237" s="10" t="inlineStr">
        <is>
          <t>DM 15/09/2005, punto 6; Codice V.3.3.1</t>
        </is>
      </c>
      <c r="D237" s="10" t="inlineStr">
        <is>
          <t>quando la compartimentazione lo richiede, su comando della rivelazione incendio la cabina va al piano prestabilito e lascia uscire i passeggeri; con il Codice l’ascensore «dovrebbe» essere conforme alla UNI EN 81-73</t>
        </is>
      </c>
      <c r="E237" s="10" t="inlineStr">
        <is>
          <t>DM 15/09/2005, punto 6; Codice V.3.3.1</t>
        </is>
      </c>
      <c r="F237" s="10" t="inlineStr">
        <is>
          <t>ricerca, cap. 16 (testi ufficiali e schede UNI, 2026-10-02)</t>
        </is>
      </c>
      <c r="G237" s="10" t="inlineStr">
        <is>
          <t>confermato</t>
        </is>
      </c>
      <c r="H237" s="10" t="inlineStr">
        <is>
          <t>—</t>
        </is>
      </c>
      <c r="I237" s="11" t="n"/>
      <c r="J237" s="11" t="n"/>
      <c r="K237" s="11" t="n"/>
      <c r="L237" s="11" t="n"/>
      <c r="M237" s="11" t="n"/>
      <c r="N237" s="11" t="n"/>
    </row>
    <row r="238" ht="56" customHeight="1">
      <c r="A238" s="10" t="n">
        <v>236</v>
      </c>
      <c r="B238" s="10" t="inlineStr">
        <is>
          <t>Collaudo: UNI EN 81-73:2020 (comportamento in caso d’incendio)</t>
        </is>
      </c>
      <c r="C238" s="10" t="inlineStr">
        <is>
          <t>UNI EN 81-73:2020</t>
        </is>
      </c>
      <c r="D238" s="10" t="inlineStr">
        <is>
          <t>segnali e comportamento della manovra da verificare sul testo; la norma serve anche da base per migliorare gli esistenti (così la UNI EN 81-73:2005 letta, punto 1)</t>
        </is>
      </c>
      <c r="E238" s="10" t="inlineStr">
        <is>
          <t>UNI EN 81-73:2020</t>
        </is>
      </c>
      <c r="F238" s="10" t="inlineStr">
        <is>
          <t>ricerca, cap. 16 (testi ufficiali e schede UNI, 2026-10-02)</t>
        </is>
      </c>
      <c r="G238" s="10" t="inlineStr">
        <is>
          <t>da verificare</t>
        </is>
      </c>
      <c r="H238" s="10" t="inlineStr">
        <is>
          <t>—</t>
        </is>
      </c>
      <c r="I238" s="11" t="n"/>
      <c r="J238" s="11" t="n"/>
      <c r="K238" s="11" t="n"/>
      <c r="L238" s="11" t="n"/>
      <c r="M238" s="11" t="n"/>
      <c r="N238" s="11" t="n"/>
    </row>
    <row r="239" ht="69" customHeight="1">
      <c r="A239" s="10" t="n">
        <v>237</v>
      </c>
      <c r="B239" s="10" t="inlineStr">
        <is>
          <t>Collaudo: UNI EN 81-76:2025 (evacuazione delle persone con disabilità)</t>
        </is>
      </c>
      <c r="C239" s="10" t="inlineStr">
        <is>
          <t>UNI EN 81-76:2025</t>
        </is>
      </c>
      <c r="D239" s="10" t="inlineStr">
        <is>
          <t>evacuazione delle persone con disabilità con l’ascensore: requisiti aggiuntivi alla EN 81-20 (manovra, alimentazione) da verificare sul testo</t>
        </is>
      </c>
      <c r="E239" s="10" t="inlineStr">
        <is>
          <t>UNI EN 81-76:2025</t>
        </is>
      </c>
      <c r="F239" s="10" t="inlineStr">
        <is>
          <t>ricerca, cap. 16 (testi ufficiali e schede UNI, 2026-10-02)</t>
        </is>
      </c>
      <c r="G239" s="10" t="inlineStr">
        <is>
          <t>da verificare</t>
        </is>
      </c>
      <c r="H239" s="10" t="inlineStr">
        <is>
          <t>—</t>
        </is>
      </c>
      <c r="I239" s="11" t="n"/>
      <c r="J239" s="11" t="n"/>
      <c r="K239" s="11" t="n"/>
      <c r="L239" s="11" t="n"/>
      <c r="M239" s="11" t="n"/>
      <c r="N239" s="11" t="n"/>
    </row>
    <row r="240" ht="56" customHeight="1">
      <c r="A240" s="10" t="n">
        <v>238</v>
      </c>
      <c r="B240" s="10" t="inlineStr">
        <is>
          <t>Collaudo: UNI EN 81-77:2022 (azioni sismiche)</t>
        </is>
      </c>
      <c r="C240" s="10" t="inlineStr">
        <is>
          <t>UNI EN 81-77:2022, 1</t>
        </is>
      </c>
      <c r="D240" s="10" t="inlineStr">
        <is>
          <t>con accelerazione di progetto a_d fino a 1 m/s² nessuna prescrizione specifica; a_d e la posizione dei rilevatori si concordano con il progettista dell’edificio</t>
        </is>
      </c>
      <c r="E240" s="10" t="inlineStr">
        <is>
          <t>UNI EN 81-77:2022, 1</t>
        </is>
      </c>
      <c r="F240" s="10" t="inlineStr">
        <is>
          <t>ricerca, cap. 16 (testi ufficiali e schede UNI, 2026-10-02)</t>
        </is>
      </c>
      <c r="G240" s="10" t="inlineStr">
        <is>
          <t>confermato</t>
        </is>
      </c>
      <c r="H240" s="10" t="inlineStr">
        <is>
          <t>—</t>
        </is>
      </c>
      <c r="I240" s="11" t="n"/>
      <c r="J240" s="11" t="n"/>
      <c r="K240" s="11" t="n"/>
      <c r="L240" s="11" t="n"/>
      <c r="M240" s="11" t="n"/>
      <c r="N240" s="11" t="n"/>
    </row>
    <row r="241" ht="95" customHeight="1">
      <c r="A241" s="10" t="n">
        <v>239</v>
      </c>
      <c r="B241" s="10" t="inlineStr">
        <is>
          <t>Collaudo: UNI EN 81-77:2022 (azioni sismiche)</t>
        </is>
      </c>
      <c r="C241" s="10" t="inlineStr">
        <is>
          <t>UNI EN 81-77:2022, 5.4–5.10, All. A, B, D</t>
        </is>
      </c>
      <c r="D241"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41" s="10" t="inlineStr">
        <is>
          <t>UNI EN 81-77:2022, 5.4–5.10, All. A, B, D</t>
        </is>
      </c>
      <c r="F241" s="10" t="inlineStr">
        <is>
          <t>ricerca, cap. 16 (testi ufficiali e schede UNI, 2026-10-02)</t>
        </is>
      </c>
      <c r="G241" s="10" t="inlineStr">
        <is>
          <t>da verificare</t>
        </is>
      </c>
      <c r="H241" s="10" t="inlineStr">
        <is>
          <t>—</t>
        </is>
      </c>
      <c r="I241" s="11" t="n"/>
      <c r="J241" s="11" t="n"/>
      <c r="K241" s="11" t="n"/>
      <c r="L241" s="11" t="n"/>
      <c r="M241" s="11" t="n"/>
      <c r="N241" s="11" t="n"/>
    </row>
    <row r="242" ht="43" customHeight="1">
      <c r="A242" s="10" t="n">
        <v>240</v>
      </c>
      <c r="B242" s="10" t="inlineStr">
        <is>
          <t>Collaudo: UNI EN 81-77:2022 (azioni sismiche)</t>
        </is>
      </c>
      <c r="C242" s="10" t="inlineStr">
        <is>
          <t>UNI EN 81-77:2022, 0.3</t>
        </is>
      </c>
      <c r="D242" s="10" t="inlineStr">
        <is>
          <t>non si applica agli impianti installati prima della sua pubblicazione</t>
        </is>
      </c>
      <c r="E242" s="10" t="inlineStr">
        <is>
          <t>UNI EN 81-77:2022, 0.3</t>
        </is>
      </c>
      <c r="F242" s="10" t="inlineStr">
        <is>
          <t>ricerca, cap. 16 (testi ufficiali e schede UNI, 2026-10-02)</t>
        </is>
      </c>
      <c r="G242" s="10" t="inlineStr">
        <is>
          <t>confermato</t>
        </is>
      </c>
      <c r="H242" s="10" t="inlineStr">
        <is>
          <t>—</t>
        </is>
      </c>
      <c r="I242" s="11" t="n"/>
      <c r="J242" s="11" t="n"/>
      <c r="K242" s="11" t="n"/>
      <c r="L242" s="11" t="n"/>
      <c r="M242" s="11" t="n"/>
      <c r="N242" s="11" t="n"/>
    </row>
    <row r="243" ht="69" customHeight="1">
      <c r="A243" s="10" t="n">
        <v>241</v>
      </c>
      <c r="B243" s="10" t="inlineStr">
        <is>
          <t>Collaudo: UNI EN 81-80:2019 (miglioramento della sicurezza degli esistenti)</t>
        </is>
      </c>
      <c r="C243" s="10" t="inlineStr">
        <is>
          <t>UNI EN 81-80:2004 e 2009, 1 e appendice A</t>
        </is>
      </c>
      <c r="D243" s="10" t="inlineStr">
        <is>
          <t>analisi dei rischi dell’impianto esistente e piano di miglioramento per priorità; quali misure e in che tempi lo decide la legislazione nazionale, non la norma</t>
        </is>
      </c>
      <c r="E243" s="10" t="inlineStr">
        <is>
          <t>UNI EN 81-80:2004 e 2009, 1 e appendice A</t>
        </is>
      </c>
      <c r="F243" s="10" t="inlineStr">
        <is>
          <t>testo della norma, letto il 2026-10-06 (punti e valori con parole nostre)</t>
        </is>
      </c>
      <c r="G243" s="10" t="inlineStr">
        <is>
          <t>confermato</t>
        </is>
      </c>
      <c r="H243" s="10" t="inlineStr">
        <is>
          <t>—</t>
        </is>
      </c>
      <c r="I243" s="11" t="n"/>
      <c r="J243" s="11" t="n"/>
      <c r="K243" s="11" t="n"/>
      <c r="L243" s="11" t="n"/>
      <c r="M243" s="11" t="n"/>
      <c r="N243" s="11" t="n"/>
    </row>
    <row r="244" ht="69" customHeight="1">
      <c r="A244" s="10" t="n">
        <v>242</v>
      </c>
      <c r="B244" s="10" t="inlineStr">
        <is>
          <t>Collaudo: UNI EN 81-80:2019 (miglioramento della sicurezza degli esistenti)</t>
        </is>
      </c>
      <c r="C244" s="10" t="inlineStr">
        <is>
          <t>UNI EN 81-80:2019</t>
        </is>
      </c>
      <c r="D244" s="10" t="inlineStr">
        <is>
          <t>la stessa analisi nell’edizione in vigore, con una struttura diversa: da verificare sul testo</t>
        </is>
      </c>
      <c r="E244" s="10" t="inlineStr">
        <is>
          <t>UNI EN 81-80:2019</t>
        </is>
      </c>
      <c r="F244" s="10" t="inlineStr">
        <is>
          <t>ricerca, cap. 16 (testi ufficiali e schede UNI, 2026-10-02)</t>
        </is>
      </c>
      <c r="G244" s="10" t="inlineStr">
        <is>
          <t>da verificare</t>
        </is>
      </c>
      <c r="H244" s="10" t="inlineStr">
        <is>
          <t>—</t>
        </is>
      </c>
      <c r="I244" s="11" t="n"/>
      <c r="J244" s="11" t="n"/>
      <c r="K244" s="11" t="n"/>
      <c r="L244" s="11" t="n"/>
      <c r="M244" s="11" t="n"/>
      <c r="N244" s="11" t="n"/>
    </row>
    <row r="245" ht="56" customHeight="1">
      <c r="A245" s="10" t="n">
        <v>243</v>
      </c>
      <c r="B245" s="10" t="inlineStr">
        <is>
          <t>Collaudo: UNI EN 81-82:2026 (accessibilità degli esistenti)</t>
        </is>
      </c>
      <c r="C245" s="10" t="inlineStr">
        <is>
          <t>UNI EN 81-82:2026</t>
        </is>
      </c>
      <c r="D245" s="10" t="inlineStr">
        <is>
          <t>miglioramento dell’accessibilità di un impianto esistente secondo i requisiti della EN 81-70</t>
        </is>
      </c>
      <c r="E245" s="10" t="inlineStr">
        <is>
          <t>UNI EN 81-82:2026</t>
        </is>
      </c>
      <c r="F245" s="10" t="inlineStr">
        <is>
          <t>ricerca, cap. 16 (testi ufficiali e schede UNI, 2026-10-02)</t>
        </is>
      </c>
      <c r="G245" s="10" t="inlineStr">
        <is>
          <t>confermato</t>
        </is>
      </c>
      <c r="H245" s="10" t="inlineStr">
        <is>
          <t>—</t>
        </is>
      </c>
      <c r="I245" s="11" t="n"/>
      <c r="J245" s="11" t="n"/>
      <c r="K245" s="11" t="n"/>
      <c r="L245" s="11" t="n"/>
      <c r="M245" s="11" t="n"/>
      <c r="N245" s="11" t="n"/>
    </row>
    <row r="246" ht="56" customHeight="1">
      <c r="A246" s="10" t="n">
        <v>244</v>
      </c>
      <c r="B246" s="10" t="inlineStr">
        <is>
          <t>Collaudo: UNI EN 81-83:2026 (antivandalo degli esistenti)</t>
        </is>
      </c>
      <c r="C246" s="10" t="inlineStr">
        <is>
          <t>UNI EN 81-83:2026</t>
        </is>
      </c>
      <c r="D246" s="10" t="inlineStr">
        <is>
          <t>miglioramento della resistenza agli atti vandalici di un impianto esistente secondo la EN 81-71:2022 (voce 1.2 della Tab. A.1 della EN 81-80)</t>
        </is>
      </c>
      <c r="E246" s="10" t="inlineStr">
        <is>
          <t>UNI EN 81-83:2026</t>
        </is>
      </c>
      <c r="F246" s="10" t="inlineStr">
        <is>
          <t>ricerca, cap. 16 (testi ufficiali e schede UNI, 2026-10-02)</t>
        </is>
      </c>
      <c r="G246" s="10" t="inlineStr">
        <is>
          <t>confermato</t>
        </is>
      </c>
      <c r="H246" s="10" t="inlineStr">
        <is>
          <t>—</t>
        </is>
      </c>
      <c r="I246" s="11" t="n"/>
      <c r="J246" s="11" t="n"/>
      <c r="K246" s="11" t="n"/>
      <c r="L246" s="11" t="n"/>
      <c r="M246" s="11" t="n"/>
      <c r="N246" s="11" t="n"/>
    </row>
    <row r="247" ht="82" customHeight="1">
      <c r="A247" s="10" t="n">
        <v>245</v>
      </c>
      <c r="B247" s="10" t="inlineStr">
        <is>
          <t>Collaudo: DM 236/1989 (barriere architettoniche)</t>
        </is>
      </c>
      <c r="C247" s="10" t="inlineStr">
        <is>
          <t>DM 236/1989, 8.1.12</t>
        </is>
      </c>
      <c r="D247" s="10" t="inlineStr">
        <is>
          <t>piattaforma di distribuzione davanti alla porta di cabina: 1,50 × 1,50 m negli edifici nuovi, 1,40 × 1,40 m nell’adeguamento (fuori dal vano: in sito)</t>
        </is>
      </c>
      <c r="E247" s="10" t="inlineStr">
        <is>
          <t>DM 236/1989, 8.1.12</t>
        </is>
      </c>
      <c r="F247" s="10" t="inlineStr">
        <is>
          <t>testo ufficiale del DM 236/1989</t>
        </is>
      </c>
      <c r="G247" s="10" t="inlineStr">
        <is>
          <t>confermato</t>
        </is>
      </c>
      <c r="H247" s="10" t="inlineStr">
        <is>
          <t>cabina minima (DM 236/1989); porta minima (DM 236/1989); porta sul lato corto; motivazione del caso c) (DM 236/1989); pulsanti più alti delle bottoniere (DM 236/1989)</t>
        </is>
      </c>
      <c r="I247" s="11" t="n"/>
      <c r="J247" s="11" t="n"/>
      <c r="K247" s="11" t="n"/>
      <c r="L247" s="11" t="n"/>
      <c r="M247" s="11" t="n"/>
      <c r="N247" s="11" t="n"/>
    </row>
    <row r="248" ht="82" customHeight="1">
      <c r="A248" s="10" t="n">
        <v>246</v>
      </c>
      <c r="B248" s="10" t="inlineStr">
        <is>
          <t>Collaudo: DM 236/1989 (barriere architettoniche)</t>
        </is>
      </c>
      <c r="C248" s="10" t="inlineStr">
        <is>
          <t>DM 236/1989, 8.1.12</t>
        </is>
      </c>
      <c r="D248" s="10" t="inlineStr">
        <is>
          <t>porte di cabina e di piano a scorrimento automatico (nell’adeguamento la porta di piano può essere a battente se ad apertura automatica); porte aperte almeno 8 s, chiusura in almeno 4 s</t>
        </is>
      </c>
      <c r="E248" s="10" t="inlineStr">
        <is>
          <t>DM 236/1989, 8.1.12</t>
        </is>
      </c>
      <c r="F248" s="10" t="inlineStr">
        <is>
          <t>testo ufficiale del DM 236/1989</t>
        </is>
      </c>
      <c r="G248" s="10" t="inlineStr">
        <is>
          <t>confermato</t>
        </is>
      </c>
      <c r="H248" s="10" t="inlineStr">
        <is>
          <t>cabina minima (DM 236/1989); porta minima (DM 236/1989); porta sul lato corto; motivazione del caso c) (DM 236/1989); pulsanti più alti delle bottoniere (DM 236/1989)</t>
        </is>
      </c>
      <c r="I248" s="11" t="n"/>
      <c r="J248" s="11" t="n"/>
      <c r="K248" s="11" t="n"/>
      <c r="L248" s="11" t="n"/>
      <c r="M248" s="11" t="n"/>
      <c r="N248" s="11" t="n"/>
    </row>
    <row r="249" ht="82" customHeight="1">
      <c r="A249" s="10" t="n">
        <v>247</v>
      </c>
      <c r="B249" s="10" t="inlineStr">
        <is>
          <t>Collaudo: DM 236/1989 (barriere architettoniche)</t>
        </is>
      </c>
      <c r="C249" s="10" t="inlineStr">
        <is>
          <t>DM 236/1989, 8.1.12</t>
        </is>
      </c>
      <c r="D249" s="10" t="inlineStr">
        <is>
          <t>arresto ai piani con autolivellamento entro ± 2 cm; sosta ai piani con le porte chiuse</t>
        </is>
      </c>
      <c r="E249" s="10" t="inlineStr">
        <is>
          <t>DM 236/1989, 8.1.12</t>
        </is>
      </c>
      <c r="F249" s="10" t="inlineStr">
        <is>
          <t>testo ufficiale del DM 236/1989</t>
        </is>
      </c>
      <c r="G249" s="10" t="inlineStr">
        <is>
          <t>confermato</t>
        </is>
      </c>
      <c r="H249" s="10" t="inlineStr">
        <is>
          <t>cabina minima (DM 236/1989); porta minima (DM 236/1989); porta sul lato corto; motivazione del caso c) (DM 236/1989); pulsanti più alti delle bottoniere (DM 236/1989)</t>
        </is>
      </c>
      <c r="I249" s="11" t="n"/>
      <c r="J249" s="11" t="n"/>
      <c r="K249" s="11" t="n"/>
      <c r="L249" s="11" t="n"/>
      <c r="M249" s="11" t="n"/>
      <c r="N249" s="11" t="n"/>
    </row>
    <row r="250" ht="82" customHeight="1">
      <c r="A250" s="10" t="n">
        <v>248</v>
      </c>
      <c r="B250" s="10" t="inlineStr">
        <is>
          <t>Collaudo: DM 236/1989 (barriere architettoniche)</t>
        </is>
      </c>
      <c r="C250" s="10" t="inlineStr">
        <is>
          <t>DM 236/1989, 8.1.12 e 8.0.1</t>
        </is>
      </c>
      <c r="D250" s="10" t="inlineStr">
        <is>
          <t>pulsanti di cabina e di piano: il più alto tra 1,10 e 1,40 m, misurato all’asse del comando; bottoniera di cabina su una parete laterale ad almeno 0,35 m dalla porta</t>
        </is>
      </c>
      <c r="E250" s="10" t="inlineStr">
        <is>
          <t>DM 236/1989, 8.1.12 e 8.0.1</t>
        </is>
      </c>
      <c r="F250" s="10" t="inlineStr">
        <is>
          <t>testo ufficiale del DM 236/1989</t>
        </is>
      </c>
      <c r="G250" s="10" t="inlineStr">
        <is>
          <t>confermato</t>
        </is>
      </c>
      <c r="H250" s="10" t="inlineStr">
        <is>
          <t>cabina minima (DM 236/1989); porta minima (DM 236/1989); porta sul lato corto; motivazione del caso c) (DM 236/1989); pulsanti più alti delle bottoniere (DM 236/1989)</t>
        </is>
      </c>
      <c r="I250" s="11" t="n"/>
      <c r="J250" s="11" t="n"/>
      <c r="K250" s="11" t="n"/>
      <c r="L250" s="11" t="n"/>
      <c r="M250" s="11" t="n"/>
      <c r="N250" s="11" t="n"/>
    </row>
    <row r="251" ht="95" customHeight="1">
      <c r="A251" s="10" t="n">
        <v>249</v>
      </c>
      <c r="B251" s="10" t="inlineStr">
        <is>
          <t>Collaudo: DM 236/1989 (barriere architettoniche)</t>
        </is>
      </c>
      <c r="C251" s="10" t="inlineStr">
        <is>
          <t>DM 236/1989, 8.1.12 e 4.1.12</t>
        </is>
      </c>
      <c r="D251"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51" s="10" t="inlineStr">
        <is>
          <t>DM 236/1989, 8.1.12 e 4.1.12</t>
        </is>
      </c>
      <c r="F251" s="10" t="inlineStr">
        <is>
          <t>testo ufficiale del DM 236/1989</t>
        </is>
      </c>
      <c r="G251" s="10" t="inlineStr">
        <is>
          <t>confermato</t>
        </is>
      </c>
      <c r="H251" s="10" t="inlineStr">
        <is>
          <t>cabina minima (DM 236/1989); porta minima (DM 236/1989); porta sul lato corto; motivazione del caso c) (DM 236/1989); pulsanti più alti delle bottoniere (DM 236/1989)</t>
        </is>
      </c>
      <c r="I251" s="11" t="n"/>
      <c r="J251" s="11" t="n"/>
      <c r="K251" s="11" t="n"/>
      <c r="L251" s="11" t="n"/>
      <c r="M251" s="11" t="n"/>
      <c r="N251" s="11" t="n"/>
    </row>
    <row r="252" ht="82" customHeight="1">
      <c r="A252" s="10" t="n">
        <v>250</v>
      </c>
      <c r="B252" s="10" t="inlineStr">
        <is>
          <t>Collaudo: DM 236/1989 (barriere architettoniche)</t>
        </is>
      </c>
      <c r="C252" s="10" t="inlineStr">
        <is>
          <t>DM 236/1989, 3.2; L. 13/1989, art. 1 c.3 lett. d)</t>
        </is>
      </c>
      <c r="D252" s="10" t="inlineStr">
        <is>
          <t>ascensore obbligatorio oltre il terzo livello (contati interrati e porticati); negli immobili con più di tre livelli fuori terra un ascensore per ogni scala principale</t>
        </is>
      </c>
      <c r="E252" s="10" t="inlineStr">
        <is>
          <t>DM 236/1989, 3.2; L. 13/1989, art. 1 c.3 lett. d)</t>
        </is>
      </c>
      <c r="F252" s="10" t="inlineStr">
        <is>
          <t>testo ufficiale del DM 236/1989; L. 13/1989: ricerca, cap. 16</t>
        </is>
      </c>
      <c r="G252" s="10" t="inlineStr">
        <is>
          <t>confermato</t>
        </is>
      </c>
      <c r="H252" s="10" t="inlineStr">
        <is>
          <t>cabina minima (DM 236/1989); porta minima (DM 236/1989); porta sul lato corto; motivazione del caso c) (DM 236/1989); pulsanti più alti delle bottoniere (DM 236/1989)</t>
        </is>
      </c>
      <c r="I252" s="11" t="n"/>
      <c r="J252" s="11" t="n"/>
      <c r="K252" s="11" t="n"/>
      <c r="L252" s="11" t="n"/>
      <c r="M252" s="11" t="n"/>
      <c r="N252" s="11" t="n"/>
    </row>
    <row r="253" ht="82" customHeight="1">
      <c r="A253" s="10" t="n">
        <v>251</v>
      </c>
      <c r="B253" s="10" t="inlineStr">
        <is>
          <t>Collaudo: DM 236/1989 (barriere architettoniche)</t>
        </is>
      </c>
      <c r="C253" s="10" t="inlineStr">
        <is>
          <t>DM 236/1989, 7.5; DPR 503/1996, art. 19</t>
        </is>
      </c>
      <c r="D253" s="10" t="inlineStr">
        <is>
          <t>nelle ristrutturazioni deroghe per impossibilità tecnica strutturale o impiantistica (privati: concesse dal Sindaco); edifici vincolati: deroga se le opere pregiudicano il bene</t>
        </is>
      </c>
      <c r="E253" s="10" t="inlineStr">
        <is>
          <t>DM 236/1989, 7.5; DPR 503/1996, art. 19</t>
        </is>
      </c>
      <c r="F253" s="10" t="inlineStr">
        <is>
          <t>testo ufficiale del DM 236/1989; DPR 503/1996: ricerca, cap. 16</t>
        </is>
      </c>
      <c r="G253" s="10" t="inlineStr">
        <is>
          <t>confermato</t>
        </is>
      </c>
      <c r="H253" s="10" t="inlineStr">
        <is>
          <t>cabina minima (DM 236/1989); porta minima (DM 236/1989); porta sul lato corto; motivazione del caso c) (DM 236/1989); pulsanti più alti delle bottoniere (DM 236/1989)</t>
        </is>
      </c>
      <c r="I253" s="11" t="n"/>
      <c r="J253" s="11" t="n"/>
      <c r="K253" s="11" t="n"/>
      <c r="L253" s="11" t="n"/>
      <c r="M253" s="11" t="n"/>
      <c r="N253" s="11" t="n"/>
    </row>
    <row r="254" ht="69" customHeight="1">
      <c r="A254" s="10" t="n">
        <v>252</v>
      </c>
      <c r="B254" s="10" t="inlineStr">
        <is>
          <t>Collaudo: DM 15/09/2005 o Codice di prevenzione incendi, RTV V.3 (antincendio)</t>
        </is>
      </c>
      <c r="C254" s="10" t="inlineStr">
        <is>
          <t>DM 3/8/2015, art. 5 c.1-bis lett. e)</t>
        </is>
      </c>
      <c r="D254" s="10" t="inlineStr">
        <is>
          <t>il progettista applica il DM 15/09/2005 oppure la RTV V.3 del Codice: dove si usa il Codice il DM 2005 non si applica</t>
        </is>
      </c>
      <c r="E254" s="10" t="inlineStr">
        <is>
          <t>DM 3/8/2015, art. 5 c.1-bis lett. e)</t>
        </is>
      </c>
      <c r="F254" s="10" t="inlineStr">
        <is>
          <t>ricerca, cap. 16 (testi ufficiali e schede UNI, 2026-10-02)</t>
        </is>
      </c>
      <c r="G254" s="10" t="inlineStr">
        <is>
          <t>confermato</t>
        </is>
      </c>
      <c r="H254" s="10" t="inlineStr">
        <is>
          <t>—</t>
        </is>
      </c>
      <c r="I254" s="11" t="n"/>
      <c r="J254" s="11" t="n"/>
      <c r="K254" s="11" t="n"/>
      <c r="L254" s="11" t="n"/>
      <c r="M254" s="11" t="n"/>
      <c r="N254" s="11" t="n"/>
    </row>
    <row r="255" ht="95" customHeight="1">
      <c r="A255" s="10" t="n">
        <v>253</v>
      </c>
      <c r="B255" s="10" t="inlineStr">
        <is>
          <t>Collaudo: DM 15/09/2005 o Codice di prevenzione incendi, RTV V.3 (antincendio)</t>
        </is>
      </c>
      <c r="C255" s="10" t="inlineStr">
        <is>
          <t>DM 15/09/2005, art. 1 c.2</t>
        </is>
      </c>
      <c r="D255"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55" s="10" t="inlineStr">
        <is>
          <t>DM 15/09/2005, art. 1 c.2</t>
        </is>
      </c>
      <c r="F255" s="10" t="inlineStr">
        <is>
          <t>ricerca, cap. 16 (testi ufficiali e schede UNI, 2026-10-02)</t>
        </is>
      </c>
      <c r="G255" s="10" t="inlineStr">
        <is>
          <t>confermato</t>
        </is>
      </c>
      <c r="H255" s="10" t="inlineStr">
        <is>
          <t>—</t>
        </is>
      </c>
      <c r="I255" s="11" t="n"/>
      <c r="J255" s="11" t="n"/>
      <c r="K255" s="11" t="n"/>
      <c r="L255" s="11" t="n"/>
      <c r="M255" s="11" t="n"/>
      <c r="N255" s="11" t="n"/>
    </row>
    <row r="256" ht="69" customHeight="1">
      <c r="A256" s="10" t="n">
        <v>254</v>
      </c>
      <c r="B256" s="10" t="inlineStr">
        <is>
          <t>Collaudo: DM 15/09/2005 o Codice di prevenzione incendi, RTV V.3 (antincendio)</t>
        </is>
      </c>
      <c r="C256" s="10" t="inlineStr">
        <is>
          <t>DM 15/09/2005, 3.1–3.3; Codice V.3.2</t>
        </is>
      </c>
      <c r="D256" s="10" t="inlineStr">
        <is>
          <t>tipo di vano: aperto, protetto o a prova di fumo (Codice: classi da SA a SE)</t>
        </is>
      </c>
      <c r="E256" s="10" t="inlineStr">
        <is>
          <t>DM 15/09/2005, 3.1–3.3; Codice V.3.2</t>
        </is>
      </c>
      <c r="F256" s="10" t="inlineStr">
        <is>
          <t>ricerca, cap. 16 (testi ufficiali e schede UNI, 2026-10-02)</t>
        </is>
      </c>
      <c r="G256" s="10" t="inlineStr">
        <is>
          <t>confermato</t>
        </is>
      </c>
      <c r="H256" s="10" t="inlineStr">
        <is>
          <t>—</t>
        </is>
      </c>
      <c r="I256" s="11" t="n"/>
      <c r="J256" s="11" t="n"/>
      <c r="K256" s="11" t="n"/>
      <c r="L256" s="11" t="n"/>
      <c r="M256" s="11" t="n"/>
      <c r="N256" s="11" t="n"/>
    </row>
    <row r="257" ht="69" customHeight="1">
      <c r="A257" s="10" t="n">
        <v>255</v>
      </c>
      <c r="B257" s="10" t="inlineStr">
        <is>
          <t>Collaudo: DM 15/09/2005 o Codice di prevenzione incendi, RTV V.3 (antincendio)</t>
        </is>
      </c>
      <c r="C257" s="10" t="inlineStr">
        <is>
          <t>DM 15/09/2005, punto 2</t>
        </is>
      </c>
      <c r="D257" s="10" t="inlineStr">
        <is>
          <t>pareti del vano, locale macchina e pulegge, setti e arcata non combustibili; pareti, pavimento e tetto della cabina in classe di reazione al fuoco non oltre 1</t>
        </is>
      </c>
      <c r="E257" s="10" t="inlineStr">
        <is>
          <t>DM 15/09/2005, punto 2</t>
        </is>
      </c>
      <c r="F257" s="10" t="inlineStr">
        <is>
          <t>ricerca, cap. 16 (testi ufficiali e schede UNI, 2026-10-02)</t>
        </is>
      </c>
      <c r="G257" s="10" t="inlineStr">
        <is>
          <t>confermato</t>
        </is>
      </c>
      <c r="H257" s="10" t="inlineStr">
        <is>
          <t>—</t>
        </is>
      </c>
      <c r="I257" s="11" t="n"/>
      <c r="J257" s="11" t="n"/>
      <c r="K257" s="11" t="n"/>
      <c r="L257" s="11" t="n"/>
      <c r="M257" s="11" t="n"/>
      <c r="N257" s="11" t="n"/>
    </row>
    <row r="258" ht="108" customHeight="1">
      <c r="A258" s="10" t="n">
        <v>256</v>
      </c>
      <c r="B258" s="10" t="inlineStr">
        <is>
          <t>Collaudo: DM 15/09/2005 o Codice di prevenzione incendi, RTV V.3 (antincendio)</t>
        </is>
      </c>
      <c r="C258" s="10" t="inlineStr">
        <is>
          <t>DM 15/03/2005 (tabella di confronto); UNI EN 81-20:2020, 5.4.4</t>
        </is>
      </c>
      <c r="D258"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58" s="10" t="inlineStr">
        <is>
          <t>DM 15/03/2005 (tabella di confronto); UNI EN 81-20:2020, 5.4.4</t>
        </is>
      </c>
      <c r="F258" s="10" t="inlineStr">
        <is>
          <t>ricerca, cap. 16 (testi ufficiali e schede UNI, 2026-10-02)</t>
        </is>
      </c>
      <c r="G258" s="10" t="inlineStr">
        <is>
          <t>da verificare</t>
        </is>
      </c>
      <c r="H258" s="10" t="inlineStr">
        <is>
          <t>—</t>
        </is>
      </c>
      <c r="I258" s="11" t="n"/>
      <c r="J258" s="11" t="n"/>
      <c r="K258" s="11" t="n"/>
      <c r="L258" s="11" t="n"/>
      <c r="M258" s="11" t="n"/>
      <c r="N258" s="11" t="n"/>
    </row>
    <row r="259" ht="82" customHeight="1">
      <c r="A259" s="10" t="n">
        <v>257</v>
      </c>
      <c r="B259" s="10" t="inlineStr">
        <is>
          <t>Collaudo: DM 15/09/2005 o Codice di prevenzione incendi, RTV V.3 (antincendio)</t>
        </is>
      </c>
      <c r="C259" s="10" t="inlineStr">
        <is>
          <t>DM 15/09/2005, punto 5</t>
        </is>
      </c>
      <c r="D259"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59" s="10" t="inlineStr">
        <is>
          <t>DM 15/09/2005, punto 5</t>
        </is>
      </c>
      <c r="F259" s="10" t="inlineStr">
        <is>
          <t>ricerca, cap. 16 (testi ufficiali e schede UNI, 2026-10-02)</t>
        </is>
      </c>
      <c r="G259" s="10" t="inlineStr">
        <is>
          <t>confermato</t>
        </is>
      </c>
      <c r="H259" s="10" t="inlineStr">
        <is>
          <t>—</t>
        </is>
      </c>
      <c r="I259" s="11" t="n"/>
      <c r="J259" s="11" t="n"/>
      <c r="K259" s="11" t="n"/>
      <c r="L259" s="11" t="n"/>
      <c r="M259" s="11" t="n"/>
      <c r="N259" s="11" t="n"/>
    </row>
    <row r="260" ht="69" customHeight="1">
      <c r="A260" s="10" t="n">
        <v>258</v>
      </c>
      <c r="B260" s="10" t="inlineStr">
        <is>
          <t>Collaudo: DM 15/09/2005 o Codice di prevenzione incendi, RTV V.3 (antincendio)</t>
        </is>
      </c>
      <c r="C260" s="10" t="inlineStr">
        <is>
          <t>DM 15/09/2005, punto 6; Codice V.3.3.1 c.5</t>
        </is>
      </c>
      <c r="D260" s="10" t="inlineStr">
        <is>
          <t>estintore 21A89BC vicino all’accesso al macchinario; richiamo della cabina al piano prestabilito su comando della rivelazione quando la compartimentazione lo richiede</t>
        </is>
      </c>
      <c r="E260" s="10" t="inlineStr">
        <is>
          <t>DM 15/09/2005, punto 6; Codice V.3.3.1 c.5</t>
        </is>
      </c>
      <c r="F260" s="10" t="inlineStr">
        <is>
          <t>ricerca, cap. 16 (testi ufficiali e schede UNI, 2026-10-02)</t>
        </is>
      </c>
      <c r="G260" s="10" t="inlineStr">
        <is>
          <t>confermato</t>
        </is>
      </c>
      <c r="H260" s="10" t="inlineStr">
        <is>
          <t>—</t>
        </is>
      </c>
      <c r="I260" s="11" t="n"/>
      <c r="J260" s="11" t="n"/>
      <c r="K260" s="11" t="n"/>
      <c r="L260" s="11" t="n"/>
      <c r="M260" s="11" t="n"/>
      <c r="N260" s="11" t="n"/>
    </row>
    <row r="261" ht="69" customHeight="1">
      <c r="A261" s="10" t="n">
        <v>259</v>
      </c>
      <c r="B261" s="10" t="inlineStr">
        <is>
          <t>Collaudo: DM 15/09/2005 o Codice di prevenzione incendi, RTV V.3 (antincendio)</t>
        </is>
      </c>
      <c r="C261" s="10" t="inlineStr">
        <is>
          <t>Codice S.9, Tab. S.9-3</t>
        </is>
      </c>
      <c r="D261" s="10" t="inlineStr">
        <is>
          <t>piani tra 32 e 54 m: almeno un ascensore antincendio; oltre 54 m: almeno uno di soccorso; interrati tra −10 e −15 m: antincendio; sotto −15 m: soccorso</t>
        </is>
      </c>
      <c r="E261" s="10" t="inlineStr">
        <is>
          <t>Codice S.9, Tab. S.9-3</t>
        </is>
      </c>
      <c r="F261" s="10" t="inlineStr">
        <is>
          <t>ricerca, cap. 16 (testi ufficiali e schede UNI, 2026-10-02)</t>
        </is>
      </c>
      <c r="G261" s="10" t="inlineStr">
        <is>
          <t>confermato</t>
        </is>
      </c>
      <c r="H261" s="10" t="inlineStr">
        <is>
          <t>—</t>
        </is>
      </c>
      <c r="I261" s="11" t="n"/>
      <c r="J261" s="11" t="n"/>
      <c r="K261" s="11" t="n"/>
      <c r="L261" s="11" t="n"/>
      <c r="M261" s="11" t="n"/>
      <c r="N261" s="11" t="n"/>
    </row>
    <row r="262" ht="82" customHeight="1">
      <c r="A262" s="10" t="n">
        <v>260</v>
      </c>
      <c r="B262" s="10" t="inlineStr">
        <is>
          <t>Collaudo: NTC 2018 (strutture e azioni sismiche)</t>
        </is>
      </c>
      <c r="C262" s="10" t="inlineStr">
        <is>
          <t>NTC 2018, §3.1.4</t>
        </is>
      </c>
      <c r="D262" s="10" t="inlineStr">
        <is>
          <t>carichi del macchinario valutati caso per caso sui massimi prevedibili e riportati nel progetto e nel collaudo statico</t>
        </is>
      </c>
      <c r="E262" s="10" t="inlineStr">
        <is>
          <t>NTC 2018, §3.1.4</t>
        </is>
      </c>
      <c r="F262" s="10" t="inlineStr">
        <is>
          <t>ricerca, cap. 16 (testi ufficiali e schede UNI, 2026-10-02)</t>
        </is>
      </c>
      <c r="G262" s="10" t="inlineStr">
        <is>
          <t>confermato</t>
        </is>
      </c>
      <c r="H262" s="10" t="inlineStr">
        <is>
          <t>tensione nelle putrelle sotto l’argano; freccia delle putrelle sotto l’argano; tensione nelle putrelle HEB sui muri del vano; freccia delle putrelle HEB sui muri del vano</t>
        </is>
      </c>
      <c r="I262" s="11" t="n"/>
      <c r="J262" s="11" t="n"/>
      <c r="K262" s="11" t="n"/>
      <c r="L262" s="11" t="n"/>
      <c r="M262" s="11" t="n"/>
      <c r="N262" s="11" t="n"/>
    </row>
    <row r="263" ht="82" customHeight="1">
      <c r="A263" s="10" t="n">
        <v>261</v>
      </c>
      <c r="B263" s="10" t="inlineStr">
        <is>
          <t>Collaudo: NTC 2018 (strutture e azioni sismiche)</t>
        </is>
      </c>
      <c r="C263" s="10" t="inlineStr">
        <is>
          <t>NTC 2018, §8.4.1</t>
        </is>
      </c>
      <c r="D263" s="10" t="inlineStr">
        <is>
          <t>su un edificio esistente l’intervento è locale: verifica limitata alle parti interessate, senza ridurre la sicurezza preesistente</t>
        </is>
      </c>
      <c r="E263" s="10" t="inlineStr">
        <is>
          <t>NTC 2018, §8.4.1</t>
        </is>
      </c>
      <c r="F263" s="10" t="inlineStr">
        <is>
          <t>ricerca, cap. 16 (testi ufficiali e schede UNI, 2026-10-02)</t>
        </is>
      </c>
      <c r="G263" s="10" t="inlineStr">
        <is>
          <t>confermato</t>
        </is>
      </c>
      <c r="H263" s="10" t="inlineStr">
        <is>
          <t>tensione nelle putrelle sotto l’argano; freccia delle putrelle sotto l’argano; tensione nelle putrelle HEB sui muri del vano; freccia delle putrelle HEB sui muri del vano</t>
        </is>
      </c>
      <c r="I263" s="11" t="n"/>
      <c r="J263" s="11" t="n"/>
      <c r="K263" s="11" t="n"/>
      <c r="L263" s="11" t="n"/>
      <c r="M263" s="11" t="n"/>
      <c r="N263" s="11" t="n"/>
    </row>
    <row r="264" ht="82" customHeight="1">
      <c r="A264" s="10" t="n">
        <v>262</v>
      </c>
      <c r="B264" s="10" t="inlineStr">
        <is>
          <t>Collaudo: NTC 2018 (strutture e azioni sismiche)</t>
        </is>
      </c>
      <c r="C264" s="10" t="inlineStr">
        <is>
          <t>NTC 2018, §11.4.1</t>
        </is>
      </c>
      <c r="D264" s="10" t="inlineStr">
        <is>
          <t>ancoranti per uso strutturale qualificati; con azioni sismiche categoria C2 per tutte le classi d’uso</t>
        </is>
      </c>
      <c r="E264" s="10" t="inlineStr">
        <is>
          <t>NTC 2018, §11.4.1</t>
        </is>
      </c>
      <c r="F264" s="10" t="inlineStr">
        <is>
          <t>ricerca, cap. 16 (testi ufficiali e schede UNI, 2026-10-02)</t>
        </is>
      </c>
      <c r="G264" s="10" t="inlineStr">
        <is>
          <t>confermato</t>
        </is>
      </c>
      <c r="H264" s="10" t="inlineStr">
        <is>
          <t>tensione nelle putrelle sotto l’argano; freccia delle putrelle sotto l’argano; tensione nelle putrelle HEB sui muri del vano; freccia delle putrelle HEB sui muri del vano</t>
        </is>
      </c>
      <c r="I264" s="11" t="n"/>
      <c r="J264" s="11" t="n"/>
      <c r="K264" s="11" t="n"/>
      <c r="L264" s="11" t="n"/>
      <c r="M264" s="11" t="n"/>
      <c r="N264" s="11" t="n"/>
    </row>
    <row r="265" ht="108" customHeight="1">
      <c r="A265" s="10" t="n">
        <v>263</v>
      </c>
      <c r="B265" s="10" t="inlineStr">
        <is>
          <t>Collaudo: NTC 2018 (strutture e azioni sismiche)</t>
        </is>
      </c>
      <c r="C265" s="10" t="inlineStr">
        <is>
          <t>NTC 2018, §7.2.3–7.2.4</t>
        </is>
      </c>
      <c r="D265"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65" s="10" t="inlineStr">
        <is>
          <t>NTC 2018, §7.2.3–7.2.4</t>
        </is>
      </c>
      <c r="F265" s="10" t="inlineStr">
        <is>
          <t>ricerca, cap. 16 (testi ufficiali e schede UNI, 2026-10-02)</t>
        </is>
      </c>
      <c r="G265" s="10" t="inlineStr">
        <is>
          <t>confermato</t>
        </is>
      </c>
      <c r="H265" s="10" t="inlineStr">
        <is>
          <t>tensione nelle putrelle sotto l’argano; freccia delle putrelle sotto l’argano; tensione nelle putrelle HEB sui muri del vano; freccia delle putrelle HEB sui muri del vano</t>
        </is>
      </c>
      <c r="I265" s="11" t="n"/>
      <c r="J265" s="11" t="n"/>
      <c r="K265" s="11" t="n"/>
      <c r="L265" s="11" t="n"/>
      <c r="M265" s="11" t="n"/>
      <c r="N265" s="11" t="n"/>
    </row>
    <row r="266" ht="82" customHeight="1">
      <c r="A266" s="10" t="n">
        <v>264</v>
      </c>
      <c r="B266" s="10" t="inlineStr">
        <is>
          <t>Collaudo: NTC 2018 (strutture e azioni sismiche)</t>
        </is>
      </c>
      <c r="C266" s="10" t="inlineStr">
        <is>
          <t>NTC 2018, Tab. 7.3.III e §7.3.6.3</t>
        </is>
      </c>
      <c r="D266" s="10" t="inlineStr">
        <is>
          <t>impianti: stabilità allo SLV per tutte le classi d’uso; nelle classi III e IV anche funzionamento allo SLO</t>
        </is>
      </c>
      <c r="E266" s="10" t="inlineStr">
        <is>
          <t>NTC 2018, Tab. 7.3.III e §7.3.6.3</t>
        </is>
      </c>
      <c r="F266" s="10" t="inlineStr">
        <is>
          <t>ricerca, cap. 16 (testi ufficiali e schede UNI, 2026-10-02)</t>
        </is>
      </c>
      <c r="G266" s="10" t="inlineStr">
        <is>
          <t>confermato</t>
        </is>
      </c>
      <c r="H266" s="10" t="inlineStr">
        <is>
          <t>tensione nelle putrelle sotto l’argano; freccia delle putrelle sotto l’argano; tensione nelle putrelle HEB sui muri del vano; freccia delle putrelle HEB sui muri del vano</t>
        </is>
      </c>
      <c r="I266" s="11" t="n"/>
      <c r="J266" s="11" t="n"/>
      <c r="K266" s="11" t="n"/>
      <c r="L266" s="11" t="n"/>
      <c r="M266" s="11" t="n"/>
      <c r="N266" s="11" t="n"/>
    </row>
  </sheetData>
  <autoFilter ref="A1:N266"/>
  <dataValidations count="1">
    <dataValidation sqref="I3:I266"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COUNTIF(Voci!$G$3:$G$266,"da verificare")</f>
        <v/>
      </c>
    </row>
    <row r="5">
      <c r="A5" s="6" t="inlineStr">
        <is>
          <t>confermato</t>
        </is>
      </c>
      <c r="B5" s="6">
        <f>COUNTIF(Voci!$G$3:$G$266,"confermato")</f>
        <v/>
      </c>
    </row>
    <row r="6">
      <c r="A6" s="6" t="inlineStr">
        <is>
          <t>scelta del software</t>
        </is>
      </c>
      <c r="B6" s="6">
        <f>COUNTIF(Voci!$G$3:$G$266,"scelta del software")</f>
        <v/>
      </c>
    </row>
    <row r="7">
      <c r="A7" s="6" t="inlineStr">
        <is>
          <t>stima</t>
        </is>
      </c>
      <c r="B7" s="6">
        <f>COUNTIF(Voci!$G$3:$G$266,"stima")</f>
        <v/>
      </c>
    </row>
    <row r="8">
      <c r="A8" s="6" t="inlineStr">
        <is>
          <t>derivazione</t>
        </is>
      </c>
      <c r="B8" s="6">
        <f>COUNTIF(Voci!$G$3:$G$266,"derivazione")</f>
        <v/>
      </c>
    </row>
    <row r="9">
      <c r="A9" s="6" t="inlineStr">
        <is>
          <t>prassi di cantiere</t>
        </is>
      </c>
      <c r="B9" s="6">
        <f>COUNTIF(Voci!$G$3:$G$266,"prassi di cantiere")</f>
        <v/>
      </c>
    </row>
    <row r="10">
      <c r="A10" s="3" t="inlineStr">
        <is>
          <t>Totale voci</t>
        </is>
      </c>
      <c r="B10" s="3">
        <f>COUNTA(Voci!$A$3:$A$266)</f>
        <v/>
      </c>
    </row>
    <row r="12">
      <c r="A12" s="3" t="inlineStr">
        <is>
          <t>Esito</t>
        </is>
      </c>
    </row>
    <row r="13">
      <c r="A13" s="6" t="inlineStr">
        <is>
          <t>conforme</t>
        </is>
      </c>
      <c r="B13" s="6">
        <f>COUNTIF(Voci!$I$3:$I$266,"conforme")</f>
        <v/>
      </c>
    </row>
    <row r="14">
      <c r="A14" s="6" t="inlineStr">
        <is>
          <t>diverso</t>
        </is>
      </c>
      <c r="B14" s="6">
        <f>COUNTIF(Voci!$I$3:$I$266,"diverso")</f>
        <v/>
      </c>
    </row>
    <row r="15">
      <c r="A15" s="6" t="inlineStr">
        <is>
          <t>non applicabile</t>
        </is>
      </c>
      <c r="B15" s="6">
        <f>COUNTIF(Voci!$I$3:$I$266,"non applicabile")</f>
        <v/>
      </c>
    </row>
    <row r="16">
      <c r="A16" s="6" t="inlineStr">
        <is>
          <t>da compilare</t>
        </is>
      </c>
      <c r="B16" s="6">
        <f>COUNTBLANK(Voci!$I$3:$I$266)</f>
        <v/>
      </c>
    </row>
    <row r="18">
      <c r="A18" s="13" t="inlineStr">
        <is>
          <t>Conteggi sulle righe 3–266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2026-10-08T16:21:48Z</dcterms:created>
  <dcterms:modified xsi:type="dcterms:W3CDTF">2026-10-08T16:21:48Z</dcterms:modified>
</cp:coreProperties>
</file>