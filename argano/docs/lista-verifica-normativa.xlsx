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truzioni" sheetId="1" state="visible" r:id="rId3"/>
    <sheet name="Voci" sheetId="2" state="visible" r:id="rId4"/>
    <sheet name="Riepilogo" sheetId="3" state="visible" r:id="rId5"/>
  </sheets>
  <definedNames>
    <definedName function="false" hidden="false" localSheetId="1" name="_xlnm.Print_Titles" vbProcedure="false">Voci!$1:$1</definedName>
    <definedName function="false" hidden="true" localSheetId="1" name="_xlnm._FilterDatabase" vbProcedure="false">Voci!$A$1:$N$49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<sst xmlns="http://schemas.openxmlformats.org/spreadsheetml/2006/main" count="399" uniqueCount="249">
  <si>
    <t xml:space="preserve">Lista di verifica normativa — profilo IT-2026.1</t>
  </si>
  <si>
    <t xml:space="preserve">Italia — sostituzione dell'argano su impianto esistente</t>
  </si>
  <si>
    <t xml:space="preserve">Documenti del profilo</t>
  </si>
  <si>
    <t xml:space="preserve">Direttiva 2014/33/UE</t>
  </si>
  <si>
    <t xml:space="preserve">requisiti essenziali di sicurezza (Allegato I)</t>
  </si>
  <si>
    <t xml:space="preserve">DPR 162/1999 e s.m.i. (DPR 8/2015, DPR 23/2017)</t>
  </si>
  <si>
    <t xml:space="preserve">sostituzione del macchinario come modifica costruttiva; verifica straordinaria (art. 14)</t>
  </si>
  <si>
    <t xml:space="preserve">UNI EN 81-20:2020</t>
  </si>
  <si>
    <t xml:space="preserve">funi (5.5) e freno (5.9.2.2)</t>
  </si>
  <si>
    <t xml:space="preserve">UNI EN 81-50:2020</t>
  </si>
  <si>
    <t xml:space="preserve">aderenza (5.11) e coefficiente di sicurezza delle funi (5.12)</t>
  </si>
  <si>
    <t xml:space="preserve">UNI 10411-1:2024</t>
  </si>
  <si>
    <t xml:space="preserve">modifiche e sostituzioni su ascensori elettrici esistenti non conformi alle direttive</t>
  </si>
  <si>
    <t xml:space="preserve">Come compilare</t>
  </si>
  <si>
    <t xml:space="preserve">Nel foglio «Voci», per ogni riga confrontare il «Valore nel software» con il testo vigente del documento in «Dove verificare».</t>
  </si>
  <si>
    <t xml:space="preserve">Compilare solo le celle gialle: Esito (conforme / diverso / non applicabile), Valore corretto e Clausola esatta se diverso, Note, Verificato da, Data.</t>
  </si>
  <si>
    <t xml:space="preserve">La riga 2 è un ESEMPIO del formato: non è una voce e non entra nel riepilogo.</t>
  </si>
  <si>
    <t xml:space="preserve">Stati: «da verificare» = fonte secondaria; «stima» e «scelta del software» = decisioni del software da approvare o correggere; «derivazione» = meccanica elementare; «confermato» = due fonti indipendenti o un caso pubblicato riprodotto, da confrontare comunque con il testo; «prassi di cantiere» = indicazione di Panev Ascensori.</t>
  </si>
  <si>
    <t xml:space="preserve">Ogni correzione viene riportata nel registro del software (argano/src/calc/norme.ts) e cambia insieme motore di calcolo, lista e relazione di calcolo.</t>
  </si>
  <si>
    <t xml:space="preserve">Non trascrivere il testo delle norme in questo file: basta il valore e il numero di clausola.</t>
  </si>
  <si>
    <t xml:space="preserve">Legenda</t>
  </si>
  <si>
    <t xml:space="preserve">celle da compilare</t>
  </si>
  <si>
    <t xml:space="preserve">Verifica complessiva</t>
  </si>
  <si>
    <t xml:space="preserve">Ingegnere (nome e cognome)</t>
  </si>
  <si>
    <t xml:space="preserve">Iscrizione all'albo</t>
  </si>
  <si>
    <t xml:space="preserve">Data</t>
  </si>
  <si>
    <t xml:space="preserve">Firma</t>
  </si>
  <si>
    <t xml:space="preserve">N.</t>
  </si>
  <si>
    <t xml:space="preserve">Gruppo</t>
  </si>
  <si>
    <t xml:space="preserve">Voce</t>
  </si>
  <si>
    <t xml:space="preserve">Valore nel software</t>
  </si>
  <si>
    <t xml:space="preserve">Dove verificare</t>
  </si>
  <si>
    <t xml:space="preserve">Fonte attuale</t>
  </si>
  <si>
    <t xml:space="preserve">Stato</t>
  </si>
  <si>
    <t xml:space="preserve">Verifiche interessate</t>
  </si>
  <si>
    <t xml:space="preserve">Esito</t>
  </si>
  <si>
    <t xml:space="preserve">Valore corretto</t>
  </si>
  <si>
    <t xml:space="preserve">Clausola esatta</t>
  </si>
  <si>
    <t xml:space="preserve">Note</t>
  </si>
  <si>
    <t xml:space="preserve">Verificato da</t>
  </si>
  <si>
    <t xml:space="preserve">ESEMPIO</t>
  </si>
  <si>
    <t xml:space="preserve">Aderenza</t>
  </si>
  <si>
    <t xml:space="preserve">Coefficiente di attrito, caricamento</t>
  </si>
  <si>
    <t xml:space="preserve">μ = 0,1</t>
  </si>
  <si>
    <t xml:space="preserve">UNI EN 81-50:2020, 5.11.2</t>
  </si>
  <si>
    <t xml:space="preserve">fonti secondarie</t>
  </si>
  <si>
    <t xml:space="preserve">da verificare</t>
  </si>
  <si>
    <t xml:space="preserve">aderenza al caricamento</t>
  </si>
  <si>
    <t xml:space="preserve">diverso</t>
  </si>
  <si>
    <t xml:space="preserve">μ = 0,1 (con …)</t>
  </si>
  <si>
    <t xml:space="preserve">5.11.2.x</t>
  </si>
  <si>
    <t xml:space="preserve">formato della risposta: non è una voce</t>
  </si>
  <si>
    <t xml:space="preserve">iniziali</t>
  </si>
  <si>
    <t xml:space="preserve">gg/mm/aaaa</t>
  </si>
  <si>
    <t xml:space="preserve">Aderenza: tre condizioni di Euler-Eytelwein</t>
  </si>
  <si>
    <t xml:space="preserve">T1/T2 ≤ e^(f·α) al caricamento e in frenatura di emergenza; T1/T2 ≥ e^(f·α) con cabina bloccata</t>
  </si>
  <si>
    <t xml:space="preserve">UNI EN 81-50:2020, 5.11</t>
  </si>
  <si>
    <t xml:space="preserve">Mellor; Elevator World; Scientific Reports 2025</t>
  </si>
  <si>
    <t xml:space="preserve">confermato</t>
  </si>
  <si>
    <t xml:space="preserve">aderenza al caricamento; aderenza in frenatura, in discesa; aderenza in frenatura, in salita; cabina bloccata</t>
  </si>
  <si>
    <t xml:space="preserve">UNI EN 81-50:2020, 5.11.2 (sottoclausola da individuare)</t>
  </si>
  <si>
    <t xml:space="preserve">fonti secondarie concordi</t>
  </si>
  <si>
    <t xml:space="preserve">Coefficiente di attrito, frenatura di emergenza</t>
  </si>
  <si>
    <t xml:space="preserve">μ = 0,1 / (1 + v_f/10), v_f = velocità delle funi</t>
  </si>
  <si>
    <t xml:space="preserve">aderenza in frenatura, in discesa; aderenza in frenatura, in salita; aderenza alla decelerazione reale (avviso)</t>
  </si>
  <si>
    <t xml:space="preserve">Coefficiente di attrito, cabina bloccata</t>
  </si>
  <si>
    <t xml:space="preserve">μ = 0,2</t>
  </si>
  <si>
    <t xml:space="preserve">cabina bloccata</t>
  </si>
  <si>
    <t xml:space="preserve">Carico della verifica di caricamento — Il campione cita anche il peso dei dispositivi di movimentazione, dove usati: non modellato.</t>
  </si>
  <si>
    <t xml:space="preserve">1,25·Q, cabina in basso e in alto</t>
  </si>
  <si>
    <t xml:space="preserve">UNI EN 81-50:2020, 5.11.2.3.2</t>
  </si>
  <si>
    <t xml:space="preserve">campione BSI di EN 81-50:2020 (p. 50)</t>
  </si>
  <si>
    <t xml:space="preserve">Decelerazione della verifica di frenatura</t>
  </si>
  <si>
    <t xml:space="preserve">0,5 m/s²; 0,8 m/s² con ammortizzatori a corsa ridotta</t>
  </si>
  <si>
    <t xml:space="preserve">UNI EN 81-50:2020, 5.11.2.2.2</t>
  </si>
  <si>
    <t xml:space="preserve">fonti secondarie; 0,8 m/s² da EN 81-1 secondo una fonte secondaria</t>
  </si>
  <si>
    <t xml:space="preserve">aderenza in frenatura, in discesa; aderenza in frenatura, in salita</t>
  </si>
  <si>
    <t xml:space="preserve">Combinazioni della frenatura di emergenza</t>
  </si>
  <si>
    <t xml:space="preserve">cabina vuota e con portata × in discesa e in salita × in basso e in alto; conta la peggiore per verso</t>
  </si>
  <si>
    <t xml:space="preserve">derivazione (copertura completa dei casi)</t>
  </si>
  <si>
    <t xml:space="preserve">scelta del software</t>
  </si>
  <si>
    <t xml:space="preserve">Aderenza alla decelerazione reale del freno — Se la lettura è confermata diventa un esito; nell'esempio B del capitolo 7 cambia 1,005 in 4,17.</t>
  </si>
  <si>
    <t xml:space="preserve">Seconda verifica con la decelerazione data dal freno (tutti i gruppi, mai sotto il minimo); oggi solo avviso</t>
  </si>
  <si>
    <t xml:space="preserve">UNI EN 81-50:2020, 5.11.2.2.2 (lettura da decidere sul testo)</t>
  </si>
  <si>
    <t xml:space="preserve">fonti secondarie: "ogni parte con la sua decelerazione"</t>
  </si>
  <si>
    <t xml:space="preserve">aderenza alla decelerazione reale (avviso)</t>
  </si>
  <si>
    <t xml:space="preserve">Soglia di attenzione sull'utilizzo dell'aderenza</t>
  </si>
  <si>
    <t xml:space="preserve">utilizzo &gt; 0,97 → «Attenzione»</t>
  </si>
  <si>
    <t xml:space="preserve">—</t>
  </si>
  <si>
    <t xml:space="preserve">scelta del software (margine per incertezza su masse e bilanciamento)</t>
  </si>
  <si>
    <t xml:space="preserve">aderenza al caricamento; aderenza in frenatura, in discesa; aderenza in frenatura, in salita; aderenza alla decelerazione reale (avviso)</t>
  </si>
  <si>
    <t xml:space="preserve">Gole</t>
  </si>
  <si>
    <t xml:space="preserve">Fattore di gola, semicircolare con o senza sottosquadro</t>
  </si>
  <si>
    <t xml:space="preserve">f = μ·4·(cos(γ/2) − sin(β/2)) / (π − β − γ − sin β + sin γ); senza sottosquadro β = 0</t>
  </si>
  <si>
    <t xml:space="preserve">UNI EN 81-50:2020, 5.11.2.3 (ex EN 81-1 Allegato M)</t>
  </si>
  <si>
    <t xml:space="preserve">fonti secondarie; controllo di coerenza con Mellor</t>
  </si>
  <si>
    <t xml:space="preserve">Fattore di gola a V</t>
  </si>
  <si>
    <t xml:space="preserve">temprata (e ogni gola a V con cabina bloccata): f = μ / sin(γ/2); non temprata: f = μ·4·(1 − sin(β/2)) / (π − β − sin β)</t>
  </si>
  <si>
    <t xml:space="preserve">UNI EN 81-50:2020, 5.11.2.3</t>
  </si>
  <si>
    <t xml:space="preserve">Limite del sottosquadro</t>
  </si>
  <si>
    <t xml:space="preserve">β ≤ 106° (oltre: KO)</t>
  </si>
  <si>
    <t xml:space="preserve">UNI EN 81-50:2020, 5.11.2.3 (valore di EN 81-1)</t>
  </si>
  <si>
    <t xml:space="preserve">fonte secondaria su EN 81-1</t>
  </si>
  <si>
    <t xml:space="preserve">geometria della gola</t>
  </si>
  <si>
    <t xml:space="preserve">Sottosquadro raccomandato</t>
  </si>
  <si>
    <t xml:space="preserve">β ≤ 90° (oltre: «Attenzione»)</t>
  </si>
  <si>
    <t xml:space="preserve">Montanari, documento tecnico del costruttore</t>
  </si>
  <si>
    <t xml:space="preserve">Angolo minimo della gola a V</t>
  </si>
  <si>
    <t xml:space="preserve">γ ≥ 35° (sotto: KO)</t>
  </si>
  <si>
    <t xml:space="preserve">UNI EN 81-50:2020, 5.12 (tabella di N_equiv(t))</t>
  </si>
  <si>
    <t xml:space="preserve">la tabella usata parte da 35°; Montanari: γ ≥ 32°, consigliato 35–40°</t>
  </si>
  <si>
    <t xml:space="preserve">Funi</t>
  </si>
  <si>
    <t xml:space="preserve">Rapporto D/d della puleggia di trazione</t>
  </si>
  <si>
    <t xml:space="preserve">D/d ≥ 40</t>
  </si>
  <si>
    <t xml:space="preserve">UNI EN 81-20:2020, 5.5.2.1</t>
  </si>
  <si>
    <t xml:space="preserve">ELA 2026 e fonti concordi</t>
  </si>
  <si>
    <t xml:space="preserve">D/d della puleggia</t>
  </si>
  <si>
    <t xml:space="preserve">Rapporto D/d delle pulegge di rinvio</t>
  </si>
  <si>
    <t xml:space="preserve">Dp/d ≥ 40</t>
  </si>
  <si>
    <t xml:space="preserve">Dp/d dei rinvii</t>
  </si>
  <si>
    <t xml:space="preserve">Numero minimo di funi</t>
  </si>
  <si>
    <t xml:space="preserve">almeno 2 funi indipendenti, ciascuna con il suo attacco</t>
  </si>
  <si>
    <t xml:space="preserve">Direttiva 2014/33/UE, Allegato I; UNI EN 81-20:2020, 5.5</t>
  </si>
  <si>
    <t xml:space="preserve">fonte secondaria</t>
  </si>
  <si>
    <t xml:space="preserve">numero e diametro delle funi</t>
  </si>
  <si>
    <t xml:space="preserve">Diametro nominale minimo</t>
  </si>
  <si>
    <t xml:space="preserve">d ≥ 8 mm (salvo approvazione di un organismo notificato)</t>
  </si>
  <si>
    <t xml:space="preserve">UNI EN 81-20:2020, 5.5</t>
  </si>
  <si>
    <t xml:space="preserve">Coefficiente di sicurezza minimo</t>
  </si>
  <si>
    <t xml:space="preserve">12 con tre o più funi; 16 con due funi</t>
  </si>
  <si>
    <t xml:space="preserve">coefficiente di sicurezza delle funi</t>
  </si>
  <si>
    <t xml:space="preserve">Coefficiente di sicurezza richiesto S_f</t>
  </si>
  <si>
    <t xml:space="preserve">S_f = 10^[2,6834 − log10(695,85·10^6·N_equiv/(D/d)^8,567) / log10(77,09·(D/d)^−2,894)]</t>
  </si>
  <si>
    <t xml:space="preserve">UNI EN 81-50:2020, 5.12 (ex EN 81-1 Allegato N)</t>
  </si>
  <si>
    <t xml:space="preserve">riprodotto su due casi pubblicati (liftdesign.it S_f 16,69; Mellor)</t>
  </si>
  <si>
    <t xml:space="preserve">N_equiv delle pulegge — Da confermare anche quando una flessione conta come inversa (distanza tra le pulegge): oggi la classifica il progettista.</t>
  </si>
  <si>
    <t xml:space="preserve">N_equiv(p) = K_p·(N_ps + 4·N_pr), K_p = (D/Dp)^4</t>
  </si>
  <si>
    <t xml:space="preserve">UNI EN 81-50:2020, 5.12</t>
  </si>
  <si>
    <t xml:space="preserve">N_equiv(t) della gola: valori confermati</t>
  </si>
  <si>
    <t xml:space="preserve">U senza sottosquadro 1; U β 105° 15,2; V γ 35° 18,5</t>
  </si>
  <si>
    <t xml:space="preserve">UNI EN 81-50:2020, 5.12, tabella 2</t>
  </si>
  <si>
    <t xml:space="preserve">fonti concordi</t>
  </si>
  <si>
    <t xml:space="preserve">N_equiv(t) della gola: altri valori (provvisori)</t>
  </si>
  <si>
    <t xml:space="preserve">β 75° 2,5; 80° 3,0; 85° 3,8; 90° 5,0; 95° 6,7; 100° 10,0 · γ 36° 15,2; 38° 10,5; 40° 7,1; 42° 5,6; 45° 4,0</t>
  </si>
  <si>
    <t xml:space="preserve">fonti secondarie (β 90° indiretto); gli altri non verificati</t>
  </si>
  <si>
    <t xml:space="preserve">Uso della tabella di N_equiv(t)</t>
  </si>
  <si>
    <t xml:space="preserve">nessuna interpolazione: punto più sfavorevole (β superiore, γ inferiore); oltre 105° estrapolazione dall'ultimo tratto, segnalata</t>
  </si>
  <si>
    <t xml:space="preserve">scelta prudente del software (la tabella non dà una regola)</t>
  </si>
  <si>
    <t xml:space="preserve">Tiro massimo per fune</t>
  </si>
  <si>
    <t xml:space="preserve">cabina con portata ferma al piano più basso; con la macchina in basso sul primo tratto verso la testata</t>
  </si>
  <si>
    <t xml:space="preserve">definizione di EN 81-1 da fonte secondaria</t>
  </si>
  <si>
    <t xml:space="preserve">Stima di carico di rottura e massa delle funi</t>
  </si>
  <si>
    <t xml:space="preserve">8×19 Seale anima tessile 1570 N/mm²: 8 mm = 30,4 kN e 0,215 kg/m, poi in proporzione a d²</t>
  </si>
  <si>
    <t xml:space="preserve">tabella Pfeifer 8×19S NFC; usata solo con il pulsante di stima e nella proposta libera</t>
  </si>
  <si>
    <t xml:space="preserve">stima</t>
  </si>
  <si>
    <t xml:space="preserve">Freno</t>
  </si>
  <si>
    <t xml:space="preserve">Gruppi meccanici del freno</t>
  </si>
  <si>
    <t xml:space="preserve">almeno 2</t>
  </si>
  <si>
    <t xml:space="preserve">UNI EN 81-20:2020, 5.9.2.2; UNI 10411-1:2024</t>
  </si>
  <si>
    <t xml:space="preserve">sintesi della UNI 10411-1:2021 e fonti secondarie</t>
  </si>
  <si>
    <t xml:space="preserve">gruppi del freno</t>
  </si>
  <si>
    <t xml:space="preserve">Freno, tutti i gruppi</t>
  </si>
  <si>
    <t xml:space="preserve">arresta la cabina in discesa a velocità nominale con 1,25·Q</t>
  </si>
  <si>
    <t xml:space="preserve">UNI EN 81-20:2020, 5.9.2.2</t>
  </si>
  <si>
    <t xml:space="preserve">due ricerche indipendenti, stessa formulazione</t>
  </si>
  <si>
    <t xml:space="preserve">freno, tutti i gruppi</t>
  </si>
  <si>
    <t xml:space="preserve">Freno, un solo gruppo</t>
  </si>
  <si>
    <t xml:space="preserve">rallenta, arresta e tiene la cabina con portata in discesa e la cabina vuota in salita</t>
  </si>
  <si>
    <t xml:space="preserve">sintesi della UNI 10411-1:2021</t>
  </si>
  <si>
    <t xml:space="preserve">freno, un gruppo in discesa; freno, un gruppo a vuoto in salita</t>
  </si>
  <si>
    <t xml:space="preserve">Attrito del riduttore nel fabbisogno del freno</t>
  </si>
  <si>
    <t xml:space="preserve">non conteggiato (η_i = 1): a favore di sicurezza</t>
  </si>
  <si>
    <t xml:space="preserve">scelta prudente del software</t>
  </si>
  <si>
    <t xml:space="preserve">freno, tutti i gruppi; freno, un gruppo in discesa; freno, un gruppo a vuoto in salita</t>
  </si>
  <si>
    <t xml:space="preserve">Decelerazione massima del freno</t>
  </si>
  <si>
    <t xml:space="preserve">≤ 1 g (oltre: «Attenzione»), da confrontare con paracadute e ammortizzatori</t>
  </si>
  <si>
    <t xml:space="preserve">decelerazione massima del freno</t>
  </si>
  <si>
    <t xml:space="preserve">Riduttore e motore</t>
  </si>
  <si>
    <t xml:space="preserve">Rendimento inverso del riduttore se non dato — Da sostituire con il valore del costruttore: la decelerazione reale del freno ne dipende molto.</t>
  </si>
  <si>
    <t xml:space="preserve">η_i ≈ 2 − 1/η_d (0 = irreversibile)</t>
  </si>
  <si>
    <t xml:space="preserve">approssimazione della teoria della vite senza fine</t>
  </si>
  <si>
    <t xml:space="preserve">aderenza alla decelerazione reale (avviso); decelerazione massima del freno</t>
  </si>
  <si>
    <t xml:space="preserve">Coppia di accelerazione</t>
  </si>
  <si>
    <t xml:space="preserve">≤ 2 volte la coppia nominale (oltre: «Attenzione»; nella proposta: criterio di scelta del motore)</t>
  </si>
  <si>
    <t xml:space="preserve">scelta del software; il limite vero è quello di motore e inverter</t>
  </si>
  <si>
    <t xml:space="preserve">coppia di accelerazione</t>
  </si>
  <si>
    <t xml:space="preserve">Soglia di attenzione sui limiti del costruttore</t>
  </si>
  <si>
    <t xml:space="preserve">oltre il 98% del limite di catalogo (albero, coppia in uscita) → «Attenzione»</t>
  </si>
  <si>
    <t xml:space="preserve">carico sull'albero; coppia in uscita</t>
  </si>
  <si>
    <t xml:space="preserve">Potenza statica del motore</t>
  </si>
  <si>
    <t xml:space="preserve">P_st = ΔF·v_f / (η_d·η_vano) ≤ P_n, con ΔF il maggiore tra cabina carica in salita dal basso e vuota in discesa dall'alto</t>
  </si>
  <si>
    <t xml:space="preserve">derivazione</t>
  </si>
  <si>
    <t xml:space="preserve">potenza del motore</t>
  </si>
  <si>
    <t xml:space="preserve">Coppia massima in uscita dal riduttore</t>
  </si>
  <si>
    <t xml:space="preserve">M_p = ΔF·D/2 + J·i·α_m, confrontata con il valore di catalogo se inserito</t>
  </si>
  <si>
    <t xml:space="preserve">dato del costruttore</t>
  </si>
  <si>
    <t xml:space="preserve">coppia in uscita</t>
  </si>
  <si>
    <t xml:space="preserve">Tolleranza tra velocità reale e nominale</t>
  </si>
  <si>
    <t xml:space="preserve">non verificata: il software mostra la velocità reale e la frequenza per la nominale</t>
  </si>
  <si>
    <t xml:space="preserve">da individuare (UNI EN 81-20:2020 o UNI 10411-1:2024)</t>
  </si>
  <si>
    <t xml:space="preserve">non trovata nelle fonti consultate</t>
  </si>
  <si>
    <t xml:space="preserve">Manovra di emergenza</t>
  </si>
  <si>
    <t xml:space="preserve">Forza massima al volantino</t>
  </si>
  <si>
    <t xml:space="preserve">≤ 400 N, altrimenti manovra elettrica di emergenza</t>
  </si>
  <si>
    <t xml:space="preserve">UNI EN 81-20:2020 (clausola da individuare)</t>
  </si>
  <si>
    <t xml:space="preserve">Elevator World; stesso valore in EN 81-1</t>
  </si>
  <si>
    <t xml:space="preserve">forza al volantino</t>
  </si>
  <si>
    <t xml:space="preserve">Albero e ancoraggi</t>
  </si>
  <si>
    <t xml:space="preserve">Carico sull'albero della puleggia</t>
  </si>
  <si>
    <t xml:space="preserve">risultante dei tiri con 1,25·Q al piano più basso, confrontata con il limite del costruttore</t>
  </si>
  <si>
    <t xml:space="preserve">derivazione; definizione del costruttore da confermare</t>
  </si>
  <si>
    <t xml:space="preserve">carico sull'albero</t>
  </si>
  <si>
    <t xml:space="preserve">Sollevamento netto sugli ancoraggi (macchina in basso)</t>
  </si>
  <si>
    <t xml:space="preserve">carico verso l'alto meno la massa della macchina: da verificare con il progettista strutturale</t>
  </si>
  <si>
    <t xml:space="preserve">sollevamento netto</t>
  </si>
  <si>
    <t xml:space="preserve">Sostituzione (Italia)</t>
  </si>
  <si>
    <t xml:space="preserve">La sostituzione del macchinario è una modifica costruttiva</t>
  </si>
  <si>
    <t xml:space="preserve">adeguamento della parte sostituita, comunicazione al Comune e al soggetto delle verifiche, verifica straordinaria prima del servizio</t>
  </si>
  <si>
    <t xml:space="preserve">DPR 162/1999 e s.m.i., art. 2 (dopo il DPR 23/2017) e art. 14</t>
  </si>
  <si>
    <t xml:space="preserve">testi consolidati non ufficiali; fonti secondarie concordi</t>
  </si>
  <si>
    <t xml:space="preserve">Adeguamenti richiesti per la sostituzione del macchinario</t>
  </si>
  <si>
    <t xml:space="preserve">elenco del capitolo 6.6 della ricerca (tra cui freno a due gruppi)</t>
  </si>
  <si>
    <t xml:space="preserve">sintesi pubblicate della UNI 10411-1:2021 (edizione superata)</t>
  </si>
  <si>
    <t xml:space="preserve">Funi nella sostituzione</t>
  </si>
  <si>
    <t xml:space="preserve">di norma funi nuove con lo stesso numero e diametro di quelle montate; la proposta le tiene fisse</t>
  </si>
  <si>
    <t xml:space="preserve">indicazione di Panev Ascensori (29 settembre 2026)</t>
  </si>
  <si>
    <t xml:space="preserve">prassi di cantiere</t>
  </si>
  <si>
    <t xml:space="preserve">Modello di calcolo</t>
  </si>
  <si>
    <t xml:space="preserve">Accelerazione di gravità</t>
  </si>
  <si>
    <t xml:space="preserve">g = 9,81 m/s² (anche come limite di 1 g)</t>
  </si>
  <si>
    <t xml:space="preserve">UNI EN 81-50:2020 (simboli)</t>
  </si>
  <si>
    <t xml:space="preserve">valore d'uso nei calcoli degli ascensori</t>
  </si>
  <si>
    <t xml:space="preserve">Tiri con il metodo del percorso della fune</t>
  </si>
  <si>
    <t xml:space="preserve">masse e funi di ogni tratto, inerzia delle pulegge di rinvio; attrito di guide e pulegge trascurato in aderenza</t>
  </si>
  <si>
    <t xml:space="preserve">derivazione; il conteggio dell'inerzia delle pulegge va confermato</t>
  </si>
  <si>
    <t xml:space="preserve">aderenza al caricamento; aderenza in frenatura, in discesa; aderenza in frenatura, in salita; aderenza alla decelerazione reale (avviso); cabina bloccata</t>
  </si>
  <si>
    <t xml:space="preserve">Compensazione e cavo flessibile</t>
  </si>
  <si>
    <t xml:space="preserve">non modellati a parte: la loro massa sul lato cabina entra in P</t>
  </si>
  <si>
    <t xml:space="preserve">limite del modello attuale</t>
  </si>
  <si>
    <t xml:space="preserve">Analisi di sensibilità</t>
  </si>
  <si>
    <t xml:space="preserve">P ±10%; k ±0,05 se il carico di equilibrio non è misurato</t>
  </si>
  <si>
    <t xml:space="preserve">scelta del software (incertezza tipica del rilievo)</t>
  </si>
  <si>
    <t xml:space="preserve">Riepilogo della verifica</t>
  </si>
  <si>
    <t xml:space="preserve">Voci per stato</t>
  </si>
  <si>
    <t xml:space="preserve">Totale voci</t>
  </si>
  <si>
    <t xml:space="preserve">conforme</t>
  </si>
  <si>
    <t xml:space="preserve">non applicabile</t>
  </si>
  <si>
    <t xml:space="preserve">da compilare</t>
  </si>
  <si>
    <t xml:space="preserve">Conteggi sulle righe 3–49 del foglio «Voci» (la riga 2 è l'esempio).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</si>
</sst>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5A648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3271"/>
        <bgColor rgb="FF333399"/>
      </patternFill>
    </fill>
    <fill>
      <patternFill patternType="solid">
        <fgColor rgb="FFEEF1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B"/>
      </left>
      <right style="thin">
        <color rgb="FFC9CFDB"/>
      </right>
      <top style="thin">
        <color rgb="FFC9CFDB"/>
      </top>
      <bottom style="thin">
        <color rgb="FFC9CF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3271"/>
          <bgColor rgb="FF000000"/>
        </patternFill>
      </fill>
    </dxf>
    <dxf>
      <fill>
        <patternFill patternType="solid">
          <fgColor rgb="FFEEF1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4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1F6"/>
      <rgbColor rgb="FFCCFFFF"/>
      <rgbColor rgb="FF660066"/>
      <rgbColor rgb="FFFF8080"/>
      <rgbColor rgb="FF0066CC"/>
      <rgbColor rgb="FFC9CF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80"/>
      <rgbColor rgb="FF969696"/>
      <rgbColor rgb="FF1D327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  <c r="B5" s="4" t="s">
        <v>4</v>
      </c>
    </row>
    <row r="6" customFormat="false" ht="15" hidden="false" customHeight="false" outlineLevel="0" collapsed="false">
      <c r="A6" s="3" t="s">
        <v>5</v>
      </c>
      <c r="B6" s="4" t="s">
        <v>6</v>
      </c>
    </row>
    <row r="7" customFormat="false" ht="15" hidden="false" customHeight="false" outlineLevel="0" collapsed="false">
      <c r="A7" s="3" t="s">
        <v>7</v>
      </c>
      <c r="B7" s="4" t="s">
        <v>8</v>
      </c>
    </row>
    <row r="8" customFormat="false" ht="15" hidden="false" customHeight="false" outlineLevel="0" collapsed="false">
      <c r="A8" s="3" t="s">
        <v>9</v>
      </c>
      <c r="B8" s="4" t="s">
        <v>10</v>
      </c>
    </row>
    <row r="9" customFormat="false" ht="15" hidden="false" customHeight="false" outlineLevel="0" collapsed="false">
      <c r="A9" s="3" t="s">
        <v>11</v>
      </c>
      <c r="B9" s="4" t="s">
        <v>12</v>
      </c>
    </row>
    <row r="11" customFormat="false" ht="15" hidden="false" customHeight="false" outlineLevel="0" collapsed="false">
      <c r="A11" s="3" t="s">
        <v>13</v>
      </c>
    </row>
    <row r="12" customFormat="false" ht="31.5" hidden="false" customHeight="true" outlineLevel="0" collapsed="false">
      <c r="B12" s="4" t="s">
        <v>14</v>
      </c>
    </row>
    <row r="13" customFormat="false" ht="31.5" hidden="false" customHeight="true" outlineLevel="0" collapsed="false">
      <c r="B13" s="4" t="s">
        <v>15</v>
      </c>
    </row>
    <row r="14" customFormat="false" ht="18" hidden="false" customHeight="true" outlineLevel="0" collapsed="false">
      <c r="B14" s="4" t="s">
        <v>16</v>
      </c>
    </row>
    <row r="15" customFormat="false" ht="60" hidden="false" customHeight="true" outlineLevel="0" collapsed="false">
      <c r="B15" s="4" t="s">
        <v>17</v>
      </c>
    </row>
    <row r="16" customFormat="false" ht="31.5" hidden="false" customHeight="true" outlineLevel="0" collapsed="false">
      <c r="B16" s="4" t="s">
        <v>18</v>
      </c>
    </row>
    <row r="17" customFormat="false" ht="18" hidden="false" customHeight="true" outlineLevel="0" collapsed="false">
      <c r="B17" s="4" t="s">
        <v>19</v>
      </c>
    </row>
    <row r="19" customFormat="false" ht="15" hidden="false" customHeight="false" outlineLevel="0" collapsed="false">
      <c r="A19" s="3" t="s">
        <v>20</v>
      </c>
      <c r="B19" s="5" t="s">
        <v>21</v>
      </c>
    </row>
    <row r="21" customFormat="false" ht="15" hidden="false" customHeight="false" outlineLevel="0" collapsed="false">
      <c r="A21" s="3" t="s">
        <v>22</v>
      </c>
    </row>
    <row r="22" customFormat="false" ht="15" hidden="false" customHeight="false" outlineLevel="0" collapsed="false">
      <c r="A22" s="6" t="s">
        <v>23</v>
      </c>
      <c r="B22" s="7"/>
    </row>
    <row r="23" customFormat="false" ht="15" hidden="false" customHeight="false" outlineLevel="0" collapsed="false">
      <c r="A23" s="6" t="s">
        <v>24</v>
      </c>
      <c r="B23" s="7"/>
    </row>
    <row r="24" customFormat="false" ht="15" hidden="false" customHeight="false" outlineLevel="0" collapsed="false">
      <c r="A24" s="6" t="s">
        <v>25</v>
      </c>
      <c r="B24" s="7"/>
    </row>
    <row r="25" customFormat="false" ht="15" hidden="false" customHeight="false" outlineLevel="0" collapsed="false">
      <c r="A25" s="6" t="s">
        <v>26</v>
      </c>
      <c r="B25" s="7"/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46"/>
    <col collapsed="false" customWidth="true" hidden="false" outlineLevel="0" max="6" min="5" style="0" width="30"/>
    <col collapsed="false" customWidth="true" hidden="false" outlineLevel="0" max="7" min="7" style="0" width="14"/>
    <col collapsed="false" customWidth="true" hidden="false" outlineLevel="0" max="8" min="8" style="0" width="3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3" min="13" style="0" width="18"/>
    <col collapsed="false" customWidth="true" hidden="false" outlineLevel="0" max="14" min="14" style="0" width="12"/>
  </cols>
  <sheetData>
    <row r="1" customFormat="false" ht="30" hidden="false" customHeight="true" outlineLevel="0" collapsed="false">
      <c r="A1" s="8" t="s">
        <v>27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  <c r="G1" s="8" t="s">
        <v>33</v>
      </c>
      <c r="H1" s="8" t="s">
        <v>34</v>
      </c>
      <c r="I1" s="8" t="s">
        <v>35</v>
      </c>
      <c r="J1" s="8" t="s">
        <v>36</v>
      </c>
      <c r="K1" s="8" t="s">
        <v>37</v>
      </c>
      <c r="L1" s="8" t="s">
        <v>38</v>
      </c>
      <c r="M1" s="8" t="s">
        <v>39</v>
      </c>
      <c r="N1" s="8" t="s">
        <v>25</v>
      </c>
    </row>
    <row r="2" customFormat="false" ht="30" hidden="false" customHeight="true" outlineLevel="0" collapsed="false">
      <c r="A2" s="9" t="s">
        <v>40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46</v>
      </c>
      <c r="H2" s="9" t="s">
        <v>47</v>
      </c>
      <c r="I2" s="9" t="s">
        <v>48</v>
      </c>
      <c r="J2" s="9" t="s">
        <v>49</v>
      </c>
      <c r="K2" s="9" t="s">
        <v>50</v>
      </c>
      <c r="L2" s="9" t="s">
        <v>51</v>
      </c>
      <c r="M2" s="9" t="s">
        <v>52</v>
      </c>
      <c r="N2" s="9" t="s">
        <v>53</v>
      </c>
    </row>
    <row r="3" customFormat="false" ht="55.5" hidden="false" customHeight="true" outlineLevel="0" collapsed="false">
      <c r="A3" s="10" t="n">
        <v>1</v>
      </c>
      <c r="B3" s="10" t="s">
        <v>41</v>
      </c>
      <c r="C3" s="10" t="s">
        <v>54</v>
      </c>
      <c r="D3" s="10" t="s">
        <v>55</v>
      </c>
      <c r="E3" s="10" t="s">
        <v>56</v>
      </c>
      <c r="F3" s="10" t="s">
        <v>57</v>
      </c>
      <c r="G3" s="10" t="s">
        <v>58</v>
      </c>
      <c r="H3" s="10" t="s">
        <v>59</v>
      </c>
      <c r="I3" s="11"/>
      <c r="J3" s="11"/>
      <c r="K3" s="11"/>
      <c r="L3" s="11"/>
      <c r="M3" s="11"/>
      <c r="N3" s="11"/>
    </row>
    <row r="4" customFormat="false" ht="30" hidden="false" customHeight="true" outlineLevel="0" collapsed="false">
      <c r="A4" s="10" t="n">
        <v>2</v>
      </c>
      <c r="B4" s="10" t="s">
        <v>41</v>
      </c>
      <c r="C4" s="10" t="s">
        <v>42</v>
      </c>
      <c r="D4" s="10" t="s">
        <v>43</v>
      </c>
      <c r="E4" s="10" t="s">
        <v>60</v>
      </c>
      <c r="F4" s="10" t="s">
        <v>61</v>
      </c>
      <c r="G4" s="10" t="s">
        <v>46</v>
      </c>
      <c r="H4" s="10" t="s">
        <v>47</v>
      </c>
      <c r="I4" s="11"/>
      <c r="J4" s="11"/>
      <c r="K4" s="11"/>
      <c r="L4" s="11"/>
      <c r="M4" s="11"/>
      <c r="N4" s="11"/>
    </row>
    <row r="5" customFormat="false" ht="55.5" hidden="false" customHeight="true" outlineLevel="0" collapsed="false">
      <c r="A5" s="10" t="n">
        <v>3</v>
      </c>
      <c r="B5" s="10" t="s">
        <v>41</v>
      </c>
      <c r="C5" s="10" t="s">
        <v>62</v>
      </c>
      <c r="D5" s="10" t="s">
        <v>63</v>
      </c>
      <c r="E5" s="10" t="s">
        <v>44</v>
      </c>
      <c r="F5" s="10" t="s">
        <v>61</v>
      </c>
      <c r="G5" s="10" t="s">
        <v>46</v>
      </c>
      <c r="H5" s="10" t="s">
        <v>64</v>
      </c>
      <c r="I5" s="11"/>
      <c r="J5" s="11"/>
      <c r="K5" s="11"/>
      <c r="L5" s="11"/>
      <c r="M5" s="11"/>
      <c r="N5" s="11"/>
    </row>
    <row r="6" customFormat="false" ht="30" hidden="false" customHeight="true" outlineLevel="0" collapsed="false">
      <c r="A6" s="10" t="n">
        <v>4</v>
      </c>
      <c r="B6" s="10" t="s">
        <v>41</v>
      </c>
      <c r="C6" s="10" t="s">
        <v>65</v>
      </c>
      <c r="D6" s="10" t="s">
        <v>66</v>
      </c>
      <c r="E6" s="10" t="s">
        <v>44</v>
      </c>
      <c r="F6" s="10" t="s">
        <v>61</v>
      </c>
      <c r="G6" s="10" t="s">
        <v>46</v>
      </c>
      <c r="H6" s="10" t="s">
        <v>67</v>
      </c>
      <c r="I6" s="11"/>
      <c r="J6" s="11"/>
      <c r="K6" s="11"/>
      <c r="L6" s="11"/>
      <c r="M6" s="11"/>
      <c r="N6" s="11"/>
    </row>
    <row r="7" customFormat="false" ht="55.5" hidden="false" customHeight="true" outlineLevel="0" collapsed="false">
      <c r="A7" s="10" t="n">
        <v>5</v>
      </c>
      <c r="B7" s="10" t="s">
        <v>41</v>
      </c>
      <c r="C7" s="10" t="s">
        <v>68</v>
      </c>
      <c r="D7" s="10" t="s">
        <v>69</v>
      </c>
      <c r="E7" s="10" t="s">
        <v>70</v>
      </c>
      <c r="F7" s="10" t="s">
        <v>71</v>
      </c>
      <c r="G7" s="10" t="s">
        <v>46</v>
      </c>
      <c r="H7" s="10" t="s">
        <v>47</v>
      </c>
      <c r="I7" s="11"/>
      <c r="J7" s="11"/>
      <c r="K7" s="11"/>
      <c r="L7" s="11"/>
      <c r="M7" s="11"/>
      <c r="N7" s="11"/>
    </row>
    <row r="8" customFormat="false" ht="42.75" hidden="false" customHeight="true" outlineLevel="0" collapsed="false">
      <c r="A8" s="10" t="n">
        <v>6</v>
      </c>
      <c r="B8" s="10" t="s">
        <v>41</v>
      </c>
      <c r="C8" s="10" t="s">
        <v>72</v>
      </c>
      <c r="D8" s="10" t="s">
        <v>73</v>
      </c>
      <c r="E8" s="10" t="s">
        <v>74</v>
      </c>
      <c r="F8" s="10" t="s">
        <v>75</v>
      </c>
      <c r="G8" s="10" t="s">
        <v>46</v>
      </c>
      <c r="H8" s="10" t="s">
        <v>76</v>
      </c>
      <c r="I8" s="11"/>
      <c r="J8" s="11"/>
      <c r="K8" s="11"/>
      <c r="L8" s="11"/>
      <c r="M8" s="11"/>
      <c r="N8" s="11"/>
    </row>
    <row r="9" customFormat="false" ht="42.75" hidden="false" customHeight="true" outlineLevel="0" collapsed="false">
      <c r="A9" s="10" t="n">
        <v>7</v>
      </c>
      <c r="B9" s="10" t="s">
        <v>41</v>
      </c>
      <c r="C9" s="10" t="s">
        <v>77</v>
      </c>
      <c r="D9" s="10" t="s">
        <v>78</v>
      </c>
      <c r="E9" s="10" t="s">
        <v>74</v>
      </c>
      <c r="F9" s="10" t="s">
        <v>79</v>
      </c>
      <c r="G9" s="10" t="s">
        <v>80</v>
      </c>
      <c r="H9" s="10" t="s">
        <v>76</v>
      </c>
      <c r="I9" s="11"/>
      <c r="J9" s="11"/>
      <c r="K9" s="11"/>
      <c r="L9" s="11"/>
      <c r="M9" s="11"/>
      <c r="N9" s="11"/>
    </row>
    <row r="10" customFormat="false" ht="55.5" hidden="false" customHeight="true" outlineLevel="0" collapsed="false">
      <c r="A10" s="10" t="n">
        <v>8</v>
      </c>
      <c r="B10" s="10" t="s">
        <v>41</v>
      </c>
      <c r="C10" s="10" t="s">
        <v>81</v>
      </c>
      <c r="D10" s="10" t="s">
        <v>82</v>
      </c>
      <c r="E10" s="10" t="s">
        <v>83</v>
      </c>
      <c r="F10" s="10" t="s">
        <v>84</v>
      </c>
      <c r="G10" s="10" t="s">
        <v>46</v>
      </c>
      <c r="H10" s="10" t="s">
        <v>85</v>
      </c>
      <c r="I10" s="11"/>
      <c r="J10" s="11"/>
      <c r="K10" s="11"/>
      <c r="L10" s="11"/>
      <c r="M10" s="11"/>
      <c r="N10" s="11"/>
    </row>
    <row r="11" customFormat="false" ht="69" hidden="false" customHeight="true" outlineLevel="0" collapsed="false">
      <c r="A11" s="10" t="n">
        <v>9</v>
      </c>
      <c r="B11" s="10" t="s">
        <v>41</v>
      </c>
      <c r="C11" s="10" t="s">
        <v>86</v>
      </c>
      <c r="D11" s="10" t="s">
        <v>87</v>
      </c>
      <c r="E11" s="10" t="s">
        <v>88</v>
      </c>
      <c r="F11" s="10" t="s">
        <v>89</v>
      </c>
      <c r="G11" s="10" t="s">
        <v>80</v>
      </c>
      <c r="H11" s="10" t="s">
        <v>90</v>
      </c>
      <c r="I11" s="11"/>
      <c r="J11" s="11"/>
      <c r="K11" s="11"/>
      <c r="L11" s="11"/>
      <c r="M11" s="11"/>
      <c r="N11" s="11"/>
    </row>
    <row r="12" customFormat="false" ht="55.5" hidden="false" customHeight="true" outlineLevel="0" collapsed="false">
      <c r="A12" s="10" t="n">
        <v>10</v>
      </c>
      <c r="B12" s="10" t="s">
        <v>91</v>
      </c>
      <c r="C12" s="10" t="s">
        <v>92</v>
      </c>
      <c r="D12" s="10" t="s">
        <v>93</v>
      </c>
      <c r="E12" s="10" t="s">
        <v>94</v>
      </c>
      <c r="F12" s="10" t="s">
        <v>95</v>
      </c>
      <c r="G12" s="10" t="s">
        <v>46</v>
      </c>
      <c r="H12" s="10" t="s">
        <v>59</v>
      </c>
      <c r="I12" s="11"/>
      <c r="J12" s="11"/>
      <c r="K12" s="11"/>
      <c r="L12" s="11"/>
      <c r="M12" s="11"/>
      <c r="N12" s="11"/>
    </row>
    <row r="13" customFormat="false" ht="55.5" hidden="false" customHeight="true" outlineLevel="0" collapsed="false">
      <c r="A13" s="10" t="n">
        <v>11</v>
      </c>
      <c r="B13" s="10" t="s">
        <v>91</v>
      </c>
      <c r="C13" s="10" t="s">
        <v>96</v>
      </c>
      <c r="D13" s="10" t="s">
        <v>97</v>
      </c>
      <c r="E13" s="10" t="s">
        <v>98</v>
      </c>
      <c r="F13" s="10" t="s">
        <v>95</v>
      </c>
      <c r="G13" s="10" t="s">
        <v>46</v>
      </c>
      <c r="H13" s="10" t="s">
        <v>59</v>
      </c>
      <c r="I13" s="11"/>
      <c r="J13" s="11"/>
      <c r="K13" s="11"/>
      <c r="L13" s="11"/>
      <c r="M13" s="11"/>
      <c r="N13" s="11"/>
    </row>
    <row r="14" customFormat="false" ht="30" hidden="false" customHeight="true" outlineLevel="0" collapsed="false">
      <c r="A14" s="10" t="n">
        <v>12</v>
      </c>
      <c r="B14" s="10" t="s">
        <v>91</v>
      </c>
      <c r="C14" s="10" t="s">
        <v>99</v>
      </c>
      <c r="D14" s="10" t="s">
        <v>100</v>
      </c>
      <c r="E14" s="10" t="s">
        <v>101</v>
      </c>
      <c r="F14" s="10" t="s">
        <v>102</v>
      </c>
      <c r="G14" s="10" t="s">
        <v>46</v>
      </c>
      <c r="H14" s="10" t="s">
        <v>103</v>
      </c>
      <c r="I14" s="11"/>
      <c r="J14" s="11"/>
      <c r="K14" s="11"/>
      <c r="L14" s="11"/>
      <c r="M14" s="11"/>
      <c r="N14" s="11"/>
    </row>
    <row r="15" customFormat="false" ht="30" hidden="false" customHeight="true" outlineLevel="0" collapsed="false">
      <c r="A15" s="10" t="n">
        <v>13</v>
      </c>
      <c r="B15" s="10" t="s">
        <v>91</v>
      </c>
      <c r="C15" s="10" t="s">
        <v>104</v>
      </c>
      <c r="D15" s="10" t="s">
        <v>105</v>
      </c>
      <c r="E15" s="10" t="s">
        <v>88</v>
      </c>
      <c r="F15" s="10" t="s">
        <v>106</v>
      </c>
      <c r="G15" s="10" t="s">
        <v>80</v>
      </c>
      <c r="H15" s="10" t="s">
        <v>103</v>
      </c>
      <c r="I15" s="11"/>
      <c r="J15" s="11"/>
      <c r="K15" s="11"/>
      <c r="L15" s="11"/>
      <c r="M15" s="11"/>
      <c r="N15" s="11"/>
    </row>
    <row r="16" customFormat="false" ht="42.75" hidden="false" customHeight="true" outlineLevel="0" collapsed="false">
      <c r="A16" s="10" t="n">
        <v>14</v>
      </c>
      <c r="B16" s="10" t="s">
        <v>91</v>
      </c>
      <c r="C16" s="10" t="s">
        <v>107</v>
      </c>
      <c r="D16" s="10" t="s">
        <v>108</v>
      </c>
      <c r="E16" s="10" t="s">
        <v>109</v>
      </c>
      <c r="F16" s="10" t="s">
        <v>110</v>
      </c>
      <c r="G16" s="10" t="s">
        <v>80</v>
      </c>
      <c r="H16" s="10" t="s">
        <v>103</v>
      </c>
      <c r="I16" s="11"/>
      <c r="J16" s="11"/>
      <c r="K16" s="11"/>
      <c r="L16" s="11"/>
      <c r="M16" s="11"/>
      <c r="N16" s="11"/>
    </row>
    <row r="17" customFormat="false" ht="30" hidden="false" customHeight="true" outlineLevel="0" collapsed="false">
      <c r="A17" s="10" t="n">
        <v>15</v>
      </c>
      <c r="B17" s="10" t="s">
        <v>111</v>
      </c>
      <c r="C17" s="10" t="s">
        <v>112</v>
      </c>
      <c r="D17" s="10" t="s">
        <v>113</v>
      </c>
      <c r="E17" s="10" t="s">
        <v>114</v>
      </c>
      <c r="F17" s="10" t="s">
        <v>115</v>
      </c>
      <c r="G17" s="10" t="s">
        <v>58</v>
      </c>
      <c r="H17" s="10" t="s">
        <v>116</v>
      </c>
      <c r="I17" s="11"/>
      <c r="J17" s="11"/>
      <c r="K17" s="11"/>
      <c r="L17" s="11"/>
      <c r="M17" s="11"/>
      <c r="N17" s="11"/>
    </row>
    <row r="18" customFormat="false" ht="30" hidden="false" customHeight="true" outlineLevel="0" collapsed="false">
      <c r="A18" s="10" t="n">
        <v>16</v>
      </c>
      <c r="B18" s="10" t="s">
        <v>111</v>
      </c>
      <c r="C18" s="10" t="s">
        <v>117</v>
      </c>
      <c r="D18" s="10" t="s">
        <v>118</v>
      </c>
      <c r="E18" s="10" t="s">
        <v>114</v>
      </c>
      <c r="F18" s="10" t="s">
        <v>45</v>
      </c>
      <c r="G18" s="10" t="s">
        <v>46</v>
      </c>
      <c r="H18" s="10" t="s">
        <v>119</v>
      </c>
      <c r="I18" s="11"/>
      <c r="J18" s="11"/>
      <c r="K18" s="11"/>
      <c r="L18" s="11"/>
      <c r="M18" s="11"/>
      <c r="N18" s="11"/>
    </row>
    <row r="19" customFormat="false" ht="30" hidden="false" customHeight="true" outlineLevel="0" collapsed="false">
      <c r="A19" s="10" t="n">
        <v>17</v>
      </c>
      <c r="B19" s="10" t="s">
        <v>111</v>
      </c>
      <c r="C19" s="10" t="s">
        <v>120</v>
      </c>
      <c r="D19" s="10" t="s">
        <v>121</v>
      </c>
      <c r="E19" s="10" t="s">
        <v>122</v>
      </c>
      <c r="F19" s="10" t="s">
        <v>123</v>
      </c>
      <c r="G19" s="10" t="s">
        <v>46</v>
      </c>
      <c r="H19" s="10" t="s">
        <v>124</v>
      </c>
      <c r="I19" s="11"/>
      <c r="J19" s="11"/>
      <c r="K19" s="11"/>
      <c r="L19" s="11"/>
      <c r="M19" s="11"/>
      <c r="N19" s="11"/>
    </row>
    <row r="20" customFormat="false" ht="30" hidden="false" customHeight="true" outlineLevel="0" collapsed="false">
      <c r="A20" s="10" t="n">
        <v>18</v>
      </c>
      <c r="B20" s="10" t="s">
        <v>111</v>
      </c>
      <c r="C20" s="10" t="s">
        <v>125</v>
      </c>
      <c r="D20" s="10" t="s">
        <v>126</v>
      </c>
      <c r="E20" s="10" t="s">
        <v>127</v>
      </c>
      <c r="F20" s="10" t="s">
        <v>45</v>
      </c>
      <c r="G20" s="10" t="s">
        <v>46</v>
      </c>
      <c r="H20" s="10" t="s">
        <v>124</v>
      </c>
      <c r="I20" s="11"/>
      <c r="J20" s="11"/>
      <c r="K20" s="11"/>
      <c r="L20" s="11"/>
      <c r="M20" s="11"/>
      <c r="N20" s="11"/>
    </row>
    <row r="21" customFormat="false" ht="30" hidden="false" customHeight="true" outlineLevel="0" collapsed="false">
      <c r="A21" s="10" t="n">
        <v>19</v>
      </c>
      <c r="B21" s="10" t="s">
        <v>111</v>
      </c>
      <c r="C21" s="10" t="s">
        <v>128</v>
      </c>
      <c r="D21" s="10" t="s">
        <v>129</v>
      </c>
      <c r="E21" s="10" t="s">
        <v>127</v>
      </c>
      <c r="F21" s="10" t="s">
        <v>45</v>
      </c>
      <c r="G21" s="10" t="s">
        <v>46</v>
      </c>
      <c r="H21" s="10" t="s">
        <v>130</v>
      </c>
      <c r="I21" s="11"/>
      <c r="J21" s="11"/>
      <c r="K21" s="11"/>
      <c r="L21" s="11"/>
      <c r="M21" s="11"/>
      <c r="N21" s="11"/>
    </row>
    <row r="22" customFormat="false" ht="42.75" hidden="false" customHeight="true" outlineLevel="0" collapsed="false">
      <c r="A22" s="10" t="n">
        <v>20</v>
      </c>
      <c r="B22" s="10" t="s">
        <v>111</v>
      </c>
      <c r="C22" s="10" t="s">
        <v>131</v>
      </c>
      <c r="D22" s="10" t="s">
        <v>132</v>
      </c>
      <c r="E22" s="10" t="s">
        <v>133</v>
      </c>
      <c r="F22" s="10" t="s">
        <v>134</v>
      </c>
      <c r="G22" s="10" t="s">
        <v>58</v>
      </c>
      <c r="H22" s="10" t="s">
        <v>130</v>
      </c>
      <c r="I22" s="11"/>
      <c r="J22" s="11"/>
      <c r="K22" s="11"/>
      <c r="L22" s="11"/>
      <c r="M22" s="11"/>
      <c r="N22" s="11"/>
    </row>
    <row r="23" customFormat="false" ht="69" hidden="false" customHeight="true" outlineLevel="0" collapsed="false">
      <c r="A23" s="10" t="n">
        <v>21</v>
      </c>
      <c r="B23" s="10" t="s">
        <v>111</v>
      </c>
      <c r="C23" s="10" t="s">
        <v>135</v>
      </c>
      <c r="D23" s="10" t="s">
        <v>136</v>
      </c>
      <c r="E23" s="10" t="s">
        <v>137</v>
      </c>
      <c r="F23" s="10" t="s">
        <v>45</v>
      </c>
      <c r="G23" s="10" t="s">
        <v>46</v>
      </c>
      <c r="H23" s="10" t="s">
        <v>130</v>
      </c>
      <c r="I23" s="11"/>
      <c r="J23" s="11"/>
      <c r="K23" s="11"/>
      <c r="L23" s="11"/>
      <c r="M23" s="11"/>
      <c r="N23" s="11"/>
    </row>
    <row r="24" customFormat="false" ht="30" hidden="false" customHeight="true" outlineLevel="0" collapsed="false">
      <c r="A24" s="10" t="n">
        <v>22</v>
      </c>
      <c r="B24" s="10" t="s">
        <v>111</v>
      </c>
      <c r="C24" s="10" t="s">
        <v>138</v>
      </c>
      <c r="D24" s="10" t="s">
        <v>139</v>
      </c>
      <c r="E24" s="10" t="s">
        <v>140</v>
      </c>
      <c r="F24" s="10" t="s">
        <v>141</v>
      </c>
      <c r="G24" s="10" t="s">
        <v>58</v>
      </c>
      <c r="H24" s="10" t="s">
        <v>130</v>
      </c>
      <c r="I24" s="11"/>
      <c r="J24" s="11"/>
      <c r="K24" s="11"/>
      <c r="L24" s="11"/>
      <c r="M24" s="11"/>
      <c r="N24" s="11"/>
    </row>
    <row r="25" customFormat="false" ht="42.75" hidden="false" customHeight="true" outlineLevel="0" collapsed="false">
      <c r="A25" s="10" t="n">
        <v>23</v>
      </c>
      <c r="B25" s="10" t="s">
        <v>111</v>
      </c>
      <c r="C25" s="10" t="s">
        <v>142</v>
      </c>
      <c r="D25" s="10" t="s">
        <v>143</v>
      </c>
      <c r="E25" s="10" t="s">
        <v>140</v>
      </c>
      <c r="F25" s="10" t="s">
        <v>144</v>
      </c>
      <c r="G25" s="10" t="s">
        <v>46</v>
      </c>
      <c r="H25" s="10" t="s">
        <v>130</v>
      </c>
      <c r="I25" s="11"/>
      <c r="J25" s="11"/>
      <c r="K25" s="11"/>
      <c r="L25" s="11"/>
      <c r="M25" s="11"/>
      <c r="N25" s="11"/>
    </row>
    <row r="26" customFormat="false" ht="42.75" hidden="false" customHeight="true" outlineLevel="0" collapsed="false">
      <c r="A26" s="10" t="n">
        <v>24</v>
      </c>
      <c r="B26" s="10" t="s">
        <v>111</v>
      </c>
      <c r="C26" s="10" t="s">
        <v>145</v>
      </c>
      <c r="D26" s="10" t="s">
        <v>146</v>
      </c>
      <c r="E26" s="10" t="s">
        <v>137</v>
      </c>
      <c r="F26" s="10" t="s">
        <v>147</v>
      </c>
      <c r="G26" s="10" t="s">
        <v>80</v>
      </c>
      <c r="H26" s="10" t="s">
        <v>130</v>
      </c>
      <c r="I26" s="11"/>
      <c r="J26" s="11"/>
      <c r="K26" s="11"/>
      <c r="L26" s="11"/>
      <c r="M26" s="11"/>
      <c r="N26" s="11"/>
    </row>
    <row r="27" customFormat="false" ht="42.75" hidden="false" customHeight="true" outlineLevel="0" collapsed="false">
      <c r="A27" s="10" t="n">
        <v>25</v>
      </c>
      <c r="B27" s="10" t="s">
        <v>111</v>
      </c>
      <c r="C27" s="10" t="s">
        <v>148</v>
      </c>
      <c r="D27" s="10" t="s">
        <v>149</v>
      </c>
      <c r="E27" s="10" t="s">
        <v>137</v>
      </c>
      <c r="F27" s="10" t="s">
        <v>150</v>
      </c>
      <c r="G27" s="10" t="s">
        <v>46</v>
      </c>
      <c r="H27" s="10" t="s">
        <v>130</v>
      </c>
      <c r="I27" s="11"/>
      <c r="J27" s="11"/>
      <c r="K27" s="11"/>
      <c r="L27" s="11"/>
      <c r="M27" s="11"/>
      <c r="N27" s="11"/>
    </row>
    <row r="28" customFormat="false" ht="42.75" hidden="false" customHeight="true" outlineLevel="0" collapsed="false">
      <c r="A28" s="10" t="n">
        <v>26</v>
      </c>
      <c r="B28" s="10" t="s">
        <v>111</v>
      </c>
      <c r="C28" s="10" t="s">
        <v>151</v>
      </c>
      <c r="D28" s="10" t="s">
        <v>152</v>
      </c>
      <c r="E28" s="10" t="s">
        <v>88</v>
      </c>
      <c r="F28" s="10" t="s">
        <v>153</v>
      </c>
      <c r="G28" s="10" t="s">
        <v>154</v>
      </c>
      <c r="H28" s="10" t="s">
        <v>88</v>
      </c>
      <c r="I28" s="11"/>
      <c r="J28" s="11"/>
      <c r="K28" s="11"/>
      <c r="L28" s="11"/>
      <c r="M28" s="11"/>
      <c r="N28" s="11"/>
    </row>
    <row r="29" customFormat="false" ht="30" hidden="false" customHeight="true" outlineLevel="0" collapsed="false">
      <c r="A29" s="10" t="n">
        <v>27</v>
      </c>
      <c r="B29" s="10" t="s">
        <v>155</v>
      </c>
      <c r="C29" s="10" t="s">
        <v>156</v>
      </c>
      <c r="D29" s="10" t="s">
        <v>157</v>
      </c>
      <c r="E29" s="10" t="s">
        <v>158</v>
      </c>
      <c r="F29" s="10" t="s">
        <v>159</v>
      </c>
      <c r="G29" s="10" t="s">
        <v>46</v>
      </c>
      <c r="H29" s="10" t="s">
        <v>160</v>
      </c>
      <c r="I29" s="11"/>
      <c r="J29" s="11"/>
      <c r="K29" s="11"/>
      <c r="L29" s="11"/>
      <c r="M29" s="11"/>
      <c r="N29" s="11"/>
    </row>
    <row r="30" customFormat="false" ht="30" hidden="false" customHeight="true" outlineLevel="0" collapsed="false">
      <c r="A30" s="10" t="n">
        <v>28</v>
      </c>
      <c r="B30" s="10" t="s">
        <v>155</v>
      </c>
      <c r="C30" s="10" t="s">
        <v>161</v>
      </c>
      <c r="D30" s="10" t="s">
        <v>162</v>
      </c>
      <c r="E30" s="10" t="s">
        <v>163</v>
      </c>
      <c r="F30" s="10" t="s">
        <v>164</v>
      </c>
      <c r="G30" s="10" t="s">
        <v>46</v>
      </c>
      <c r="H30" s="10" t="s">
        <v>165</v>
      </c>
      <c r="I30" s="11"/>
      <c r="J30" s="11"/>
      <c r="K30" s="11"/>
      <c r="L30" s="11"/>
      <c r="M30" s="11"/>
      <c r="N30" s="11"/>
    </row>
    <row r="31" customFormat="false" ht="30" hidden="false" customHeight="true" outlineLevel="0" collapsed="false">
      <c r="A31" s="10" t="n">
        <v>29</v>
      </c>
      <c r="B31" s="10" t="s">
        <v>155</v>
      </c>
      <c r="C31" s="10" t="s">
        <v>166</v>
      </c>
      <c r="D31" s="10" t="s">
        <v>167</v>
      </c>
      <c r="E31" s="10" t="s">
        <v>158</v>
      </c>
      <c r="F31" s="10" t="s">
        <v>168</v>
      </c>
      <c r="G31" s="10" t="s">
        <v>46</v>
      </c>
      <c r="H31" s="10" t="s">
        <v>169</v>
      </c>
      <c r="I31" s="11"/>
      <c r="J31" s="11"/>
      <c r="K31" s="11"/>
      <c r="L31" s="11"/>
      <c r="M31" s="11"/>
      <c r="N31" s="11"/>
    </row>
    <row r="32" customFormat="false" ht="42.75" hidden="false" customHeight="true" outlineLevel="0" collapsed="false">
      <c r="A32" s="10" t="n">
        <v>30</v>
      </c>
      <c r="B32" s="10" t="s">
        <v>155</v>
      </c>
      <c r="C32" s="10" t="s">
        <v>170</v>
      </c>
      <c r="D32" s="10" t="s">
        <v>171</v>
      </c>
      <c r="E32" s="10" t="s">
        <v>88</v>
      </c>
      <c r="F32" s="10" t="s">
        <v>172</v>
      </c>
      <c r="G32" s="10" t="s">
        <v>80</v>
      </c>
      <c r="H32" s="10" t="s">
        <v>173</v>
      </c>
      <c r="I32" s="11"/>
      <c r="J32" s="11"/>
      <c r="K32" s="11"/>
      <c r="L32" s="11"/>
      <c r="M32" s="11"/>
      <c r="N32" s="11"/>
    </row>
    <row r="33" customFormat="false" ht="30" hidden="false" customHeight="true" outlineLevel="0" collapsed="false">
      <c r="A33" s="10" t="n">
        <v>31</v>
      </c>
      <c r="B33" s="10" t="s">
        <v>155</v>
      </c>
      <c r="C33" s="10" t="s">
        <v>174</v>
      </c>
      <c r="D33" s="10" t="s">
        <v>175</v>
      </c>
      <c r="E33" s="10" t="s">
        <v>163</v>
      </c>
      <c r="F33" s="10" t="s">
        <v>123</v>
      </c>
      <c r="G33" s="10" t="s">
        <v>46</v>
      </c>
      <c r="H33" s="10" t="s">
        <v>176</v>
      </c>
      <c r="I33" s="11"/>
      <c r="J33" s="11"/>
      <c r="K33" s="11"/>
      <c r="L33" s="11"/>
      <c r="M33" s="11"/>
      <c r="N33" s="11"/>
    </row>
    <row r="34" customFormat="false" ht="55.5" hidden="false" customHeight="true" outlineLevel="0" collapsed="false">
      <c r="A34" s="10" t="n">
        <v>32</v>
      </c>
      <c r="B34" s="10" t="s">
        <v>177</v>
      </c>
      <c r="C34" s="10" t="s">
        <v>178</v>
      </c>
      <c r="D34" s="10" t="s">
        <v>179</v>
      </c>
      <c r="E34" s="10" t="s">
        <v>88</v>
      </c>
      <c r="F34" s="10" t="s">
        <v>180</v>
      </c>
      <c r="G34" s="10" t="s">
        <v>154</v>
      </c>
      <c r="H34" s="10" t="s">
        <v>181</v>
      </c>
      <c r="I34" s="11"/>
      <c r="J34" s="11"/>
      <c r="K34" s="11"/>
      <c r="L34" s="11"/>
      <c r="M34" s="11"/>
      <c r="N34" s="11"/>
    </row>
    <row r="35" customFormat="false" ht="42.75" hidden="false" customHeight="true" outlineLevel="0" collapsed="false">
      <c r="A35" s="10" t="n">
        <v>33</v>
      </c>
      <c r="B35" s="10" t="s">
        <v>177</v>
      </c>
      <c r="C35" s="10" t="s">
        <v>182</v>
      </c>
      <c r="D35" s="10" t="s">
        <v>183</v>
      </c>
      <c r="E35" s="10" t="s">
        <v>88</v>
      </c>
      <c r="F35" s="10" t="s">
        <v>184</v>
      </c>
      <c r="G35" s="10" t="s">
        <v>80</v>
      </c>
      <c r="H35" s="10" t="s">
        <v>185</v>
      </c>
      <c r="I35" s="11"/>
      <c r="J35" s="11"/>
      <c r="K35" s="11"/>
      <c r="L35" s="11"/>
      <c r="M35" s="11"/>
      <c r="N35" s="11"/>
    </row>
    <row r="36" customFormat="false" ht="30" hidden="false" customHeight="true" outlineLevel="0" collapsed="false">
      <c r="A36" s="10" t="n">
        <v>34</v>
      </c>
      <c r="B36" s="10" t="s">
        <v>177</v>
      </c>
      <c r="C36" s="10" t="s">
        <v>186</v>
      </c>
      <c r="D36" s="10" t="s">
        <v>187</v>
      </c>
      <c r="E36" s="10" t="s">
        <v>88</v>
      </c>
      <c r="F36" s="10" t="s">
        <v>80</v>
      </c>
      <c r="G36" s="10" t="s">
        <v>80</v>
      </c>
      <c r="H36" s="10" t="s">
        <v>188</v>
      </c>
      <c r="I36" s="11"/>
      <c r="J36" s="11"/>
      <c r="K36" s="11"/>
      <c r="L36" s="11"/>
      <c r="M36" s="11"/>
      <c r="N36" s="11"/>
    </row>
    <row r="37" customFormat="false" ht="42.75" hidden="false" customHeight="true" outlineLevel="0" collapsed="false">
      <c r="A37" s="10" t="n">
        <v>35</v>
      </c>
      <c r="B37" s="10" t="s">
        <v>177</v>
      </c>
      <c r="C37" s="10" t="s">
        <v>189</v>
      </c>
      <c r="D37" s="10" t="s">
        <v>190</v>
      </c>
      <c r="E37" s="10" t="s">
        <v>88</v>
      </c>
      <c r="F37" s="10" t="s">
        <v>191</v>
      </c>
      <c r="G37" s="10" t="s">
        <v>191</v>
      </c>
      <c r="H37" s="10" t="s">
        <v>192</v>
      </c>
      <c r="I37" s="11"/>
      <c r="J37" s="11"/>
      <c r="K37" s="11"/>
      <c r="L37" s="11"/>
      <c r="M37" s="11"/>
      <c r="N37" s="11"/>
    </row>
    <row r="38" customFormat="false" ht="30" hidden="false" customHeight="true" outlineLevel="0" collapsed="false">
      <c r="A38" s="10" t="n">
        <v>36</v>
      </c>
      <c r="B38" s="10" t="s">
        <v>177</v>
      </c>
      <c r="C38" s="10" t="s">
        <v>193</v>
      </c>
      <c r="D38" s="10" t="s">
        <v>194</v>
      </c>
      <c r="E38" s="10" t="s">
        <v>195</v>
      </c>
      <c r="F38" s="10" t="s">
        <v>191</v>
      </c>
      <c r="G38" s="10" t="s">
        <v>191</v>
      </c>
      <c r="H38" s="10" t="s">
        <v>196</v>
      </c>
      <c r="I38" s="11"/>
      <c r="J38" s="11"/>
      <c r="K38" s="11"/>
      <c r="L38" s="11"/>
      <c r="M38" s="11"/>
      <c r="N38" s="11"/>
    </row>
    <row r="39" customFormat="false" ht="30" hidden="false" customHeight="true" outlineLevel="0" collapsed="false">
      <c r="A39" s="10" t="n">
        <v>37</v>
      </c>
      <c r="B39" s="10" t="s">
        <v>177</v>
      </c>
      <c r="C39" s="10" t="s">
        <v>197</v>
      </c>
      <c r="D39" s="10" t="s">
        <v>198</v>
      </c>
      <c r="E39" s="10" t="s">
        <v>199</v>
      </c>
      <c r="F39" s="10" t="s">
        <v>200</v>
      </c>
      <c r="G39" s="10" t="s">
        <v>46</v>
      </c>
      <c r="H39" s="10" t="s">
        <v>88</v>
      </c>
      <c r="I39" s="11"/>
      <c r="J39" s="11"/>
      <c r="K39" s="11"/>
      <c r="L39" s="11"/>
      <c r="M39" s="11"/>
      <c r="N39" s="11"/>
    </row>
    <row r="40" customFormat="false" ht="30" hidden="false" customHeight="true" outlineLevel="0" collapsed="false">
      <c r="A40" s="10" t="n">
        <v>38</v>
      </c>
      <c r="B40" s="10" t="s">
        <v>201</v>
      </c>
      <c r="C40" s="10" t="s">
        <v>202</v>
      </c>
      <c r="D40" s="10" t="s">
        <v>203</v>
      </c>
      <c r="E40" s="10" t="s">
        <v>204</v>
      </c>
      <c r="F40" s="10" t="s">
        <v>205</v>
      </c>
      <c r="G40" s="10" t="s">
        <v>46</v>
      </c>
      <c r="H40" s="10" t="s">
        <v>206</v>
      </c>
      <c r="I40" s="11"/>
      <c r="J40" s="11"/>
      <c r="K40" s="11"/>
      <c r="L40" s="11"/>
      <c r="M40" s="11"/>
      <c r="N40" s="11"/>
    </row>
    <row r="41" customFormat="false" ht="30" hidden="false" customHeight="true" outlineLevel="0" collapsed="false">
      <c r="A41" s="10" t="n">
        <v>39</v>
      </c>
      <c r="B41" s="10" t="s">
        <v>207</v>
      </c>
      <c r="C41" s="10" t="s">
        <v>208</v>
      </c>
      <c r="D41" s="10" t="s">
        <v>209</v>
      </c>
      <c r="E41" s="10" t="s">
        <v>195</v>
      </c>
      <c r="F41" s="10" t="s">
        <v>210</v>
      </c>
      <c r="G41" s="10" t="s">
        <v>46</v>
      </c>
      <c r="H41" s="10" t="s">
        <v>211</v>
      </c>
      <c r="I41" s="11"/>
      <c r="J41" s="11"/>
      <c r="K41" s="11"/>
      <c r="L41" s="11"/>
      <c r="M41" s="11"/>
      <c r="N41" s="11"/>
    </row>
    <row r="42" customFormat="false" ht="30" hidden="false" customHeight="true" outlineLevel="0" collapsed="false">
      <c r="A42" s="10" t="n">
        <v>40</v>
      </c>
      <c r="B42" s="10" t="s">
        <v>207</v>
      </c>
      <c r="C42" s="10" t="s">
        <v>212</v>
      </c>
      <c r="D42" s="10" t="s">
        <v>213</v>
      </c>
      <c r="E42" s="10" t="s">
        <v>88</v>
      </c>
      <c r="F42" s="10" t="s">
        <v>191</v>
      </c>
      <c r="G42" s="10" t="s">
        <v>191</v>
      </c>
      <c r="H42" s="10" t="s">
        <v>214</v>
      </c>
      <c r="I42" s="11"/>
      <c r="J42" s="11"/>
      <c r="K42" s="11"/>
      <c r="L42" s="11"/>
      <c r="M42" s="11"/>
      <c r="N42" s="11"/>
    </row>
    <row r="43" customFormat="false" ht="42.75" hidden="false" customHeight="true" outlineLevel="0" collapsed="false">
      <c r="A43" s="10" t="n">
        <v>41</v>
      </c>
      <c r="B43" s="10" t="s">
        <v>215</v>
      </c>
      <c r="C43" s="10" t="s">
        <v>216</v>
      </c>
      <c r="D43" s="10" t="s">
        <v>217</v>
      </c>
      <c r="E43" s="10" t="s">
        <v>218</v>
      </c>
      <c r="F43" s="10" t="s">
        <v>219</v>
      </c>
      <c r="G43" s="10" t="s">
        <v>46</v>
      </c>
      <c r="H43" s="10" t="s">
        <v>88</v>
      </c>
      <c r="I43" s="11"/>
      <c r="J43" s="11"/>
      <c r="K43" s="11"/>
      <c r="L43" s="11"/>
      <c r="M43" s="11"/>
      <c r="N43" s="11"/>
    </row>
    <row r="44" customFormat="false" ht="30" hidden="false" customHeight="true" outlineLevel="0" collapsed="false">
      <c r="A44" s="10" t="n">
        <v>42</v>
      </c>
      <c r="B44" s="10" t="s">
        <v>215</v>
      </c>
      <c r="C44" s="10" t="s">
        <v>220</v>
      </c>
      <c r="D44" s="10" t="s">
        <v>221</v>
      </c>
      <c r="E44" s="10" t="s">
        <v>11</v>
      </c>
      <c r="F44" s="10" t="s">
        <v>222</v>
      </c>
      <c r="G44" s="10" t="s">
        <v>46</v>
      </c>
      <c r="H44" s="10" t="s">
        <v>160</v>
      </c>
      <c r="I44" s="11"/>
      <c r="J44" s="11"/>
      <c r="K44" s="11"/>
      <c r="L44" s="11"/>
      <c r="M44" s="11"/>
      <c r="N44" s="11"/>
    </row>
    <row r="45" customFormat="false" ht="42.75" hidden="false" customHeight="true" outlineLevel="0" collapsed="false">
      <c r="A45" s="10" t="n">
        <v>43</v>
      </c>
      <c r="B45" s="10" t="s">
        <v>215</v>
      </c>
      <c r="C45" s="10" t="s">
        <v>223</v>
      </c>
      <c r="D45" s="10" t="s">
        <v>224</v>
      </c>
      <c r="E45" s="10" t="s">
        <v>88</v>
      </c>
      <c r="F45" s="10" t="s">
        <v>225</v>
      </c>
      <c r="G45" s="10" t="s">
        <v>226</v>
      </c>
      <c r="H45" s="10" t="s">
        <v>88</v>
      </c>
      <c r="I45" s="11"/>
      <c r="J45" s="11"/>
      <c r="K45" s="11"/>
      <c r="L45" s="11"/>
      <c r="M45" s="11"/>
      <c r="N45" s="11"/>
    </row>
    <row r="46" customFormat="false" ht="30" hidden="false" customHeight="true" outlineLevel="0" collapsed="false">
      <c r="A46" s="10" t="n">
        <v>44</v>
      </c>
      <c r="B46" s="10" t="s">
        <v>227</v>
      </c>
      <c r="C46" s="10" t="s">
        <v>228</v>
      </c>
      <c r="D46" s="10" t="s">
        <v>229</v>
      </c>
      <c r="E46" s="10" t="s">
        <v>230</v>
      </c>
      <c r="F46" s="10" t="s">
        <v>231</v>
      </c>
      <c r="G46" s="10" t="s">
        <v>46</v>
      </c>
      <c r="H46" s="10" t="s">
        <v>88</v>
      </c>
      <c r="I46" s="11"/>
      <c r="J46" s="11"/>
      <c r="K46" s="11"/>
      <c r="L46" s="11"/>
      <c r="M46" s="11"/>
      <c r="N46" s="11"/>
    </row>
    <row r="47" customFormat="false" ht="69" hidden="false" customHeight="true" outlineLevel="0" collapsed="false">
      <c r="A47" s="10" t="n">
        <v>45</v>
      </c>
      <c r="B47" s="10" t="s">
        <v>227</v>
      </c>
      <c r="C47" s="10" t="s">
        <v>232</v>
      </c>
      <c r="D47" s="10" t="s">
        <v>233</v>
      </c>
      <c r="E47" s="10" t="s">
        <v>56</v>
      </c>
      <c r="F47" s="10" t="s">
        <v>234</v>
      </c>
      <c r="G47" s="10" t="s">
        <v>46</v>
      </c>
      <c r="H47" s="10" t="s">
        <v>235</v>
      </c>
      <c r="I47" s="11"/>
      <c r="J47" s="11"/>
      <c r="K47" s="11"/>
      <c r="L47" s="11"/>
      <c r="M47" s="11"/>
      <c r="N47" s="11"/>
    </row>
    <row r="48" customFormat="false" ht="30" hidden="false" customHeight="true" outlineLevel="0" collapsed="false">
      <c r="A48" s="10" t="n">
        <v>46</v>
      </c>
      <c r="B48" s="10" t="s">
        <v>227</v>
      </c>
      <c r="C48" s="10" t="s">
        <v>236</v>
      </c>
      <c r="D48" s="10" t="s">
        <v>237</v>
      </c>
      <c r="E48" s="10" t="s">
        <v>56</v>
      </c>
      <c r="F48" s="10" t="s">
        <v>238</v>
      </c>
      <c r="G48" s="10" t="s">
        <v>80</v>
      </c>
      <c r="H48" s="10" t="s">
        <v>88</v>
      </c>
      <c r="I48" s="11"/>
      <c r="J48" s="11"/>
      <c r="K48" s="11"/>
      <c r="L48" s="11"/>
      <c r="M48" s="11"/>
      <c r="N48" s="11"/>
    </row>
    <row r="49" customFormat="false" ht="30" hidden="false" customHeight="true" outlineLevel="0" collapsed="false">
      <c r="A49" s="10" t="n">
        <v>47</v>
      </c>
      <c r="B49" s="10" t="s">
        <v>227</v>
      </c>
      <c r="C49" s="10" t="s">
        <v>239</v>
      </c>
      <c r="D49" s="10" t="s">
        <v>240</v>
      </c>
      <c r="E49" s="10" t="s">
        <v>88</v>
      </c>
      <c r="F49" s="10" t="s">
        <v>241</v>
      </c>
      <c r="G49" s="10" t="s">
        <v>80</v>
      </c>
      <c r="H49" s="10" t="s">
        <v>88</v>
      </c>
      <c r="I49" s="11"/>
      <c r="J49" s="11"/>
      <c r="K49" s="11"/>
      <c r="L49" s="11"/>
      <c r="M49" s="11"/>
      <c r="N49" s="11"/>
    </row>
  </sheetData>
  <autoFilter ref="A1:N49"/>
  <dataValidations count="1">
    <dataValidation allowBlank="true" error="Scegliere: conforme, diverso, non applicabile." errorStyle="stop" errorTitle="Esito" operator="between" showDropDown="false" showErrorMessage="true" showInputMessage="false" sqref="I3:I49" type="list">
      <formula1>"conforme,diverso,non applicabile"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</cols>
  <sheetData>
    <row r="1" customFormat="false" ht="16.15" hidden="false" customHeight="false" outlineLevel="0" collapsed="false">
      <c r="A1" s="12" t="s">
        <v>242</v>
      </c>
    </row>
    <row r="3" customFormat="false" ht="15" hidden="false" customHeight="false" outlineLevel="0" collapsed="false">
      <c r="A3" s="3" t="s">
        <v>243</v>
      </c>
    </row>
    <row r="4" customFormat="false" ht="15" hidden="false" customHeight="false" outlineLevel="0" collapsed="false">
      <c r="A4" s="6" t="s">
        <v>46</v>
      </c>
      <c r="B4" s="6" t="n">
        <f aca="false">COUNTIF(Voci!$G$3:$G$49,"da verificare")</f>
        <v>27</v>
      </c>
    </row>
    <row r="5" customFormat="false" ht="15" hidden="false" customHeight="false" outlineLevel="0" collapsed="false">
      <c r="A5" s="6" t="s">
        <v>58</v>
      </c>
      <c r="B5" s="6" t="n">
        <f aca="false">COUNTIF(Voci!$G$3:$G$49,"confermato")</f>
        <v>4</v>
      </c>
    </row>
    <row r="6" customFormat="false" ht="15" hidden="false" customHeight="false" outlineLevel="0" collapsed="false">
      <c r="A6" s="6" t="s">
        <v>80</v>
      </c>
      <c r="B6" s="6" t="n">
        <f aca="false">COUNTIF(Voci!$G$3:$G$49,"scelta del software")</f>
        <v>10</v>
      </c>
    </row>
    <row r="7" customFormat="false" ht="15" hidden="false" customHeight="false" outlineLevel="0" collapsed="false">
      <c r="A7" s="6" t="s">
        <v>154</v>
      </c>
      <c r="B7" s="6" t="n">
        <f aca="false">COUNTIF(Voci!$G$3:$G$49,"stima")</f>
        <v>2</v>
      </c>
    </row>
    <row r="8" customFormat="false" ht="15" hidden="false" customHeight="false" outlineLevel="0" collapsed="false">
      <c r="A8" s="6" t="s">
        <v>191</v>
      </c>
      <c r="B8" s="6" t="n">
        <f aca="false">COUNTIF(Voci!$G$3:$G$49,"derivazione")</f>
        <v>3</v>
      </c>
    </row>
    <row r="9" customFormat="false" ht="15" hidden="false" customHeight="false" outlineLevel="0" collapsed="false">
      <c r="A9" s="6" t="s">
        <v>226</v>
      </c>
      <c r="B9" s="6" t="n">
        <f aca="false">COUNTIF(Voci!$G$3:$G$49,"prassi di cantiere")</f>
        <v>1</v>
      </c>
    </row>
    <row r="10" customFormat="false" ht="15" hidden="false" customHeight="false" outlineLevel="0" collapsed="false">
      <c r="A10" s="3" t="s">
        <v>244</v>
      </c>
      <c r="B10" s="3" t="n">
        <f aca="false">COUNTA(Voci!$A$3:$A$49)</f>
        <v>47</v>
      </c>
    </row>
    <row r="12" customFormat="false" ht="15" hidden="false" customHeight="false" outlineLevel="0" collapsed="false">
      <c r="A12" s="3" t="s">
        <v>35</v>
      </c>
    </row>
    <row r="13" customFormat="false" ht="15" hidden="false" customHeight="false" outlineLevel="0" collapsed="false">
      <c r="A13" s="6" t="s">
        <v>245</v>
      </c>
      <c r="B13" s="6" t="n">
        <f aca="false">COUNTIF(Voci!$I$3:$I$49,"conforme")</f>
        <v>0</v>
      </c>
    </row>
    <row r="14" customFormat="false" ht="15" hidden="false" customHeight="false" outlineLevel="0" collapsed="false">
      <c r="A14" s="6" t="s">
        <v>48</v>
      </c>
      <c r="B14" s="6" t="n">
        <f aca="false">COUNTIF(Voci!$I$3:$I$49,"diverso")</f>
        <v>0</v>
      </c>
    </row>
    <row r="15" customFormat="false" ht="15" hidden="false" customHeight="false" outlineLevel="0" collapsed="false">
      <c r="A15" s="6" t="s">
        <v>246</v>
      </c>
      <c r="B15" s="6" t="n">
        <f aca="false">COUNTIF(Voci!$I$3:$I$49,"non applicabile")</f>
        <v>0</v>
      </c>
    </row>
    <row r="16" customFormat="false" ht="15" hidden="false" customHeight="false" outlineLevel="0" collapsed="false">
      <c r="A16" s="6" t="s">
        <v>247</v>
      </c>
      <c r="B16" s="6" t="n">
        <f aca="false">COUNTBLANK(Voci!$I$3:$I$49)</f>
        <v>47</v>
      </c>
    </row>
    <row r="18" customFormat="false" ht="15" hidden="false" customHeight="false" outlineLevel="0" collapsed="false">
      <c r="A18" s="13" t="s">
        <v>248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2026-09-30T06:08:01Z</dcterms:created>
  <dc:creator>openpyxl</dc:creator>
  <dc:description/>
  <dc:language>en-US</dc:language>
  <cp:lastModifiedBy/>
  <dcterms:modified xsi:type="dcterms:W3CDTF">2026-09-30T06:08:01Z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