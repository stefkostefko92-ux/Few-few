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Voci" sheetId="2" state="visible" r:id="rId2"/>
    <sheet name="Riepilogo" sheetId="3" state="visible" r:id="rId3"/>
  </sheets>
  <definedNames>
    <definedName name="_xlnm._FilterDatabase" localSheetId="1" hidden="1">'Voci'!$A$1:$N$95</definedName>
    <definedName name="_xlnm.Print_Titles" localSheetId="1">'Voci'!$1:$1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A6480"/>
      <sz val="10"/>
    </font>
    <font>
      <name val="Arial"/>
      <color rgb="000000FF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D3271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C9CFDB"/>
      </left>
      <right style="thin">
        <color rgb="00C9CFDB"/>
      </right>
      <top style="thin">
        <color rgb="00C9CFDB"/>
      </top>
      <bottom style="thin">
        <color rgb="00C9CF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2" borderId="0" pivotButton="0" quotePrefix="0" xfId="0"/>
    <xf numFmtId="0" fontId="4" fillId="0" borderId="0" pivotButton="0" quotePrefix="0" xfId="0"/>
    <xf numFmtId="0" fontId="0" fillId="2" borderId="1" pivotButton="0" quotePrefix="0" xfId="0"/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Lista di verifica normativa — profilo IT-2026.1</t>
        </is>
      </c>
    </row>
    <row r="2">
      <c r="A2" s="2" t="inlineStr">
        <is>
          <t>Italia — sostituzione dell'argano su impianto esistente</t>
        </is>
      </c>
    </row>
    <row r="4">
      <c r="A4" s="3" t="inlineStr">
        <is>
          <t>Documenti del profilo</t>
        </is>
      </c>
    </row>
    <row r="5">
      <c r="A5" s="3" t="inlineStr">
        <is>
          <t>Direttiva 2014/33/UE</t>
        </is>
      </c>
      <c r="B5" s="4" t="inlineStr">
        <is>
          <t>requisiti essenziali di sicurezza (Allegato I)</t>
        </is>
      </c>
    </row>
    <row r="6">
      <c r="A6" s="3" t="inlineStr">
        <is>
          <t>DPR 162/1999 e s.m.i. (DPR 8/2015, DPR 23/2017)</t>
        </is>
      </c>
      <c r="B6" s="4" t="inlineStr">
        <is>
          <t>sostituzione del macchinario come modifica costruttiva; verifica straordinaria (art. 14)</t>
        </is>
      </c>
    </row>
    <row r="7">
      <c r="A7" s="3" t="inlineStr">
        <is>
          <t>UNI EN 81-20:2020</t>
        </is>
      </c>
      <c r="B7" s="4" t="inlineStr">
        <is>
          <t>funi (5.5), freno (5.9.2.2), distanze nel vano (5.2.5) e superficie della cabina (5.4.2)</t>
        </is>
      </c>
    </row>
    <row r="8">
      <c r="A8" s="3" t="inlineStr">
        <is>
          <t>UNI EN 81-50:2020</t>
        </is>
      </c>
      <c r="B8" s="4" t="inlineStr">
        <is>
          <t>aderenza (5.11) e coefficiente di sicurezza delle funi (5.12)</t>
        </is>
      </c>
    </row>
    <row r="9">
      <c r="A9" s="3" t="inlineStr">
        <is>
          <t>UNI 10411-1:2024</t>
        </is>
      </c>
      <c r="B9" s="4" t="inlineStr">
        <is>
          <t>modifiche e sostituzioni su ascensori elettrici esistenti non conformi alle direttive</t>
        </is>
      </c>
    </row>
    <row r="10">
      <c r="A10" s="3" t="inlineStr">
        <is>
          <t>DM 236/1989</t>
        </is>
      </c>
      <c r="B10" s="4" t="inlineStr">
        <is>
          <t>accessibilità: cabina e porta minime (8.1.12), per il progetto del vano</t>
        </is>
      </c>
    </row>
    <row r="12">
      <c r="A12" s="3" t="inlineStr">
        <is>
          <t>Come compilare</t>
        </is>
      </c>
    </row>
    <row r="13" ht="32" customHeight="1">
      <c r="B13" s="4" t="inlineStr">
        <is>
          <t>Nel foglio «Voci», per ogni riga confrontare il «Valore nel software» con il testo vigente del documento in «Dove verificare».</t>
        </is>
      </c>
    </row>
    <row r="14" ht="32" customHeight="1">
      <c r="B14" s="4" t="inlineStr">
        <is>
          <t>Compilare solo le celle gialle: Esito (conforme / diverso / non applicabile), Valore corretto e Clausola esatta se diverso, Note, Verificato da, Data.</t>
        </is>
      </c>
    </row>
    <row r="15" ht="18" customHeight="1">
      <c r="B15" s="4" t="inlineStr">
        <is>
          <t>La riga 2 è un ESEMPIO del formato: non è una voce e non entra nel riepilogo.</t>
        </is>
      </c>
    </row>
    <row r="16" ht="60" customHeight="1">
      <c r="B16" s="4" t="inlineStr">
        <is>
          <t>Stati: «da verificare» = fonte secondaria; «stima» e «scelta del software» = decisioni del software da approvare o correggere; «derivazione» = meccanica elementare; «confermato» = due fonti indipendenti o un caso pubblicato riprodotto, da confrontare comunque con il testo; «prassi di cantiere» = indicazione di Panev Ascensori.</t>
        </is>
      </c>
    </row>
    <row r="17" ht="32" customHeight="1">
      <c r="B17" s="4" t="inlineStr">
        <is>
          <t>Ogni correzione viene riportata nel registro del software (argano/src/calc/norme.ts) e cambia insieme motore di calcolo, lista e relazione di calcolo.</t>
        </is>
      </c>
    </row>
    <row r="18" ht="18" customHeight="1">
      <c r="B18" s="4" t="inlineStr">
        <is>
          <t>Non trascrivere il testo delle norme in questo file: basta il valore e il numero di clausola.</t>
        </is>
      </c>
    </row>
    <row r="20">
      <c r="A20" s="3" t="inlineStr">
        <is>
          <t>Legenda</t>
        </is>
      </c>
      <c r="B20" s="5" t="inlineStr">
        <is>
          <t>celle da compilare</t>
        </is>
      </c>
    </row>
    <row r="22">
      <c r="A22" s="3" t="inlineStr">
        <is>
          <t>Verifica complessiva</t>
        </is>
      </c>
    </row>
    <row r="23">
      <c r="A23" s="6" t="inlineStr">
        <is>
          <t>Ingegnere (nome e cognome)</t>
        </is>
      </c>
      <c r="B23" s="7" t="n"/>
    </row>
    <row r="24">
      <c r="A24" s="6" t="inlineStr">
        <is>
          <t>Iscrizione all'albo</t>
        </is>
      </c>
      <c r="B24" s="7" t="n"/>
    </row>
    <row r="25">
      <c r="A25" s="6" t="inlineStr">
        <is>
          <t>Data</t>
        </is>
      </c>
      <c r="B25" s="7" t="n"/>
    </row>
    <row r="26">
      <c r="A26" s="6" t="inlineStr">
        <is>
          <t>Firma</t>
        </is>
      </c>
      <c r="B26" s="7" t="n"/>
    </row>
  </sheetData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46" customWidth="1" min="4" max="4"/>
    <col width="30" customWidth="1" min="5" max="5"/>
    <col width="30" customWidth="1" min="6" max="6"/>
    <col width="14" customWidth="1" min="7" max="7"/>
    <col width="30" customWidth="1" min="8" max="8"/>
    <col width="16" customWidth="1" min="9" max="9"/>
    <col width="24" customWidth="1" min="10" max="10"/>
    <col width="18" customWidth="1" min="11" max="11"/>
    <col width="30" customWidth="1" min="12" max="12"/>
    <col width="18" customWidth="1" min="13" max="13"/>
    <col width="12" customWidth="1" min="14" max="14"/>
  </cols>
  <sheetData>
    <row r="1" ht="30" customHeight="1">
      <c r="A1" s="8" t="inlineStr">
        <is>
          <t>N.</t>
        </is>
      </c>
      <c r="B1" s="8" t="inlineStr">
        <is>
          <t>Gruppo</t>
        </is>
      </c>
      <c r="C1" s="8" t="inlineStr">
        <is>
          <t>Voce</t>
        </is>
      </c>
      <c r="D1" s="8" t="inlineStr">
        <is>
          <t>Valore nel software</t>
        </is>
      </c>
      <c r="E1" s="8" t="inlineStr">
        <is>
          <t>Dove verificare</t>
        </is>
      </c>
      <c r="F1" s="8" t="inlineStr">
        <is>
          <t>Fonte attuale</t>
        </is>
      </c>
      <c r="G1" s="8" t="inlineStr">
        <is>
          <t>Stato</t>
        </is>
      </c>
      <c r="H1" s="8" t="inlineStr">
        <is>
          <t>Verifiche interessate</t>
        </is>
      </c>
      <c r="I1" s="8" t="inlineStr">
        <is>
          <t>Esito</t>
        </is>
      </c>
      <c r="J1" s="8" t="inlineStr">
        <is>
          <t>Valore corretto</t>
        </is>
      </c>
      <c r="K1" s="8" t="inlineStr">
        <is>
          <t>Clausola esatta</t>
        </is>
      </c>
      <c r="L1" s="8" t="inlineStr">
        <is>
          <t>Note</t>
        </is>
      </c>
      <c r="M1" s="8" t="inlineStr">
        <is>
          <t>Verificato da</t>
        </is>
      </c>
      <c r="N1" s="8" t="inlineStr">
        <is>
          <t>Data</t>
        </is>
      </c>
    </row>
    <row r="2" ht="30" customHeight="1">
      <c r="A2" s="9" t="inlineStr">
        <is>
          <t>ESEMPIO</t>
        </is>
      </c>
      <c r="B2" s="9" t="inlineStr">
        <is>
          <t>Aderenza</t>
        </is>
      </c>
      <c r="C2" s="9" t="inlineStr">
        <is>
          <t>Coefficiente di attrito, caricamento</t>
        </is>
      </c>
      <c r="D2" s="9" t="inlineStr">
        <is>
          <t>μ = 0,1</t>
        </is>
      </c>
      <c r="E2" s="9" t="inlineStr">
        <is>
          <t>UNI EN 81-50:2020, 5.11.2</t>
        </is>
      </c>
      <c r="F2" s="9" t="inlineStr">
        <is>
          <t>fonti secondarie</t>
        </is>
      </c>
      <c r="G2" s="9" t="inlineStr">
        <is>
          <t>da verificare</t>
        </is>
      </c>
      <c r="H2" s="9" t="inlineStr">
        <is>
          <t>aderenza al caricamento</t>
        </is>
      </c>
      <c r="I2" s="9" t="inlineStr">
        <is>
          <t>diverso</t>
        </is>
      </c>
      <c r="J2" s="9" t="inlineStr">
        <is>
          <t>μ = 0,1 (con …)</t>
        </is>
      </c>
      <c r="K2" s="9" t="inlineStr">
        <is>
          <t>5.11.2.x</t>
        </is>
      </c>
      <c r="L2" s="9" t="inlineStr">
        <is>
          <t>formato della risposta: non è una voce</t>
        </is>
      </c>
      <c r="M2" s="9" t="inlineStr">
        <is>
          <t>iniziali</t>
        </is>
      </c>
      <c r="N2" s="9" t="inlineStr">
        <is>
          <t>gg/mm/aaaa</t>
        </is>
      </c>
    </row>
    <row r="3" ht="56" customHeight="1">
      <c r="A3" s="10" t="n">
        <v>1</v>
      </c>
      <c r="B3" s="10" t="inlineStr">
        <is>
          <t>Aderenza</t>
        </is>
      </c>
      <c r="C3" s="10" t="inlineStr">
        <is>
          <t>Aderenza: tre condizioni di Euler-Eytelwein</t>
        </is>
      </c>
      <c r="D3" s="10" t="inlineStr">
        <is>
          <t>T1/T2 ≤ e^(f·α) al caricamento e in frenatura di emergenza; T1/T2 ≥ e^(f·α) con cabina bloccata</t>
        </is>
      </c>
      <c r="E3" s="10" t="inlineStr">
        <is>
          <t>UNI EN 81-50:2020, 5.11</t>
        </is>
      </c>
      <c r="F3" s="10" t="inlineStr">
        <is>
          <t>Mellor; Elevator World; Scientific Reports 2025</t>
        </is>
      </c>
      <c r="G3" s="10" t="inlineStr">
        <is>
          <t>confermato</t>
        </is>
      </c>
      <c r="H3" s="10" t="inlineStr">
        <is>
          <t>aderenza al caricamento; aderenza in frenatura, in discesa; aderenza in frenatura, in salita; cabina bloccata</t>
        </is>
      </c>
      <c r="I3" s="11" t="n"/>
      <c r="J3" s="11" t="n"/>
      <c r="K3" s="11" t="n"/>
      <c r="L3" s="11" t="n"/>
      <c r="M3" s="11" t="n"/>
      <c r="N3" s="11" t="n"/>
    </row>
    <row r="4" ht="30" customHeight="1">
      <c r="A4" s="10" t="n">
        <v>2</v>
      </c>
      <c r="B4" s="10" t="inlineStr">
        <is>
          <t>Aderenza</t>
        </is>
      </c>
      <c r="C4" s="10" t="inlineStr">
        <is>
          <t>Coefficiente di attrito, caricamento</t>
        </is>
      </c>
      <c r="D4" s="10" t="inlineStr">
        <is>
          <t>μ = 0,1</t>
        </is>
      </c>
      <c r="E4" s="10" t="inlineStr">
        <is>
          <t>UNI EN 81-50:2020, 5.11.2 (sottoclausola da individuare)</t>
        </is>
      </c>
      <c r="F4" s="10" t="inlineStr">
        <is>
          <t>fonti secondarie concordi</t>
        </is>
      </c>
      <c r="G4" s="10" t="inlineStr">
        <is>
          <t>da verificare</t>
        </is>
      </c>
      <c r="H4" s="10" t="inlineStr">
        <is>
          <t>aderenza al caricamento</t>
        </is>
      </c>
      <c r="I4" s="11" t="n"/>
      <c r="J4" s="11" t="n"/>
      <c r="K4" s="11" t="n"/>
      <c r="L4" s="11" t="n"/>
      <c r="M4" s="11" t="n"/>
      <c r="N4" s="11" t="n"/>
    </row>
    <row r="5" ht="56" customHeight="1">
      <c r="A5" s="10" t="n">
        <v>3</v>
      </c>
      <c r="B5" s="10" t="inlineStr">
        <is>
          <t>Aderenza</t>
        </is>
      </c>
      <c r="C5" s="10" t="inlineStr">
        <is>
          <t>Coefficiente di attrito, frenatura di emergenza</t>
        </is>
      </c>
      <c r="D5" s="10" t="inlineStr">
        <is>
          <t>μ = 0,1 / (1 + v_f/10), v_f = velocità delle funi</t>
        </is>
      </c>
      <c r="E5" s="10" t="inlineStr">
        <is>
          <t>UNI EN 81-50:2020, 5.11.2</t>
        </is>
      </c>
      <c r="F5" s="10" t="inlineStr">
        <is>
          <t>fonti secondarie concordi</t>
        </is>
      </c>
      <c r="G5" s="10" t="inlineStr">
        <is>
          <t>da verificare</t>
        </is>
      </c>
      <c r="H5" s="10" t="inlineStr">
        <is>
          <t>aderenza in frenatura, in discesa; aderenza in frenatura, in salita; aderenza alla decelerazione reale (avviso)</t>
        </is>
      </c>
      <c r="I5" s="11" t="n"/>
      <c r="J5" s="11" t="n"/>
      <c r="K5" s="11" t="n"/>
      <c r="L5" s="11" t="n"/>
      <c r="M5" s="11" t="n"/>
      <c r="N5" s="11" t="n"/>
    </row>
    <row r="6" ht="30" customHeight="1">
      <c r="A6" s="10" t="n">
        <v>4</v>
      </c>
      <c r="B6" s="10" t="inlineStr">
        <is>
          <t>Aderenza</t>
        </is>
      </c>
      <c r="C6" s="10" t="inlineStr">
        <is>
          <t>Coefficiente di attrito, cabina bloccata</t>
        </is>
      </c>
      <c r="D6" s="10" t="inlineStr">
        <is>
          <t>μ = 0,2</t>
        </is>
      </c>
      <c r="E6" s="10" t="inlineStr">
        <is>
          <t>UNI EN 81-50:2020, 5.11.2</t>
        </is>
      </c>
      <c r="F6" s="10" t="inlineStr">
        <is>
          <t>fonti secondarie concordi</t>
        </is>
      </c>
      <c r="G6" s="10" t="inlineStr">
        <is>
          <t>da verificare</t>
        </is>
      </c>
      <c r="H6" s="10" t="inlineStr">
        <is>
          <t>cabina bloccata</t>
        </is>
      </c>
      <c r="I6" s="11" t="n"/>
      <c r="J6" s="11" t="n"/>
      <c r="K6" s="11" t="n"/>
      <c r="L6" s="11" t="n"/>
      <c r="M6" s="11" t="n"/>
      <c r="N6" s="11" t="n"/>
    </row>
    <row r="7" ht="56" customHeight="1">
      <c r="A7" s="10" t="n">
        <v>5</v>
      </c>
      <c r="B7" s="10" t="inlineStr">
        <is>
          <t>Aderenza</t>
        </is>
      </c>
      <c r="C7" s="10" t="inlineStr">
        <is>
          <t>Carico della verifica di caricamento — Il campione cita anche il peso dei dispositivi di movimentazione, dove usati: non modellato.</t>
        </is>
      </c>
      <c r="D7" s="10" t="inlineStr">
        <is>
          <t>1,25·Q, cabina in basso e in alto</t>
        </is>
      </c>
      <c r="E7" s="10" t="inlineStr">
        <is>
          <t>UNI EN 81-50:2020, 5.11.2.3.2</t>
        </is>
      </c>
      <c r="F7" s="10" t="inlineStr">
        <is>
          <t>campione BSI di EN 81-50:2020 (p. 50)</t>
        </is>
      </c>
      <c r="G7" s="10" t="inlineStr">
        <is>
          <t>da verificare</t>
        </is>
      </c>
      <c r="H7" s="10" t="inlineStr">
        <is>
          <t>aderenza al caricamento</t>
        </is>
      </c>
      <c r="I7" s="11" t="n"/>
      <c r="J7" s="11" t="n"/>
      <c r="K7" s="11" t="n"/>
      <c r="L7" s="11" t="n"/>
      <c r="M7" s="11" t="n"/>
      <c r="N7" s="11" t="n"/>
    </row>
    <row r="8" ht="43" customHeight="1">
      <c r="A8" s="10" t="n">
        <v>6</v>
      </c>
      <c r="B8" s="10" t="inlineStr">
        <is>
          <t>Aderenza</t>
        </is>
      </c>
      <c r="C8" s="10" t="inlineStr">
        <is>
          <t>Decelerazione della verifica di frenatura</t>
        </is>
      </c>
      <c r="D8" s="10" t="inlineStr">
        <is>
          <t>0,5 m/s²; 0,8 m/s² con ammortizzatori a corsa ridotta</t>
        </is>
      </c>
      <c r="E8" s="10" t="inlineStr">
        <is>
          <t>UNI EN 81-50:2020, 5.11.2.2.2</t>
        </is>
      </c>
      <c r="F8" s="10" t="inlineStr">
        <is>
          <t>fonti secondarie; 0,8 m/s² da EN 81-1 secondo una fonte secondaria</t>
        </is>
      </c>
      <c r="G8" s="10" t="inlineStr">
        <is>
          <t>da verificare</t>
        </is>
      </c>
      <c r="H8" s="10" t="inlineStr">
        <is>
          <t>aderenza in frenatura, in discesa; aderenza in frenatura, in salita</t>
        </is>
      </c>
      <c r="I8" s="11" t="n"/>
      <c r="J8" s="11" t="n"/>
      <c r="K8" s="11" t="n"/>
      <c r="L8" s="11" t="n"/>
      <c r="M8" s="11" t="n"/>
      <c r="N8" s="11" t="n"/>
    </row>
    <row r="9" ht="43" customHeight="1">
      <c r="A9" s="10" t="n">
        <v>7</v>
      </c>
      <c r="B9" s="10" t="inlineStr">
        <is>
          <t>Aderenza</t>
        </is>
      </c>
      <c r="C9" s="10" t="inlineStr">
        <is>
          <t>Combinazioni della frenatura di emergenza</t>
        </is>
      </c>
      <c r="D9" s="10" t="inlineStr">
        <is>
          <t>cabina vuota e con portata × in discesa e in salita × in basso e in alto; conta la peggiore per verso</t>
        </is>
      </c>
      <c r="E9" s="10" t="inlineStr">
        <is>
          <t>UNI EN 81-50:2020, 5.11.2.2.2</t>
        </is>
      </c>
      <c r="F9" s="10" t="inlineStr">
        <is>
          <t>derivazione (copertura completa dei casi)</t>
        </is>
      </c>
      <c r="G9" s="10" t="inlineStr">
        <is>
          <t>scelta del software</t>
        </is>
      </c>
      <c r="H9" s="10" t="inlineStr">
        <is>
          <t>aderenza in frenatura, in discesa; aderenza in frenatura, in salita</t>
        </is>
      </c>
      <c r="I9" s="11" t="n"/>
      <c r="J9" s="11" t="n"/>
      <c r="K9" s="11" t="n"/>
      <c r="L9" s="11" t="n"/>
      <c r="M9" s="11" t="n"/>
      <c r="N9" s="11" t="n"/>
    </row>
    <row r="10" ht="56" customHeight="1">
      <c r="A10" s="10" t="n">
        <v>8</v>
      </c>
      <c r="B10" s="10" t="inlineStr">
        <is>
          <t>Aderenza</t>
        </is>
      </c>
      <c r="C10" s="10" t="inlineStr">
        <is>
          <t>Aderenza alla decelerazione reale del freno — Se la lettura è confermata diventa un esito; nell'esempio B del capitolo 7 cambia 1,005 in 4,17.</t>
        </is>
      </c>
      <c r="D10" s="10" t="inlineStr">
        <is>
          <t>Seconda verifica con la decelerazione data dal freno (tutti i gruppi, mai sotto il minimo); oggi solo avviso</t>
        </is>
      </c>
      <c r="E10" s="10" t="inlineStr">
        <is>
          <t>UNI EN 81-50:2020, 5.11.2.2.2 (lettura da decidere sul testo)</t>
        </is>
      </c>
      <c r="F10" s="10" t="inlineStr">
        <is>
          <t>fonti secondarie: "ogni parte con la sua decelerazione"</t>
        </is>
      </c>
      <c r="G10" s="10" t="inlineStr">
        <is>
          <t>da verificare</t>
        </is>
      </c>
      <c r="H10" s="10" t="inlineStr">
        <is>
          <t>aderenza alla decelerazione reale (avviso)</t>
        </is>
      </c>
      <c r="I10" s="11" t="n"/>
      <c r="J10" s="11" t="n"/>
      <c r="K10" s="11" t="n"/>
      <c r="L10" s="11" t="n"/>
      <c r="M10" s="11" t="n"/>
      <c r="N10" s="11" t="n"/>
    </row>
    <row r="11" ht="69" customHeight="1">
      <c r="A11" s="10" t="n">
        <v>9</v>
      </c>
      <c r="B11" s="10" t="inlineStr">
        <is>
          <t>Aderenza</t>
        </is>
      </c>
      <c r="C11" s="10" t="inlineStr">
        <is>
          <t>Soglia di attenzione sull'utilizzo dell'aderenza</t>
        </is>
      </c>
      <c r="D11" s="10" t="inlineStr">
        <is>
          <t>utilizzo &gt; 0,97 → «Attenzione»</t>
        </is>
      </c>
      <c r="E11" s="10" t="inlineStr">
        <is>
          <t>—</t>
        </is>
      </c>
      <c r="F11" s="10" t="inlineStr">
        <is>
          <t>scelta del software (margine per incertezza su masse e bilanciamento)</t>
        </is>
      </c>
      <c r="G11" s="10" t="inlineStr">
        <is>
          <t>scelta del software</t>
        </is>
      </c>
      <c r="H11" s="10" t="inlineStr">
        <is>
          <t>aderenza al caricamento; aderenza in frenatura, in discesa; aderenza in frenatura, in salita; aderenza alla decelerazione reale (avviso)</t>
        </is>
      </c>
      <c r="I11" s="11" t="n"/>
      <c r="J11" s="11" t="n"/>
      <c r="K11" s="11" t="n"/>
      <c r="L11" s="11" t="n"/>
      <c r="M11" s="11" t="n"/>
      <c r="N11" s="11" t="n"/>
    </row>
    <row r="12" ht="56" customHeight="1">
      <c r="A12" s="10" t="n">
        <v>10</v>
      </c>
      <c r="B12" s="10" t="inlineStr">
        <is>
          <t>Gole</t>
        </is>
      </c>
      <c r="C12" s="10" t="inlineStr">
        <is>
          <t>Fattore di gola, semicircolare con o senza sottosquadro</t>
        </is>
      </c>
      <c r="D12" s="10" t="inlineStr">
        <is>
          <t>f = μ·4·(cos(γ/2) − sin(β/2)) / (π − β − γ − sin β + sin γ); senza sottosquadro β = 0</t>
        </is>
      </c>
      <c r="E12" s="10" t="inlineStr">
        <is>
          <t>UNI EN 81-50:2020, 5.11.2.3 (ex EN 81-1 Allegato M)</t>
        </is>
      </c>
      <c r="F12" s="10" t="inlineStr">
        <is>
          <t>fonti secondarie; controllo di coerenza con Mellor</t>
        </is>
      </c>
      <c r="G12" s="10" t="inlineStr">
        <is>
          <t>da verificare</t>
        </is>
      </c>
      <c r="H12" s="10" t="inlineStr">
        <is>
          <t>aderenza al caricamento; aderenza in frenatura, in discesa; aderenza in frenatura, in salita; cabina bloccata</t>
        </is>
      </c>
      <c r="I12" s="11" t="n"/>
      <c r="J12" s="11" t="n"/>
      <c r="K12" s="11" t="n"/>
      <c r="L12" s="11" t="n"/>
      <c r="M12" s="11" t="n"/>
      <c r="N12" s="11" t="n"/>
    </row>
    <row r="13" ht="56" customHeight="1">
      <c r="A13" s="10" t="n">
        <v>11</v>
      </c>
      <c r="B13" s="10" t="inlineStr">
        <is>
          <t>Gole</t>
        </is>
      </c>
      <c r="C13" s="10" t="inlineStr">
        <is>
          <t>Fattore di gola a V</t>
        </is>
      </c>
      <c r="D13" s="10" t="inlineStr">
        <is>
          <t>temprata (e ogni gola a V con cabina bloccata): f = μ / sin(γ/2); non temprata: f = μ·4·(1 − sin(β/2)) / (π − β − sin β)</t>
        </is>
      </c>
      <c r="E13" s="10" t="inlineStr">
        <is>
          <t>UNI EN 81-50:2020, 5.11.2.3</t>
        </is>
      </c>
      <c r="F13" s="10" t="inlineStr">
        <is>
          <t>fonti secondarie; controllo di coerenza con Mellor</t>
        </is>
      </c>
      <c r="G13" s="10" t="inlineStr">
        <is>
          <t>da verificare</t>
        </is>
      </c>
      <c r="H13" s="10" t="inlineStr">
        <is>
          <t>aderenza al caricamento; aderenza in frenatura, in discesa; aderenza in frenatura, in salita; cabina bloccata</t>
        </is>
      </c>
      <c r="I13" s="11" t="n"/>
      <c r="J13" s="11" t="n"/>
      <c r="K13" s="11" t="n"/>
      <c r="L13" s="11" t="n"/>
      <c r="M13" s="11" t="n"/>
      <c r="N13" s="11" t="n"/>
    </row>
    <row r="14" ht="30" customHeight="1">
      <c r="A14" s="10" t="n">
        <v>12</v>
      </c>
      <c r="B14" s="10" t="inlineStr">
        <is>
          <t>Gole</t>
        </is>
      </c>
      <c r="C14" s="10" t="inlineStr">
        <is>
          <t>Limite del sottosquadro</t>
        </is>
      </c>
      <c r="D14" s="10" t="inlineStr">
        <is>
          <t>β ≤ 106° (oltre: KO)</t>
        </is>
      </c>
      <c r="E14" s="10" t="inlineStr">
        <is>
          <t>UNI EN 81-50:2020, 5.11.2.3 (valore di EN 81-1)</t>
        </is>
      </c>
      <c r="F14" s="10" t="inlineStr">
        <is>
          <t>fonte secondaria su EN 81-1</t>
        </is>
      </c>
      <c r="G14" s="10" t="inlineStr">
        <is>
          <t>da verificare</t>
        </is>
      </c>
      <c r="H14" s="10" t="inlineStr">
        <is>
          <t>geometria della gola</t>
        </is>
      </c>
      <c r="I14" s="11" t="n"/>
      <c r="J14" s="11" t="n"/>
      <c r="K14" s="11" t="n"/>
      <c r="L14" s="11" t="n"/>
      <c r="M14" s="11" t="n"/>
      <c r="N14" s="11" t="n"/>
    </row>
    <row r="15" ht="30" customHeight="1">
      <c r="A15" s="10" t="n">
        <v>13</v>
      </c>
      <c r="B15" s="10" t="inlineStr">
        <is>
          <t>Gole</t>
        </is>
      </c>
      <c r="C15" s="10" t="inlineStr">
        <is>
          <t>Sottosquadro raccomandato</t>
        </is>
      </c>
      <c r="D15" s="10" t="inlineStr">
        <is>
          <t>β ≤ 90° (oltre: «Attenzione»)</t>
        </is>
      </c>
      <c r="E15" s="10" t="inlineStr">
        <is>
          <t>—</t>
        </is>
      </c>
      <c r="F15" s="10" t="inlineStr">
        <is>
          <t>Montanari, documento tecnico del costruttore</t>
        </is>
      </c>
      <c r="G15" s="10" t="inlineStr">
        <is>
          <t>scelta del software</t>
        </is>
      </c>
      <c r="H15" s="10" t="inlineStr">
        <is>
          <t>geometria della gola</t>
        </is>
      </c>
      <c r="I15" s="11" t="n"/>
      <c r="J15" s="11" t="n"/>
      <c r="K15" s="11" t="n"/>
      <c r="L15" s="11" t="n"/>
      <c r="M15" s="11" t="n"/>
      <c r="N15" s="11" t="n"/>
    </row>
    <row r="16" ht="43" customHeight="1">
      <c r="A16" s="10" t="n">
        <v>14</v>
      </c>
      <c r="B16" s="10" t="inlineStr">
        <is>
          <t>Gole</t>
        </is>
      </c>
      <c r="C16" s="10" t="inlineStr">
        <is>
          <t>Angolo minimo della gola a V</t>
        </is>
      </c>
      <c r="D16" s="10" t="inlineStr">
        <is>
          <t>γ ≥ 35° (sotto: KO)</t>
        </is>
      </c>
      <c r="E16" s="10" t="inlineStr">
        <is>
          <t>UNI EN 81-50:2020, 5.12 (tabella di N_equiv(t))</t>
        </is>
      </c>
      <c r="F16" s="10" t="inlineStr">
        <is>
          <t>la tabella usata parte da 35°; Montanari: γ ≥ 32°, consigliato 35–40°</t>
        </is>
      </c>
      <c r="G16" s="10" t="inlineStr">
        <is>
          <t>scelta del software</t>
        </is>
      </c>
      <c r="H16" s="10" t="inlineStr">
        <is>
          <t>geometria della gola</t>
        </is>
      </c>
      <c r="I16" s="11" t="n"/>
      <c r="J16" s="11" t="n"/>
      <c r="K16" s="11" t="n"/>
      <c r="L16" s="11" t="n"/>
      <c r="M16" s="11" t="n"/>
      <c r="N16" s="11" t="n"/>
    </row>
    <row r="17" ht="30" customHeight="1">
      <c r="A17" s="10" t="n">
        <v>15</v>
      </c>
      <c r="B17" s="10" t="inlineStr">
        <is>
          <t>Funi</t>
        </is>
      </c>
      <c r="C17" s="10" t="inlineStr">
        <is>
          <t>Rapporto D/d della puleggia di trazione</t>
        </is>
      </c>
      <c r="D17" s="10" t="inlineStr">
        <is>
          <t>D/d ≥ 40</t>
        </is>
      </c>
      <c r="E17" s="10" t="inlineStr">
        <is>
          <t>UNI EN 81-20:2020, 5.5.2.1</t>
        </is>
      </c>
      <c r="F17" s="10" t="inlineStr">
        <is>
          <t>ELA 2026 e fonti concordi</t>
        </is>
      </c>
      <c r="G17" s="10" t="inlineStr">
        <is>
          <t>confermato</t>
        </is>
      </c>
      <c r="H17" s="10" t="inlineStr">
        <is>
          <t>D/d della puleggia</t>
        </is>
      </c>
      <c r="I17" s="11" t="n"/>
      <c r="J17" s="11" t="n"/>
      <c r="K17" s="11" t="n"/>
      <c r="L17" s="11" t="n"/>
      <c r="M17" s="11" t="n"/>
      <c r="N17" s="11" t="n"/>
    </row>
    <row r="18" ht="30" customHeight="1">
      <c r="A18" s="10" t="n">
        <v>16</v>
      </c>
      <c r="B18" s="10" t="inlineStr">
        <is>
          <t>Funi</t>
        </is>
      </c>
      <c r="C18" s="10" t="inlineStr">
        <is>
          <t>Rapporto D/d delle pulegge di rinvio</t>
        </is>
      </c>
      <c r="D18" s="10" t="inlineStr">
        <is>
          <t>Dp/d ≥ 40</t>
        </is>
      </c>
      <c r="E18" s="10" t="inlineStr">
        <is>
          <t>UNI EN 81-20:2020, 5.5.2.1</t>
        </is>
      </c>
      <c r="F18" s="10" t="inlineStr">
        <is>
          <t>fonti secondarie</t>
        </is>
      </c>
      <c r="G18" s="10" t="inlineStr">
        <is>
          <t>da verificare</t>
        </is>
      </c>
      <c r="H18" s="10" t="inlineStr">
        <is>
          <t>Dp/d dei rinvii</t>
        </is>
      </c>
      <c r="I18" s="11" t="n"/>
      <c r="J18" s="11" t="n"/>
      <c r="K18" s="11" t="n"/>
      <c r="L18" s="11" t="n"/>
      <c r="M18" s="11" t="n"/>
      <c r="N18" s="11" t="n"/>
    </row>
    <row r="19" ht="30" customHeight="1">
      <c r="A19" s="10" t="n">
        <v>17</v>
      </c>
      <c r="B19" s="10" t="inlineStr">
        <is>
          <t>Funi</t>
        </is>
      </c>
      <c r="C19" s="10" t="inlineStr">
        <is>
          <t>Numero minimo di funi</t>
        </is>
      </c>
      <c r="D19" s="10" t="inlineStr">
        <is>
          <t>almeno 2 funi indipendenti, ciascuna con il suo attacco</t>
        </is>
      </c>
      <c r="E19" s="10" t="inlineStr">
        <is>
          <t>Direttiva 2014/33/UE, Allegato I; UNI EN 81-20:2020, 5.5</t>
        </is>
      </c>
      <c r="F19" s="10" t="inlineStr">
        <is>
          <t>fonte secondaria</t>
        </is>
      </c>
      <c r="G19" s="10" t="inlineStr">
        <is>
          <t>da verificare</t>
        </is>
      </c>
      <c r="H19" s="10" t="inlineStr">
        <is>
          <t>numero e diametro delle funi</t>
        </is>
      </c>
      <c r="I19" s="11" t="n"/>
      <c r="J19" s="11" t="n"/>
      <c r="K19" s="11" t="n"/>
      <c r="L19" s="11" t="n"/>
      <c r="M19" s="11" t="n"/>
      <c r="N19" s="11" t="n"/>
    </row>
    <row r="20" ht="30" customHeight="1">
      <c r="A20" s="10" t="n">
        <v>18</v>
      </c>
      <c r="B20" s="10" t="inlineStr">
        <is>
          <t>Funi</t>
        </is>
      </c>
      <c r="C20" s="10" t="inlineStr">
        <is>
          <t>Diametro nominale minimo</t>
        </is>
      </c>
      <c r="D20" s="10" t="inlineStr">
        <is>
          <t>d ≥ 8 mm (salvo approvazione di un organismo notificato)</t>
        </is>
      </c>
      <c r="E20" s="10" t="inlineStr">
        <is>
          <t>UNI EN 81-20:2020, 5.5</t>
        </is>
      </c>
      <c r="F20" s="10" t="inlineStr">
        <is>
          <t>fonti secondarie</t>
        </is>
      </c>
      <c r="G20" s="10" t="inlineStr">
        <is>
          <t>da verificare</t>
        </is>
      </c>
      <c r="H20" s="10" t="inlineStr">
        <is>
          <t>numero e diametro delle funi</t>
        </is>
      </c>
      <c r="I20" s="11" t="n"/>
      <c r="J20" s="11" t="n"/>
      <c r="K20" s="11" t="n"/>
      <c r="L20" s="11" t="n"/>
      <c r="M20" s="11" t="n"/>
      <c r="N20" s="11" t="n"/>
    </row>
    <row r="21" ht="30" customHeight="1">
      <c r="A21" s="10" t="n">
        <v>19</v>
      </c>
      <c r="B21" s="10" t="inlineStr">
        <is>
          <t>Funi</t>
        </is>
      </c>
      <c r="C21" s="10" t="inlineStr">
        <is>
          <t>Coefficiente di sicurezza minimo</t>
        </is>
      </c>
      <c r="D21" s="10" t="inlineStr">
        <is>
          <t>12 con tre o più funi; 16 con due funi</t>
        </is>
      </c>
      <c r="E21" s="10" t="inlineStr">
        <is>
          <t>UNI EN 81-20:2020, 5.5</t>
        </is>
      </c>
      <c r="F21" s="10" t="inlineStr">
        <is>
          <t>fonti secondarie</t>
        </is>
      </c>
      <c r="G21" s="10" t="inlineStr">
        <is>
          <t>da verificare</t>
        </is>
      </c>
      <c r="H21" s="10" t="inlineStr">
        <is>
          <t>coefficiente di sicurezza delle funi</t>
        </is>
      </c>
      <c r="I21" s="11" t="n"/>
      <c r="J21" s="11" t="n"/>
      <c r="K21" s="11" t="n"/>
      <c r="L21" s="11" t="n"/>
      <c r="M21" s="11" t="n"/>
      <c r="N21" s="11" t="n"/>
    </row>
    <row r="22" ht="43" customHeight="1">
      <c r="A22" s="10" t="n">
        <v>20</v>
      </c>
      <c r="B22" s="10" t="inlineStr">
        <is>
          <t>Funi</t>
        </is>
      </c>
      <c r="C22" s="10" t="inlineStr">
        <is>
          <t>Coefficiente di sicurezza richiesto S_f</t>
        </is>
      </c>
      <c r="D22" s="10" t="inlineStr">
        <is>
          <t>S_f = 10^[2,6834 − log10(695,85·10^6·N_equiv/(D/d)^8,567) / log10(77,09·(D/d)^−2,894)]</t>
        </is>
      </c>
      <c r="E22" s="10" t="inlineStr">
        <is>
          <t>UNI EN 81-50:2020, 5.12 (ex EN 81-1 Allegato N)</t>
        </is>
      </c>
      <c r="F22" s="10" t="inlineStr">
        <is>
          <t>riprodotto su due casi pubblicati (liftdesign.it S_f 16,69; Mellor)</t>
        </is>
      </c>
      <c r="G22" s="10" t="inlineStr">
        <is>
          <t>confermato</t>
        </is>
      </c>
      <c r="H22" s="10" t="inlineStr">
        <is>
          <t>coefficiente di sicurezza delle funi</t>
        </is>
      </c>
      <c r="I22" s="11" t="n"/>
      <c r="J22" s="11" t="n"/>
      <c r="K22" s="11" t="n"/>
      <c r="L22" s="11" t="n"/>
      <c r="M22" s="11" t="n"/>
      <c r="N22" s="11" t="n"/>
    </row>
    <row r="23" ht="69" customHeight="1">
      <c r="A23" s="10" t="n">
        <v>21</v>
      </c>
      <c r="B23" s="10" t="inlineStr">
        <is>
          <t>Funi</t>
        </is>
      </c>
      <c r="C23" s="10" t="inlineStr">
        <is>
          <t>N_equiv delle pulegge — Da confermare anche quando una flessione conta come inversa (distanza tra le pulegge): oggi la classifica il progettista.</t>
        </is>
      </c>
      <c r="D23" s="10" t="inlineStr">
        <is>
          <t>N_equiv(p) = K_p·(N_ps + 4·N_pr), K_p = (D/Dp)^4</t>
        </is>
      </c>
      <c r="E23" s="10" t="inlineStr">
        <is>
          <t>UNI EN 81-50:2020, 5.12</t>
        </is>
      </c>
      <c r="F23" s="10" t="inlineStr">
        <is>
          <t>fonti secondarie</t>
        </is>
      </c>
      <c r="G23" s="10" t="inlineStr">
        <is>
          <t>da verificare</t>
        </is>
      </c>
      <c r="H23" s="10" t="inlineStr">
        <is>
          <t>coefficiente di sicurezza delle funi</t>
        </is>
      </c>
      <c r="I23" s="11" t="n"/>
      <c r="J23" s="11" t="n"/>
      <c r="K23" s="11" t="n"/>
      <c r="L23" s="11" t="n"/>
      <c r="M23" s="11" t="n"/>
      <c r="N23" s="11" t="n"/>
    </row>
    <row r="24" ht="30" customHeight="1">
      <c r="A24" s="10" t="n">
        <v>22</v>
      </c>
      <c r="B24" s="10" t="inlineStr">
        <is>
          <t>Funi</t>
        </is>
      </c>
      <c r="C24" s="10" t="inlineStr">
        <is>
          <t>N_equiv(t) della gola: valori confermati</t>
        </is>
      </c>
      <c r="D24" s="10" t="inlineStr">
        <is>
          <t>U senza sottosquadro 1; U β 105° 15,2; V γ 35° 18,5</t>
        </is>
      </c>
      <c r="E24" s="10" t="inlineStr">
        <is>
          <t>UNI EN 81-50:2020, 5.12, tabella 2</t>
        </is>
      </c>
      <c r="F24" s="10" t="inlineStr">
        <is>
          <t>fonti concordi</t>
        </is>
      </c>
      <c r="G24" s="10" t="inlineStr">
        <is>
          <t>confermato</t>
        </is>
      </c>
      <c r="H24" s="10" t="inlineStr">
        <is>
          <t>coefficiente di sicurezza delle funi</t>
        </is>
      </c>
      <c r="I24" s="11" t="n"/>
      <c r="J24" s="11" t="n"/>
      <c r="K24" s="11" t="n"/>
      <c r="L24" s="11" t="n"/>
      <c r="M24" s="11" t="n"/>
      <c r="N24" s="11" t="n"/>
    </row>
    <row r="25" ht="43" customHeight="1">
      <c r="A25" s="10" t="n">
        <v>23</v>
      </c>
      <c r="B25" s="10" t="inlineStr">
        <is>
          <t>Funi</t>
        </is>
      </c>
      <c r="C25" s="10" t="inlineStr">
        <is>
          <t>N_equiv(t) della gola: altri valori (provvisori)</t>
        </is>
      </c>
      <c r="D25" s="10" t="inlineStr">
        <is>
          <t>β 75° 2,5; 80° 3,0; 85° 3,8; 90° 5,0; 95° 6,7; 100° 10,0 · γ 36° 15,2; 38° 10,5; 40° 7,1; 42° 5,6; 45° 4,0</t>
        </is>
      </c>
      <c r="E25" s="10" t="inlineStr">
        <is>
          <t>UNI EN 81-50:2020, 5.12, tabella 2</t>
        </is>
      </c>
      <c r="F25" s="10" t="inlineStr">
        <is>
          <t>fonti secondarie (β 90° indiretto); gli altri non verificati</t>
        </is>
      </c>
      <c r="G25" s="10" t="inlineStr">
        <is>
          <t>da verificare</t>
        </is>
      </c>
      <c r="H25" s="10" t="inlineStr">
        <is>
          <t>coefficiente di sicurezza delle funi</t>
        </is>
      </c>
      <c r="I25" s="11" t="n"/>
      <c r="J25" s="11" t="n"/>
      <c r="K25" s="11" t="n"/>
      <c r="L25" s="11" t="n"/>
      <c r="M25" s="11" t="n"/>
      <c r="N25" s="11" t="n"/>
    </row>
    <row r="26" ht="43" customHeight="1">
      <c r="A26" s="10" t="n">
        <v>24</v>
      </c>
      <c r="B26" s="10" t="inlineStr">
        <is>
          <t>Funi</t>
        </is>
      </c>
      <c r="C26" s="10" t="inlineStr">
        <is>
          <t>Uso della tabella di N_equiv(t)</t>
        </is>
      </c>
      <c r="D26" s="10" t="inlineStr">
        <is>
          <t>nessuna interpolazione: punto più sfavorevole (β superiore, γ inferiore); oltre 105° estrapolazione dall'ultimo tratto, segnalata</t>
        </is>
      </c>
      <c r="E26" s="10" t="inlineStr">
        <is>
          <t>UNI EN 81-50:2020, 5.12</t>
        </is>
      </c>
      <c r="F26" s="10" t="inlineStr">
        <is>
          <t>scelta prudente del software (la tabella non dà una regola)</t>
        </is>
      </c>
      <c r="G26" s="10" t="inlineStr">
        <is>
          <t>scelta del software</t>
        </is>
      </c>
      <c r="H26" s="10" t="inlineStr">
        <is>
          <t>coefficiente di sicurezza delle funi</t>
        </is>
      </c>
      <c r="I26" s="11" t="n"/>
      <c r="J26" s="11" t="n"/>
      <c r="K26" s="11" t="n"/>
      <c r="L26" s="11" t="n"/>
      <c r="M26" s="11" t="n"/>
      <c r="N26" s="11" t="n"/>
    </row>
    <row r="27" ht="43" customHeight="1">
      <c r="A27" s="10" t="n">
        <v>25</v>
      </c>
      <c r="B27" s="10" t="inlineStr">
        <is>
          <t>Funi</t>
        </is>
      </c>
      <c r="C27" s="10" t="inlineStr">
        <is>
          <t>Tiro massimo per fune</t>
        </is>
      </c>
      <c r="D27" s="10" t="inlineStr">
        <is>
          <t>cabina con portata ferma al piano più basso; con la macchina in basso sul primo tratto verso la testata</t>
        </is>
      </c>
      <c r="E27" s="10" t="inlineStr">
        <is>
          <t>UNI EN 81-50:2020, 5.12</t>
        </is>
      </c>
      <c r="F27" s="10" t="inlineStr">
        <is>
          <t>definizione di EN 81-1 da fonte secondaria</t>
        </is>
      </c>
      <c r="G27" s="10" t="inlineStr">
        <is>
          <t>da verificare</t>
        </is>
      </c>
      <c r="H27" s="10" t="inlineStr">
        <is>
          <t>coefficiente di sicurezza delle funi</t>
        </is>
      </c>
      <c r="I27" s="11" t="n"/>
      <c r="J27" s="11" t="n"/>
      <c r="K27" s="11" t="n"/>
      <c r="L27" s="11" t="n"/>
      <c r="M27" s="11" t="n"/>
      <c r="N27" s="11" t="n"/>
    </row>
    <row r="28" ht="43" customHeight="1">
      <c r="A28" s="10" t="n">
        <v>26</v>
      </c>
      <c r="B28" s="10" t="inlineStr">
        <is>
          <t>Funi</t>
        </is>
      </c>
      <c r="C28" s="10" t="inlineStr">
        <is>
          <t>Stima di carico di rottura e massa delle funi</t>
        </is>
      </c>
      <c r="D28" s="10" t="inlineStr">
        <is>
          <t>8×19 Seale anima tessile 1570 N/mm²: 8 mm = 30,4 kN e 0,215 kg/m, poi in proporzione a d²</t>
        </is>
      </c>
      <c r="E28" s="10" t="inlineStr">
        <is>
          <t>—</t>
        </is>
      </c>
      <c r="F28" s="10" t="inlineStr">
        <is>
          <t>tabella Pfeifer 8×19S NFC; usata solo con il pulsante di stima e nella proposta libera</t>
        </is>
      </c>
      <c r="G28" s="10" t="inlineStr">
        <is>
          <t>stima</t>
        </is>
      </c>
      <c r="H28" s="10" t="inlineStr">
        <is>
          <t>—</t>
        </is>
      </c>
      <c r="I28" s="11" t="n"/>
      <c r="J28" s="11" t="n"/>
      <c r="K28" s="11" t="n"/>
      <c r="L28" s="11" t="n"/>
      <c r="M28" s="11" t="n"/>
      <c r="N28" s="11" t="n"/>
    </row>
    <row r="29" ht="30" customHeight="1">
      <c r="A29" s="10" t="n">
        <v>27</v>
      </c>
      <c r="B29" s="10" t="inlineStr">
        <is>
          <t>Freno</t>
        </is>
      </c>
      <c r="C29" s="10" t="inlineStr">
        <is>
          <t>Gruppi meccanici del freno</t>
        </is>
      </c>
      <c r="D29" s="10" t="inlineStr">
        <is>
          <t>almeno 2</t>
        </is>
      </c>
      <c r="E29" s="10" t="inlineStr">
        <is>
          <t>UNI EN 81-20:2020, 5.9.2.2; UNI 10411-1:2024</t>
        </is>
      </c>
      <c r="F29" s="10" t="inlineStr">
        <is>
          <t>sintesi della UNI 10411-1:2021 e fonti secondarie</t>
        </is>
      </c>
      <c r="G29" s="10" t="inlineStr">
        <is>
          <t>da verificare</t>
        </is>
      </c>
      <c r="H29" s="10" t="inlineStr">
        <is>
          <t>gruppi del freno</t>
        </is>
      </c>
      <c r="I29" s="11" t="n"/>
      <c r="J29" s="11" t="n"/>
      <c r="K29" s="11" t="n"/>
      <c r="L29" s="11" t="n"/>
      <c r="M29" s="11" t="n"/>
      <c r="N29" s="11" t="n"/>
    </row>
    <row r="30" ht="30" customHeight="1">
      <c r="A30" s="10" t="n">
        <v>28</v>
      </c>
      <c r="B30" s="10" t="inlineStr">
        <is>
          <t>Freno</t>
        </is>
      </c>
      <c r="C30" s="10" t="inlineStr">
        <is>
          <t>Freno, tutti i gruppi</t>
        </is>
      </c>
      <c r="D30" s="10" t="inlineStr">
        <is>
          <t>arresta la cabina in discesa a velocità nominale con 1,25·Q</t>
        </is>
      </c>
      <c r="E30" s="10" t="inlineStr">
        <is>
          <t>UNI EN 81-20:2020, 5.9.2.2</t>
        </is>
      </c>
      <c r="F30" s="10" t="inlineStr">
        <is>
          <t>due ricerche indipendenti, stessa formulazione</t>
        </is>
      </c>
      <c r="G30" s="10" t="inlineStr">
        <is>
          <t>da verificare</t>
        </is>
      </c>
      <c r="H30" s="10" t="inlineStr">
        <is>
          <t>freno, tutti i gruppi</t>
        </is>
      </c>
      <c r="I30" s="11" t="n"/>
      <c r="J30" s="11" t="n"/>
      <c r="K30" s="11" t="n"/>
      <c r="L30" s="11" t="n"/>
      <c r="M30" s="11" t="n"/>
      <c r="N30" s="11" t="n"/>
    </row>
    <row r="31" ht="30" customHeight="1">
      <c r="A31" s="10" t="n">
        <v>29</v>
      </c>
      <c r="B31" s="10" t="inlineStr">
        <is>
          <t>Freno</t>
        </is>
      </c>
      <c r="C31" s="10" t="inlineStr">
        <is>
          <t>Freno, un solo gruppo</t>
        </is>
      </c>
      <c r="D31" s="10" t="inlineStr">
        <is>
          <t>rallenta, arresta e tiene la cabina con portata in discesa e la cabina vuota in salita</t>
        </is>
      </c>
      <c r="E31" s="10" t="inlineStr">
        <is>
          <t>UNI EN 81-20:2020, 5.9.2.2; UNI 10411-1:2024</t>
        </is>
      </c>
      <c r="F31" s="10" t="inlineStr">
        <is>
          <t>sintesi della UNI 10411-1:2021</t>
        </is>
      </c>
      <c r="G31" s="10" t="inlineStr">
        <is>
          <t>da verificare</t>
        </is>
      </c>
      <c r="H31" s="10" t="inlineStr">
        <is>
          <t>freno, un gruppo in discesa; freno, un gruppo a vuoto in salita</t>
        </is>
      </c>
      <c r="I31" s="11" t="n"/>
      <c r="J31" s="11" t="n"/>
      <c r="K31" s="11" t="n"/>
      <c r="L31" s="11" t="n"/>
      <c r="M31" s="11" t="n"/>
      <c r="N31" s="11" t="n"/>
    </row>
    <row r="32" ht="43" customHeight="1">
      <c r="A32" s="10" t="n">
        <v>30</v>
      </c>
      <c r="B32" s="10" t="inlineStr">
        <is>
          <t>Freno</t>
        </is>
      </c>
      <c r="C32" s="10" t="inlineStr">
        <is>
          <t>Attrito del riduttore nel fabbisogno del freno</t>
        </is>
      </c>
      <c r="D32" s="10" t="inlineStr">
        <is>
          <t>non conteggiato (η_i = 1): a favore di sicurezza</t>
        </is>
      </c>
      <c r="E32" s="10" t="inlineStr">
        <is>
          <t>—</t>
        </is>
      </c>
      <c r="F32" s="10" t="inlineStr">
        <is>
          <t>scelta prudente del software</t>
        </is>
      </c>
      <c r="G32" s="10" t="inlineStr">
        <is>
          <t>scelta del software</t>
        </is>
      </c>
      <c r="H32" s="10" t="inlineStr">
        <is>
          <t>freno, tutti i gruppi; freno, un gruppo in discesa; freno, un gruppo a vuoto in salita</t>
        </is>
      </c>
      <c r="I32" s="11" t="n"/>
      <c r="J32" s="11" t="n"/>
      <c r="K32" s="11" t="n"/>
      <c r="L32" s="11" t="n"/>
      <c r="M32" s="11" t="n"/>
      <c r="N32" s="11" t="n"/>
    </row>
    <row r="33" ht="30" customHeight="1">
      <c r="A33" s="10" t="n">
        <v>31</v>
      </c>
      <c r="B33" s="10" t="inlineStr">
        <is>
          <t>Freno</t>
        </is>
      </c>
      <c r="C33" s="10" t="inlineStr">
        <is>
          <t>Decelerazione massima del freno</t>
        </is>
      </c>
      <c r="D33" s="10" t="inlineStr">
        <is>
          <t>≤ 1 g (oltre: «Attenzione»), da confrontare con paracadute e ammortizzatori</t>
        </is>
      </c>
      <c r="E33" s="10" t="inlineStr">
        <is>
          <t>UNI EN 81-20:2020, 5.9.2.2</t>
        </is>
      </c>
      <c r="F33" s="10" t="inlineStr">
        <is>
          <t>fonte secondaria</t>
        </is>
      </c>
      <c r="G33" s="10" t="inlineStr">
        <is>
          <t>da verificare</t>
        </is>
      </c>
      <c r="H33" s="10" t="inlineStr">
        <is>
          <t>decelerazione massima del freno</t>
        </is>
      </c>
      <c r="I33" s="11" t="n"/>
      <c r="J33" s="11" t="n"/>
      <c r="K33" s="11" t="n"/>
      <c r="L33" s="11" t="n"/>
      <c r="M33" s="11" t="n"/>
      <c r="N33" s="11" t="n"/>
    </row>
    <row r="34" ht="56" customHeight="1">
      <c r="A34" s="10" t="n">
        <v>32</v>
      </c>
      <c r="B34" s="10" t="inlineStr">
        <is>
          <t>Riduttore e motore</t>
        </is>
      </c>
      <c r="C34" s="10" t="inlineStr">
        <is>
          <t>Rendimento inverso del riduttore se non dato — Da sostituire con il valore del costruttore: la decelerazione reale del freno ne dipende molto.</t>
        </is>
      </c>
      <c r="D34" s="10" t="inlineStr">
        <is>
          <t>η_i ≈ 2 − 1/η_d (0 = irreversibile)</t>
        </is>
      </c>
      <c r="E34" s="10" t="inlineStr">
        <is>
          <t>—</t>
        </is>
      </c>
      <c r="F34" s="10" t="inlineStr">
        <is>
          <t>approssimazione della teoria della vite senza fine</t>
        </is>
      </c>
      <c r="G34" s="10" t="inlineStr">
        <is>
          <t>stima</t>
        </is>
      </c>
      <c r="H34" s="10" t="inlineStr">
        <is>
          <t>aderenza alla decelerazione reale (avviso); decelerazione massima del freno</t>
        </is>
      </c>
      <c r="I34" s="11" t="n"/>
      <c r="J34" s="11" t="n"/>
      <c r="K34" s="11" t="n"/>
      <c r="L34" s="11" t="n"/>
      <c r="M34" s="11" t="n"/>
      <c r="N34" s="11" t="n"/>
    </row>
    <row r="35" ht="43" customHeight="1">
      <c r="A35" s="10" t="n">
        <v>33</v>
      </c>
      <c r="B35" s="10" t="inlineStr">
        <is>
          <t>Riduttore e motore</t>
        </is>
      </c>
      <c r="C35" s="10" t="inlineStr">
        <is>
          <t>Coppia di accelerazione</t>
        </is>
      </c>
      <c r="D35" s="10" t="inlineStr">
        <is>
          <t>≤ 2 volte la coppia nominale (oltre: «Attenzione»; nella proposta: criterio di scelta del motore)</t>
        </is>
      </c>
      <c r="E35" s="10" t="inlineStr">
        <is>
          <t>—</t>
        </is>
      </c>
      <c r="F35" s="10" t="inlineStr">
        <is>
          <t>scelta del software; il limite vero è quello di motore e inverter</t>
        </is>
      </c>
      <c r="G35" s="10" t="inlineStr">
        <is>
          <t>scelta del software</t>
        </is>
      </c>
      <c r="H35" s="10" t="inlineStr">
        <is>
          <t>coppia di accelerazione</t>
        </is>
      </c>
      <c r="I35" s="11" t="n"/>
      <c r="J35" s="11" t="n"/>
      <c r="K35" s="11" t="n"/>
      <c r="L35" s="11" t="n"/>
      <c r="M35" s="11" t="n"/>
      <c r="N35" s="11" t="n"/>
    </row>
    <row r="36" ht="30" customHeight="1">
      <c r="A36" s="10" t="n">
        <v>34</v>
      </c>
      <c r="B36" s="10" t="inlineStr">
        <is>
          <t>Riduttore e motore</t>
        </is>
      </c>
      <c r="C36" s="10" t="inlineStr">
        <is>
          <t>Soglia di attenzione sui limiti del costruttore</t>
        </is>
      </c>
      <c r="D36" s="10" t="inlineStr">
        <is>
          <t>oltre il 98% del limite di catalogo (albero, coppia in uscita) → «Attenzione»</t>
        </is>
      </c>
      <c r="E36" s="10" t="inlineStr">
        <is>
          <t>—</t>
        </is>
      </c>
      <c r="F36" s="10" t="inlineStr">
        <is>
          <t>scelta del software</t>
        </is>
      </c>
      <c r="G36" s="10" t="inlineStr">
        <is>
          <t>scelta del software</t>
        </is>
      </c>
      <c r="H36" s="10" t="inlineStr">
        <is>
          <t>carico sull'albero; coppia in uscita</t>
        </is>
      </c>
      <c r="I36" s="11" t="n"/>
      <c r="J36" s="11" t="n"/>
      <c r="K36" s="11" t="n"/>
      <c r="L36" s="11" t="n"/>
      <c r="M36" s="11" t="n"/>
      <c r="N36" s="11" t="n"/>
    </row>
    <row r="37" ht="43" customHeight="1">
      <c r="A37" s="10" t="n">
        <v>35</v>
      </c>
      <c r="B37" s="10" t="inlineStr">
        <is>
          <t>Riduttore e motore</t>
        </is>
      </c>
      <c r="C37" s="10" t="inlineStr">
        <is>
          <t>Potenza statica del motore</t>
        </is>
      </c>
      <c r="D37" s="10" t="inlineStr">
        <is>
          <t>P_st = ΔF·v_f / (η_d·η_vano) ≤ P_n, con ΔF il maggiore tra cabina carica in salita dal basso e vuota in discesa dall'alto</t>
        </is>
      </c>
      <c r="E37" s="10" t="inlineStr">
        <is>
          <t>—</t>
        </is>
      </c>
      <c r="F37" s="10" t="inlineStr">
        <is>
          <t>derivazione</t>
        </is>
      </c>
      <c r="G37" s="10" t="inlineStr">
        <is>
          <t>derivazione</t>
        </is>
      </c>
      <c r="H37" s="10" t="inlineStr">
        <is>
          <t>potenza del motore</t>
        </is>
      </c>
      <c r="I37" s="11" t="n"/>
      <c r="J37" s="11" t="n"/>
      <c r="K37" s="11" t="n"/>
      <c r="L37" s="11" t="n"/>
      <c r="M37" s="11" t="n"/>
      <c r="N37" s="11" t="n"/>
    </row>
    <row r="38" ht="30" customHeight="1">
      <c r="A38" s="10" t="n">
        <v>36</v>
      </c>
      <c r="B38" s="10" t="inlineStr">
        <is>
          <t>Riduttore e motore</t>
        </is>
      </c>
      <c r="C38" s="10" t="inlineStr">
        <is>
          <t>Coppia massima in uscita dal riduttore</t>
        </is>
      </c>
      <c r="D38" s="10" t="inlineStr">
        <is>
          <t>M_p = ΔF·D/2 + J·i·α_m, confrontata con il valore di catalogo se inserito</t>
        </is>
      </c>
      <c r="E38" s="10" t="inlineStr">
        <is>
          <t>dato del costruttore</t>
        </is>
      </c>
      <c r="F38" s="10" t="inlineStr">
        <is>
          <t>derivazione</t>
        </is>
      </c>
      <c r="G38" s="10" t="inlineStr">
        <is>
          <t>derivazione</t>
        </is>
      </c>
      <c r="H38" s="10" t="inlineStr">
        <is>
          <t>coppia in uscita</t>
        </is>
      </c>
      <c r="I38" s="11" t="n"/>
      <c r="J38" s="11" t="n"/>
      <c r="K38" s="11" t="n"/>
      <c r="L38" s="11" t="n"/>
      <c r="M38" s="11" t="n"/>
      <c r="N38" s="11" t="n"/>
    </row>
    <row r="39" ht="30" customHeight="1">
      <c r="A39" s="10" t="n">
        <v>37</v>
      </c>
      <c r="B39" s="10" t="inlineStr">
        <is>
          <t>Riduttore e motore</t>
        </is>
      </c>
      <c r="C39" s="10" t="inlineStr">
        <is>
          <t>Tolleranza tra velocità reale e nominale</t>
        </is>
      </c>
      <c r="D39" s="10" t="inlineStr">
        <is>
          <t>non verificata: il software mostra la velocità reale e la frequenza per la nominale</t>
        </is>
      </c>
      <c r="E39" s="10" t="inlineStr">
        <is>
          <t>da individuare (UNI EN 81-20:2020 o UNI 10411-1:2024)</t>
        </is>
      </c>
      <c r="F39" s="10" t="inlineStr">
        <is>
          <t>non trovata nelle fonti consultate</t>
        </is>
      </c>
      <c r="G39" s="10" t="inlineStr">
        <is>
          <t>da verificare</t>
        </is>
      </c>
      <c r="H39" s="10" t="inlineStr">
        <is>
          <t>—</t>
        </is>
      </c>
      <c r="I39" s="11" t="n"/>
      <c r="J39" s="11" t="n"/>
      <c r="K39" s="11" t="n"/>
      <c r="L39" s="11" t="n"/>
      <c r="M39" s="11" t="n"/>
      <c r="N39" s="11" t="n"/>
    </row>
    <row r="40" ht="30" customHeight="1">
      <c r="A40" s="10" t="n">
        <v>38</v>
      </c>
      <c r="B40" s="10" t="inlineStr">
        <is>
          <t>Manovra di emergenza</t>
        </is>
      </c>
      <c r="C40" s="10" t="inlineStr">
        <is>
          <t>Forza massima al volantino</t>
        </is>
      </c>
      <c r="D40" s="10" t="inlineStr">
        <is>
          <t>≤ 400 N, altrimenti manovra elettrica di emergenza</t>
        </is>
      </c>
      <c r="E40" s="10" t="inlineStr">
        <is>
          <t>UNI EN 81-20:2020 (clausola da individuare)</t>
        </is>
      </c>
      <c r="F40" s="10" t="inlineStr">
        <is>
          <t>Elevator World; stesso valore in EN 81-1</t>
        </is>
      </c>
      <c r="G40" s="10" t="inlineStr">
        <is>
          <t>da verificare</t>
        </is>
      </c>
      <c r="H40" s="10" t="inlineStr">
        <is>
          <t>forza al volantino</t>
        </is>
      </c>
      <c r="I40" s="11" t="n"/>
      <c r="J40" s="11" t="n"/>
      <c r="K40" s="11" t="n"/>
      <c r="L40" s="11" t="n"/>
      <c r="M40" s="11" t="n"/>
      <c r="N40" s="11" t="n"/>
    </row>
    <row r="41" ht="30" customHeight="1">
      <c r="A41" s="10" t="n">
        <v>39</v>
      </c>
      <c r="B41" s="10" t="inlineStr">
        <is>
          <t>Albero e ancoraggi</t>
        </is>
      </c>
      <c r="C41" s="10" t="inlineStr">
        <is>
          <t>Carico sull'albero della puleggia</t>
        </is>
      </c>
      <c r="D41" s="10" t="inlineStr">
        <is>
          <t>risultante dei tiri con 1,25·Q al piano più basso, confrontata con il limite del costruttore</t>
        </is>
      </c>
      <c r="E41" s="10" t="inlineStr">
        <is>
          <t>dato del costruttore</t>
        </is>
      </c>
      <c r="F41" s="10" t="inlineStr">
        <is>
          <t>derivazione; definizione del costruttore da confermare</t>
        </is>
      </c>
      <c r="G41" s="10" t="inlineStr">
        <is>
          <t>da verificare</t>
        </is>
      </c>
      <c r="H41" s="10" t="inlineStr">
        <is>
          <t>carico sull'albero</t>
        </is>
      </c>
      <c r="I41" s="11" t="n"/>
      <c r="J41" s="11" t="n"/>
      <c r="K41" s="11" t="n"/>
      <c r="L41" s="11" t="n"/>
      <c r="M41" s="11" t="n"/>
      <c r="N41" s="11" t="n"/>
    </row>
    <row r="42" ht="30" customHeight="1">
      <c r="A42" s="10" t="n">
        <v>40</v>
      </c>
      <c r="B42" s="10" t="inlineStr">
        <is>
          <t>Albero e ancoraggi</t>
        </is>
      </c>
      <c r="C42" s="10" t="inlineStr">
        <is>
          <t>Sollevamento netto sugli ancoraggi (macchina in basso)</t>
        </is>
      </c>
      <c r="D42" s="10" t="inlineStr">
        <is>
          <t>carico verso l'alto meno la massa della macchina: da verificare con il progettista strutturale</t>
        </is>
      </c>
      <c r="E42" s="10" t="inlineStr">
        <is>
          <t>—</t>
        </is>
      </c>
      <c r="F42" s="10" t="inlineStr">
        <is>
          <t>derivazione</t>
        </is>
      </c>
      <c r="G42" s="10" t="inlineStr">
        <is>
          <t>derivazione</t>
        </is>
      </c>
      <c r="H42" s="10" t="inlineStr">
        <is>
          <t>sollevamento netto</t>
        </is>
      </c>
      <c r="I42" s="11" t="n"/>
      <c r="J42" s="11" t="n"/>
      <c r="K42" s="11" t="n"/>
      <c r="L42" s="11" t="n"/>
      <c r="M42" s="11" t="n"/>
      <c r="N42" s="11" t="n"/>
    </row>
    <row r="43" ht="43" customHeight="1">
      <c r="A43" s="10" t="n">
        <v>41</v>
      </c>
      <c r="B43" s="10" t="inlineStr">
        <is>
          <t>Sostituzione (Italia)</t>
        </is>
      </c>
      <c r="C43" s="10" t="inlineStr">
        <is>
          <t>La sostituzione del macchinario è una modifica costruttiva</t>
        </is>
      </c>
      <c r="D43" s="10" t="inlineStr">
        <is>
          <t>adeguamento della parte sostituita, comunicazione al Comune e al soggetto delle verifiche, verifica straordinaria prima del servizio</t>
        </is>
      </c>
      <c r="E43" s="10" t="inlineStr">
        <is>
          <t>DPR 162/1999 e s.m.i., art. 2 (dopo il DPR 23/2017) e art. 14</t>
        </is>
      </c>
      <c r="F43" s="10" t="inlineStr">
        <is>
          <t>testi consolidati non ufficiali; fonti secondarie concordi</t>
        </is>
      </c>
      <c r="G43" s="10" t="inlineStr">
        <is>
          <t>da verificare</t>
        </is>
      </c>
      <c r="H43" s="10" t="inlineStr">
        <is>
          <t>—</t>
        </is>
      </c>
      <c r="I43" s="11" t="n"/>
      <c r="J43" s="11" t="n"/>
      <c r="K43" s="11" t="n"/>
      <c r="L43" s="11" t="n"/>
      <c r="M43" s="11" t="n"/>
      <c r="N43" s="11" t="n"/>
    </row>
    <row r="44" ht="30" customHeight="1">
      <c r="A44" s="10" t="n">
        <v>42</v>
      </c>
      <c r="B44" s="10" t="inlineStr">
        <is>
          <t>Sostituzione (Italia)</t>
        </is>
      </c>
      <c r="C44" s="10" t="inlineStr">
        <is>
          <t>Adeguamenti richiesti per la sostituzione del macchinario</t>
        </is>
      </c>
      <c r="D44" s="10" t="inlineStr">
        <is>
          <t>elenco del capitolo 6.6 della ricerca (tra cui freno a due gruppi)</t>
        </is>
      </c>
      <c r="E44" s="10" t="inlineStr">
        <is>
          <t>UNI 10411-1:2024</t>
        </is>
      </c>
      <c r="F44" s="10" t="inlineStr">
        <is>
          <t>sintesi pubblicate della UNI 10411-1:2021 (edizione superata)</t>
        </is>
      </c>
      <c r="G44" s="10" t="inlineStr">
        <is>
          <t>da verificare</t>
        </is>
      </c>
      <c r="H44" s="10" t="inlineStr">
        <is>
          <t>gruppi del freno</t>
        </is>
      </c>
      <c r="I44" s="11" t="n"/>
      <c r="J44" s="11" t="n"/>
      <c r="K44" s="11" t="n"/>
      <c r="L44" s="11" t="n"/>
      <c r="M44" s="11" t="n"/>
      <c r="N44" s="11" t="n"/>
    </row>
    <row r="45" ht="43" customHeight="1">
      <c r="A45" s="10" t="n">
        <v>43</v>
      </c>
      <c r="B45" s="10" t="inlineStr">
        <is>
          <t>Sostituzione (Italia)</t>
        </is>
      </c>
      <c r="C45" s="10" t="inlineStr">
        <is>
          <t>Funi nella sostituzione</t>
        </is>
      </c>
      <c r="D45" s="10" t="inlineStr">
        <is>
          <t>di norma funi nuove con lo stesso numero e diametro di quelle montate; la proposta le tiene fisse</t>
        </is>
      </c>
      <c r="E45" s="10" t="inlineStr">
        <is>
          <t>—</t>
        </is>
      </c>
      <c r="F45" s="10" t="inlineStr">
        <is>
          <t>indicazione di Panev Ascensori (29 settembre 2026)</t>
        </is>
      </c>
      <c r="G45" s="10" t="inlineStr">
        <is>
          <t>prassi di cantiere</t>
        </is>
      </c>
      <c r="H45" s="10" t="inlineStr">
        <is>
          <t>—</t>
        </is>
      </c>
      <c r="I45" s="11" t="n"/>
      <c r="J45" s="11" t="n"/>
      <c r="K45" s="11" t="n"/>
      <c r="L45" s="11" t="n"/>
      <c r="M45" s="11" t="n"/>
      <c r="N45" s="11" t="n"/>
    </row>
    <row r="46" ht="30" customHeight="1">
      <c r="A46" s="10" t="n">
        <v>44</v>
      </c>
      <c r="B46" s="10" t="inlineStr">
        <is>
          <t>Modello di calcolo</t>
        </is>
      </c>
      <c r="C46" s="10" t="inlineStr">
        <is>
          <t>Accelerazione di gravità</t>
        </is>
      </c>
      <c r="D46" s="10" t="inlineStr">
        <is>
          <t>g = 9,81 m/s² (anche come limite di 1 g)</t>
        </is>
      </c>
      <c r="E46" s="10" t="inlineStr">
        <is>
          <t>UNI EN 81-50:2020 (simboli)</t>
        </is>
      </c>
      <c r="F46" s="10" t="inlineStr">
        <is>
          <t>valore d'uso nei calcoli degli ascensori</t>
        </is>
      </c>
      <c r="G46" s="10" t="inlineStr">
        <is>
          <t>da verificare</t>
        </is>
      </c>
      <c r="H46" s="10" t="inlineStr">
        <is>
          <t>—</t>
        </is>
      </c>
      <c r="I46" s="11" t="n"/>
      <c r="J46" s="11" t="n"/>
      <c r="K46" s="11" t="n"/>
      <c r="L46" s="11" t="n"/>
      <c r="M46" s="11" t="n"/>
      <c r="N46" s="11" t="n"/>
    </row>
    <row r="47" ht="69" customHeight="1">
      <c r="A47" s="10" t="n">
        <v>45</v>
      </c>
      <c r="B47" s="10" t="inlineStr">
        <is>
          <t>Modello di calcolo</t>
        </is>
      </c>
      <c r="C47" s="10" t="inlineStr">
        <is>
          <t>Tiri con il metodo del percorso della fune</t>
        </is>
      </c>
      <c r="D47" s="10" t="inlineStr">
        <is>
          <t>masse e funi di ogni tratto, inerzia delle pulegge di rinvio; attrito di guide e pulegge trascurato in aderenza</t>
        </is>
      </c>
      <c r="E47" s="10" t="inlineStr">
        <is>
          <t>UNI EN 81-50:2020, 5.11</t>
        </is>
      </c>
      <c r="F47" s="10" t="inlineStr">
        <is>
          <t>derivazione; il conteggio dell'inerzia delle pulegge va confermato</t>
        </is>
      </c>
      <c r="G47" s="10" t="inlineStr">
        <is>
          <t>da verificare</t>
        </is>
      </c>
      <c r="H47" s="10" t="inlineStr">
        <is>
          <t>aderenza al caricamento; aderenza in frenatura, in discesa; aderenza in frenatura, in salita; aderenza alla decelerazione reale (avviso); cabina bloccata</t>
        </is>
      </c>
      <c r="I47" s="11" t="n"/>
      <c r="J47" s="11" t="n"/>
      <c r="K47" s="11" t="n"/>
      <c r="L47" s="11" t="n"/>
      <c r="M47" s="11" t="n"/>
      <c r="N47" s="11" t="n"/>
    </row>
    <row r="48" ht="30" customHeight="1">
      <c r="A48" s="10" t="n">
        <v>46</v>
      </c>
      <c r="B48" s="10" t="inlineStr">
        <is>
          <t>Modello di calcolo</t>
        </is>
      </c>
      <c r="C48" s="10" t="inlineStr">
        <is>
          <t>Compensazione e cavo flessibile</t>
        </is>
      </c>
      <c r="D48" s="10" t="inlineStr">
        <is>
          <t>non modellati a parte: la loro massa sul lato cabina entra in P</t>
        </is>
      </c>
      <c r="E48" s="10" t="inlineStr">
        <is>
          <t>UNI EN 81-50:2020, 5.11</t>
        </is>
      </c>
      <c r="F48" s="10" t="inlineStr">
        <is>
          <t>limite del modello attuale</t>
        </is>
      </c>
      <c r="G48" s="10" t="inlineStr">
        <is>
          <t>scelta del software</t>
        </is>
      </c>
      <c r="H48" s="10" t="inlineStr">
        <is>
          <t>—</t>
        </is>
      </c>
      <c r="I48" s="11" t="n"/>
      <c r="J48" s="11" t="n"/>
      <c r="K48" s="11" t="n"/>
      <c r="L48" s="11" t="n"/>
      <c r="M48" s="11" t="n"/>
      <c r="N48" s="11" t="n"/>
    </row>
    <row r="49" ht="30" customHeight="1">
      <c r="A49" s="10" t="n">
        <v>47</v>
      </c>
      <c r="B49" s="10" t="inlineStr">
        <is>
          <t>Modello di calcolo</t>
        </is>
      </c>
      <c r="C49" s="10" t="inlineStr">
        <is>
          <t>Analisi di sensibilità</t>
        </is>
      </c>
      <c r="D49" s="10" t="inlineStr">
        <is>
          <t>P ±10%; k ±0,05 se il carico di equilibrio non è misurato</t>
        </is>
      </c>
      <c r="E49" s="10" t="inlineStr">
        <is>
          <t>—</t>
        </is>
      </c>
      <c r="F49" s="10" t="inlineStr">
        <is>
          <t>scelta del software (incertezza tipica del rilievo)</t>
        </is>
      </c>
      <c r="G49" s="10" t="inlineStr">
        <is>
          <t>scelta del software</t>
        </is>
      </c>
      <c r="H49" s="10" t="inlineStr">
        <is>
          <t>—</t>
        </is>
      </c>
      <c r="I49" s="11" t="n"/>
      <c r="J49" s="11" t="n"/>
      <c r="K49" s="11" t="n"/>
      <c r="L49" s="11" t="n"/>
      <c r="M49" s="11" t="n"/>
      <c r="N49" s="11" t="n"/>
    </row>
    <row r="50" ht="134" customHeight="1">
      <c r="A50" s="10" t="n">
        <v>48</v>
      </c>
      <c r="B50" s="10" t="inlineStr">
        <is>
          <t>Vano: cabina e portata</t>
        </is>
      </c>
      <c r="C50" s="10" t="inlineStr">
        <is>
          <t>Superficie utile massima della cabina per portata — la superficie è calcolata come larghezza × profondità interne, senza nicchie né rientranze della porta</t>
        </is>
      </c>
      <c r="D50" s="10" t="inlineStr">
        <is>
          <t>100 kg 0,37 m²; 180 kg 0,58; 225 kg 0,70; 300 kg 0,90; 375 kg 1,10; 400 kg 1,17; 450 kg 1,30; 525 kg 1,45; 600 kg 1,60; 630 kg 1,66; 675 kg 1,75; 750 kg 1,90; 800 kg 2,00; 825 kg 2,05; 900 kg 2,20; 975 kg 2,35; 1000 kg 2,40; 1050 kg 2,50; 1125 kg 2,65; 1200 kg 2,80; 1250 kg 2,90; 1275 kg 2,95; 1350 kg 3,10; 1425 kg 3,25; 1500 kg 3,40; 1600 kg 3,56; 2000 kg 4,20; 2500 kg 5,00; oltre 2500 kg +0,16 m² ogni 100 kg; interpolazione lineare</t>
        </is>
      </c>
      <c r="E50" s="10" t="inlineStr">
        <is>
          <t>UNI EN 81-20:2020, 5.4.2.1 (Tabella 6)</t>
        </is>
      </c>
      <c r="F50" s="10" t="inlineStr">
        <is>
          <t>Elevator World, «Rated Load and Maximum Available Car Area» (fonte secondaria); valori della EN 81-1 (Tabella 1.1)</t>
        </is>
      </c>
      <c r="G50" s="10" t="inlineStr">
        <is>
          <t>da verificare</t>
        </is>
      </c>
      <c r="H50" s="10" t="inlineStr">
        <is>
          <t>superficie della cabina per la portata</t>
        </is>
      </c>
      <c r="I50" s="11" t="n"/>
      <c r="J50" s="11" t="n"/>
      <c r="K50" s="11" t="n"/>
      <c r="L50" s="11" t="n"/>
      <c r="M50" s="11" t="n"/>
      <c r="N50" s="11" t="n"/>
    </row>
    <row r="51" ht="95" customHeight="1">
      <c r="A51" s="10" t="n">
        <v>49</v>
      </c>
      <c r="B51" s="10" t="inlineStr">
        <is>
          <t>Vano: cabina e portata</t>
        </is>
      </c>
      <c r="C51" s="10" t="inlineStr">
        <is>
          <t>Numero di passeggeri</t>
        </is>
      </c>
      <c r="D51" s="10" t="inlineStr">
        <is>
          <t>il minore tra Q/75 arrotondato per difetto e il numero ammesso dalla superficie: 1 persona 0,28 m²; 2 0,49; 3 0,60; 4 0,79; 5 0,98; 6 1,17; 7 1,31; 8 1,45; 9 1,59; 10 1,73; 11 1,87; 12 2,01; 13 2,15; 14 2,29; 15 2,43; 16 2,57; 17 2,71; 18 2,85; 19 2,99; 20 3,13; oltre 20 +0,115 m² per persona</t>
        </is>
      </c>
      <c r="E51" s="10" t="inlineStr">
        <is>
          <t>UNI EN 81-20:2020, 5.4.2 (Tabella 8)</t>
        </is>
      </c>
      <c r="F51" s="10" t="inlineStr">
        <is>
          <t>valori della EN 81-1 (Tabella 1.2), edizione superata</t>
        </is>
      </c>
      <c r="G51" s="10" t="inlineStr">
        <is>
          <t>da verificare</t>
        </is>
      </c>
      <c r="H51" s="10" t="inlineStr">
        <is>
          <t>—</t>
        </is>
      </c>
      <c r="I51" s="11" t="n"/>
      <c r="J51" s="11" t="n"/>
      <c r="K51" s="11" t="n"/>
      <c r="L51" s="11" t="n"/>
      <c r="M51" s="11" t="n"/>
      <c r="N51" s="11" t="n"/>
    </row>
    <row r="52" ht="43" customHeight="1">
      <c r="A52" s="10" t="n">
        <v>50</v>
      </c>
      <c r="B52" s="10" t="inlineStr">
        <is>
          <t>Vano: distanze in pianta</t>
        </is>
      </c>
      <c r="C52" s="10" t="inlineStr">
        <is>
          <t>Parete del vano di fronte all'entrata della cabina</t>
        </is>
      </c>
      <c r="D52" s="10" t="inlineStr">
        <is>
          <t>distanza orizzontale dalla soglia o dal telaio della porta di cabina ≤ 150 mm (qui: profondità della porta di piano + gioco tra le soglie)</t>
        </is>
      </c>
      <c r="E52" s="10" t="inlineStr">
        <is>
          <t>UNI EN 81-20:2020, 5.2.5.3.1</t>
        </is>
      </c>
      <c r="F52" s="10" t="inlineStr">
        <is>
          <t>schede EN 81-20 dei costruttori (KONE), fonti secondarie</t>
        </is>
      </c>
      <c r="G52" s="10" t="inlineStr">
        <is>
          <t>da verificare</t>
        </is>
      </c>
      <c r="H52" s="10" t="inlineStr">
        <is>
          <t>parete di fronte all'entrata</t>
        </is>
      </c>
      <c r="I52" s="11" t="n"/>
      <c r="J52" s="11" t="n"/>
      <c r="K52" s="11" t="n"/>
      <c r="L52" s="11" t="n"/>
      <c r="M52" s="11" t="n"/>
      <c r="N52" s="11" t="n"/>
    </row>
    <row r="53" ht="43" customHeight="1">
      <c r="A53" s="10" t="n">
        <v>51</v>
      </c>
      <c r="B53" s="10" t="inlineStr">
        <is>
          <t>Vano: distanze in pianta</t>
        </is>
      </c>
      <c r="C53" s="10" t="inlineStr">
        <is>
          <t>Gioco tra soglia di cabina e soglia di piano</t>
        </is>
      </c>
      <c r="D53" s="10" t="inlineStr">
        <is>
          <t>distanza orizzontale ≤ 35 mm</t>
        </is>
      </c>
      <c r="E53" s="10" t="inlineStr">
        <is>
          <t>UNI EN 81-20:2020 (clausola da individuare; 11.2.3 nella EN 81-1)</t>
        </is>
      </c>
      <c r="F53" s="10" t="inlineStr">
        <is>
          <t>fonti secondarie concordi</t>
        </is>
      </c>
      <c r="G53" s="10" t="inlineStr">
        <is>
          <t>da verificare</t>
        </is>
      </c>
      <c r="H53" s="10" t="inlineStr">
        <is>
          <t>gioco tra le soglie</t>
        </is>
      </c>
      <c r="I53" s="11" t="n"/>
      <c r="J53" s="11" t="n"/>
      <c r="K53" s="11" t="n"/>
      <c r="L53" s="11" t="n"/>
      <c r="M53" s="11" t="n"/>
      <c r="N53" s="11" t="n"/>
    </row>
    <row r="54" ht="30" customHeight="1">
      <c r="A54" s="10" t="n">
        <v>52</v>
      </c>
      <c r="B54" s="10" t="inlineStr">
        <is>
          <t>Vano: distanze in pianta</t>
        </is>
      </c>
      <c r="C54" s="10" t="inlineStr">
        <is>
          <t>Distanza tra cabina e contrappeso</t>
        </is>
      </c>
      <c r="D54" s="10" t="inlineStr">
        <is>
          <t>≥ 50 mm tra la cabina con i suoi componenti e il contrappeso con i suoi</t>
        </is>
      </c>
      <c r="E54" s="10" t="inlineStr">
        <is>
          <t>UNI EN 81-20:2020, 5.2.5.5.1</t>
        </is>
      </c>
      <c r="F54" s="10" t="inlineStr">
        <is>
          <t>schede EN 81-20 dei costruttori (KONE), fonti secondarie</t>
        </is>
      </c>
      <c r="G54" s="10" t="inlineStr">
        <is>
          <t>da verificare</t>
        </is>
      </c>
      <c r="H54" s="10" t="inlineStr">
        <is>
          <t>distanza cabina–contrappeso</t>
        </is>
      </c>
      <c r="I54" s="11" t="n"/>
      <c r="J54" s="11" t="n"/>
      <c r="K54" s="11" t="n"/>
      <c r="L54" s="11" t="n"/>
      <c r="M54" s="11" t="n"/>
      <c r="N54" s="11" t="n"/>
    </row>
    <row r="55" ht="43" customHeight="1">
      <c r="A55" s="10" t="n">
        <v>53</v>
      </c>
      <c r="B55" s="10" t="inlineStr">
        <is>
          <t>Vano: accessibilità (DM 236/1989)</t>
        </is>
      </c>
      <c r="C55" s="10" t="inlineStr">
        <is>
          <t>Edifici residenziali nuovi: cabina e porta minime</t>
        </is>
      </c>
      <c r="D55" s="10" t="inlineStr">
        <is>
          <t>cabina larga 950 mm e profonda 1300 mm, porta di 800 mm sul lato corto; piattaforma davanti alla porta 1,50 × 1,50 m (non verificata)</t>
        </is>
      </c>
      <c r="E55" s="10" t="inlineStr">
        <is>
          <t>DM 236/1989, 8.1.12</t>
        </is>
      </c>
      <c r="F55" s="10" t="inlineStr">
        <is>
          <t>sintesi pubblicate del DM 236/1989 (disabili.com, studiomadera.it), fonti secondarie concordi</t>
        </is>
      </c>
      <c r="G55" s="10" t="inlineStr">
        <is>
          <t>da verificare</t>
        </is>
      </c>
      <c r="H55" s="10" t="inlineStr">
        <is>
          <t>cabina minima (DM 236/1989); porta minima (DM 236/1989); porta sul lato corto</t>
        </is>
      </c>
      <c r="I55" s="11" t="n"/>
      <c r="J55" s="11" t="n"/>
      <c r="K55" s="11" t="n"/>
      <c r="L55" s="11" t="n"/>
      <c r="M55" s="11" t="n"/>
      <c r="N55" s="11" t="n"/>
    </row>
    <row r="56" ht="43" customHeight="1">
      <c r="A56" s="10" t="n">
        <v>54</v>
      </c>
      <c r="B56" s="10" t="inlineStr">
        <is>
          <t>Vano: accessibilità (DM 236/1989)</t>
        </is>
      </c>
      <c r="C56" s="10" t="inlineStr">
        <is>
          <t>Edifici non residenziali nuovi: cabina e porta minime</t>
        </is>
      </c>
      <c r="D56" s="10" t="inlineStr">
        <is>
          <t>cabina larga 1100 mm e profonda 1400 mm, porta di 800 mm sul lato corto; piattaforma davanti alla porta 1,50 × 1,50 m (non verificata)</t>
        </is>
      </c>
      <c r="E56" s="10" t="inlineStr">
        <is>
          <t>DM 236/1989, 8.1.12</t>
        </is>
      </c>
      <c r="F56" s="10" t="inlineStr">
        <is>
          <t>sintesi pubblicate del DM 236/1989 (disabili.com, studiomadera.it), fonti secondarie concordi</t>
        </is>
      </c>
      <c r="G56" s="10" t="inlineStr">
        <is>
          <t>da verificare</t>
        </is>
      </c>
      <c r="H56" s="10" t="inlineStr">
        <is>
          <t>cabina minima (DM 236/1989); porta minima (DM 236/1989); porta sul lato corto</t>
        </is>
      </c>
      <c r="I56" s="11" t="n"/>
      <c r="J56" s="11" t="n"/>
      <c r="K56" s="11" t="n"/>
      <c r="L56" s="11" t="n"/>
      <c r="M56" s="11" t="n"/>
      <c r="N56" s="11" t="n"/>
    </row>
    <row r="57" ht="43" customHeight="1">
      <c r="A57" s="10" t="n">
        <v>55</v>
      </c>
      <c r="B57" s="10" t="inlineStr">
        <is>
          <t>Vano: accessibilità (DM 236/1989)</t>
        </is>
      </c>
      <c r="C57" s="10" t="inlineStr">
        <is>
          <t>Adeguamento di edifici esistenti: cabina e porta minime</t>
        </is>
      </c>
      <c r="D57" s="10" t="inlineStr">
        <is>
          <t>cabina larga 800 mm e profonda 1200 mm, porta di 750 mm sul lato corto; piattaforma davanti alla porta 1,40 × 1,40 m (non verificata)</t>
        </is>
      </c>
      <c r="E57" s="10" t="inlineStr">
        <is>
          <t>DM 236/1989, 8.1.12</t>
        </is>
      </c>
      <c r="F57" s="10" t="inlineStr">
        <is>
          <t>sintesi pubblicate del DM 236/1989 (disabili.com, studiomadera.it), fonti secondarie concordi</t>
        </is>
      </c>
      <c r="G57" s="10" t="inlineStr">
        <is>
          <t>da verificare</t>
        </is>
      </c>
      <c r="H57" s="10" t="inlineStr">
        <is>
          <t>cabina minima (DM 236/1989); porta minima (DM 236/1989); porta sul lato corto</t>
        </is>
      </c>
      <c r="I57" s="11" t="n"/>
      <c r="J57" s="11" t="n"/>
      <c r="K57" s="11" t="n"/>
      <c r="L57" s="11" t="n"/>
      <c r="M57" s="11" t="n"/>
      <c r="N57" s="11" t="n"/>
    </row>
    <row r="58" ht="43" customHeight="1">
      <c r="A58" s="10" t="n">
        <v>56</v>
      </c>
      <c r="B58" s="10" t="inlineStr">
        <is>
          <t>Vano: porte</t>
        </is>
      </c>
      <c r="C58" s="10" t="inlineStr">
        <is>
          <t>Ingombro della porta di piano lungo la parete del vano</t>
        </is>
      </c>
      <c r="D58" s="10" t="inlineStr">
        <is>
          <t>telescopica a 2 ante: 1,5·L + 110 mm; centrale a 2 ante: 2·L + 110 mm (L = luce netta)</t>
        </is>
      </c>
      <c r="E58" s="10" t="inlineStr">
        <is>
          <t>dato del fornitore delle porte</t>
        </is>
      </c>
      <c r="F58" s="10" t="inlineStr">
        <is>
          <t>valori tipici: scelta del software da confermare con il fornitore</t>
        </is>
      </c>
      <c r="G58" s="10" t="inlineStr">
        <is>
          <t>scelta del software</t>
        </is>
      </c>
      <c r="H58" s="10" t="inlineStr">
        <is>
          <t>ingombro della porta di piano</t>
        </is>
      </c>
      <c r="I58" s="11" t="n"/>
      <c r="J58" s="11" t="n"/>
      <c r="K58" s="11" t="n"/>
      <c r="L58" s="11" t="n"/>
      <c r="M58" s="11" t="n"/>
      <c r="N58" s="11" t="n"/>
    </row>
    <row r="59" ht="30" customHeight="1">
      <c r="A59" s="10" t="n">
        <v>57</v>
      </c>
      <c r="B59" s="10" t="inlineStr">
        <is>
          <t>Vano: porte</t>
        </is>
      </c>
      <c r="C59" s="10" t="inlineStr">
        <is>
          <t>Larghezza della cabina rispetto alla porta</t>
        </is>
      </c>
      <c r="D59" s="10" t="inlineStr">
        <is>
          <t>larghezza interna ≥ luce della porta + 50 mm; profondità interna ≥ 800 mm</t>
        </is>
      </c>
      <c r="E59" s="10" t="inlineStr">
        <is>
          <t>—</t>
        </is>
      </c>
      <c r="F59" s="10" t="inlineStr">
        <is>
          <t>scelta del software</t>
        </is>
      </c>
      <c r="G59" s="10" t="inlineStr">
        <is>
          <t>scelta del software</t>
        </is>
      </c>
      <c r="H59" s="10" t="inlineStr">
        <is>
          <t>la cabina entra nel vano</t>
        </is>
      </c>
      <c r="I59" s="11" t="n"/>
      <c r="J59" s="11" t="n"/>
      <c r="K59" s="11" t="n"/>
      <c r="L59" s="11" t="n"/>
      <c r="M59" s="11" t="n"/>
      <c r="N59" s="11" t="n"/>
    </row>
    <row r="60" ht="82" customHeight="1">
      <c r="A60" s="10" t="n">
        <v>58</v>
      </c>
      <c r="B60" s="10" t="inlineStr">
        <is>
          <t>Vano: porte</t>
        </is>
      </c>
      <c r="C60" s="10" t="inlineStr">
        <is>
          <t>Vano porta di piano e operatore della porta di cabina</t>
        </is>
      </c>
      <c r="D60" s="10" t="inlineStr">
        <is>
          <t>vano nel muro: luce netta + 2 × 50 mm di portale; operatore della porta di cabina lungo 2·L + 60 mm e profondo 150 mm; con due accessi adiacenti gli operatori non devono sovrapporsi all'angolo tra le porte (altrimenti «Attenzione»: operatori da scegliere con il fornitore)</t>
        </is>
      </c>
      <c r="E60" s="10" t="inlineStr">
        <is>
          <t>dato del fornitore delle porte</t>
        </is>
      </c>
      <c r="F60" s="10" t="inlineStr">
        <is>
          <t>valori tipici: scelta del software da confermare con il fornitore</t>
        </is>
      </c>
      <c r="G60" s="10" t="inlineStr">
        <is>
          <t>scelta del software</t>
        </is>
      </c>
      <c r="H60" s="10" t="inlineStr">
        <is>
          <t>ingombro della seconda porta di piano; operatori delle porte adiacenti</t>
        </is>
      </c>
      <c r="I60" s="11" t="n"/>
      <c r="J60" s="11" t="n"/>
      <c r="K60" s="11" t="n"/>
      <c r="L60" s="11" t="n"/>
      <c r="M60" s="11" t="n"/>
      <c r="N60" s="11" t="n"/>
    </row>
    <row r="61" ht="108" customHeight="1">
      <c r="A61" s="10" t="n">
        <v>59</v>
      </c>
      <c r="B61" s="10" t="inlineStr">
        <is>
          <t>Vano: ingombri tipici</t>
        </is>
      </c>
      <c r="C61" s="10" t="inlineStr">
        <is>
          <t>Ingombri tipici nel vano (modificabili su ogni progetto)</t>
        </is>
      </c>
      <c r="D61" s="10" t="inlineStr">
        <is>
          <t>profondità della porta di piano 80 mm; gioco tra le soglie 30 mm; porta di cabina 80 mm; pareti della cabina 35 mm; guide e staffe della cabina 165 mm per lato; cabina–contrappeso 60 mm; spessore del contrappeso 140 mm; guide e staffe del contrappeso 80 mm; cabina–parete di fondo 60 mm; punta della guida–cabina 30 mm; contrappeso laterale–piede della guida di cabina 85 mm</t>
        </is>
      </c>
      <c r="E61" s="10" t="inlineStr">
        <is>
          <t>dati del costruttore di guide, porte e cabina</t>
        </is>
      </c>
      <c r="F61" s="10" t="inlineStr">
        <is>
          <t>valori tipici: scelta del software</t>
        </is>
      </c>
      <c r="G61" s="10" t="inlineStr">
        <is>
          <t>scelta del software</t>
        </is>
      </c>
      <c r="H61" s="10" t="inlineStr">
        <is>
          <t>la cabina entra nel vano</t>
        </is>
      </c>
      <c r="I61" s="11" t="n"/>
      <c r="J61" s="11" t="n"/>
      <c r="K61" s="11" t="n"/>
      <c r="L61" s="11" t="n"/>
      <c r="M61" s="11" t="n"/>
      <c r="N61" s="11" t="n"/>
    </row>
    <row r="62" ht="108" customHeight="1">
      <c r="A62" s="10" t="n">
        <v>60</v>
      </c>
      <c r="B62" s="10" t="inlineStr">
        <is>
          <t>Vano: ingombri tipici</t>
        </is>
      </c>
      <c r="C62" s="10" t="inlineStr">
        <is>
          <t>Contrappeso laterale</t>
        </is>
      </c>
      <c r="D62" s="10" t="inlineStr">
        <is>
          <t>tra la parete e la guida della cabina, centrato sull'asse delle guide di cabina, con le sue guide alle estremità (pattini 20 mm) e la guida di cabina su una staffa a ponte; a 40 mm dalle zone delle porte; lunghezza in pianta da 400 a 900 mm (sotto 400 mm: «Attenzione»); con il contrappeso sul fondo, al massimo la larghezza tra le guide della cabina</t>
        </is>
      </c>
      <c r="E62" s="10" t="inlineStr">
        <is>
          <t>—</t>
        </is>
      </c>
      <c r="F62" s="10" t="inlineStr">
        <is>
          <t>scelta del software</t>
        </is>
      </c>
      <c r="G62" s="10" t="inlineStr">
        <is>
          <t>scelta del software</t>
        </is>
      </c>
      <c r="H62" s="10" t="inlineStr">
        <is>
          <t>lunghezza del contrappeso</t>
        </is>
      </c>
      <c r="I62" s="11" t="n"/>
      <c r="J62" s="11" t="n"/>
      <c r="K62" s="11" t="n"/>
      <c r="L62" s="11" t="n"/>
      <c r="M62" s="11" t="n"/>
      <c r="N62" s="11" t="n"/>
    </row>
    <row r="63" ht="108" customHeight="1">
      <c r="A63" s="10" t="n">
        <v>61</v>
      </c>
      <c r="B63" s="10" t="inlineStr">
        <is>
          <t>Vano: ingombri tipici</t>
        </is>
      </c>
      <c r="C63" s="10" t="inlineStr">
        <is>
          <t>Arcata a zaino (due accessi adiacenti a 90°)</t>
        </is>
      </c>
      <c r="D63" s="10" t="inlineStr">
        <is>
          <t>entrambe le guide di cabina sulla parete opposta all'accesso laterale, con le lame affacciate lungo la parete (il momento della cabina a sbalzo va sulle facce delle lame); piedi delle guide a 20 mm dentro la profondità della piattaforma; contrappeso tra le guide, contro la parete, con le sue guide alle estremità e i piedi a 70 mm da quelli delle guide di cabina (staffe)</t>
        </is>
      </c>
      <c r="E63" s="10" t="inlineStr">
        <is>
          <t>—</t>
        </is>
      </c>
      <c r="F63" s="10" t="inlineStr">
        <is>
          <t>scelta del software (principio: cataloghi di arcate a zaino); disposizione da confermare con il fornitore dell'arcata</t>
        </is>
      </c>
      <c r="G63" s="10" t="inlineStr">
        <is>
          <t>scelta del software</t>
        </is>
      </c>
      <c r="H63" s="10" t="inlineStr">
        <is>
          <t>—</t>
        </is>
      </c>
      <c r="I63" s="11" t="n"/>
      <c r="J63" s="11" t="n"/>
      <c r="K63" s="11" t="n"/>
      <c r="L63" s="11" t="n"/>
      <c r="M63" s="11" t="n"/>
      <c r="N63" s="11" t="n"/>
    </row>
    <row r="64" ht="82" customHeight="1">
      <c r="A64" s="10" t="n">
        <v>62</v>
      </c>
      <c r="B64" s="10" t="inlineStr">
        <is>
          <t>Vano: sezione, spazi di rifugio e ammortizzatori</t>
        </is>
      </c>
      <c r="C64" s="10" t="inlineStr">
        <is>
          <t>Spazi di rifugio sul tetto di cabina e in fossa</t>
        </is>
      </c>
      <c r="D64" s="10" t="inlineStr">
        <is>
          <t>tipo 1 (in piedi) 400 × 500 mm in pianta, alto 2000 mm; tipo 2 (accucciato) 500 × 700 mm, alto 1000 mm; tipo 3 (disteso, solo in fossa) 700 × 1000 mm, alto 500 mm; in testata con la cabina nella posizione più alta, in fossa con la cabina sugli ammortizzatori compressi</t>
        </is>
      </c>
      <c r="E64" s="10" t="inlineStr">
        <is>
          <t>UNI EN 81-20:2020, 5.2.5.7.1 e 5.2.5.8.1 (Tabella 3)</t>
        </is>
      </c>
      <c r="F64" s="10" t="inlineStr">
        <is>
          <t>sintesi della UNI EN 81-20:2020 di costruttori e organismi notificati (KONE, Sodimas, MCCAA), fonti secondarie concordi</t>
        </is>
      </c>
      <c r="G64" s="10" t="inlineStr">
        <is>
          <t>da verificare</t>
        </is>
      </c>
      <c r="H64" s="10" t="inlineStr">
        <is>
          <t>spazio di rifugio in testata; spazio di rifugio in fossa</t>
        </is>
      </c>
      <c r="I64" s="11" t="n"/>
      <c r="J64" s="11" t="n"/>
      <c r="K64" s="11" t="n"/>
      <c r="L64" s="11" t="n"/>
      <c r="M64" s="11" t="n"/>
      <c r="N64" s="11" t="n"/>
    </row>
    <row r="65" ht="56" customHeight="1">
      <c r="A65" s="10" t="n">
        <v>63</v>
      </c>
      <c r="B65" s="10" t="inlineStr">
        <is>
          <t>Vano: sezione, spazi di rifugio e ammortizzatori</t>
        </is>
      </c>
      <c r="C65" s="10" t="inlineStr">
        <is>
          <t>Posizione più alta della cabina</t>
        </is>
      </c>
      <c r="D65" s="10" t="inlineStr">
        <is>
          <t>contrappeso sugli ammortizzatori completamente compressi, più il salto 0,035·v² m (v velocità nominale)</t>
        </is>
      </c>
      <c r="E65" s="10" t="inlineStr">
        <is>
          <t>UNI EN 81-20:2020, 5.2.5.6.1 (Tabella 2)</t>
        </is>
      </c>
      <c r="F65" s="10" t="inlineStr">
        <is>
          <t>sintesi della UNI EN 81-20:2020 di costruttori e organismi notificati (KONE, Sodimas, MCCAA), fonti secondarie concordi</t>
        </is>
      </c>
      <c r="G65" s="10" t="inlineStr">
        <is>
          <t>da verificare</t>
        </is>
      </c>
      <c r="H65" s="10" t="inlineStr">
        <is>
          <t>spazio di rifugio in testata; distanze libere dal soffitto</t>
        </is>
      </c>
      <c r="I65" s="11" t="n"/>
      <c r="J65" s="11" t="n"/>
      <c r="K65" s="11" t="n"/>
      <c r="L65" s="11" t="n"/>
      <c r="M65" s="11" t="n"/>
      <c r="N65" s="11" t="n"/>
    </row>
    <row r="66" ht="56" customHeight="1">
      <c r="A66" s="10" t="n">
        <v>64</v>
      </c>
      <c r="B66" s="10" t="inlineStr">
        <is>
          <t>Vano: sezione, spazi di rifugio e ammortizzatori</t>
        </is>
      </c>
      <c r="C66" s="10" t="inlineStr">
        <is>
          <t>Distanze libere dal soffitto con la cabina nella posizione più alta</t>
        </is>
      </c>
      <c r="D66" s="10" t="inlineStr">
        <is>
          <t>≥ 500 mm sopra le apparecchiature sul tetto di cabina (operatore); ≥ 100 mm sopra pattini, attacchi delle funi e traversa dell'arcata; ≥ 300 mm sopra il corrimano della balaustra</t>
        </is>
      </c>
      <c r="E66" s="10" t="inlineStr">
        <is>
          <t>UNI EN 81-20:2020, 5.2.5.7.2</t>
        </is>
      </c>
      <c r="F66" s="10" t="inlineStr">
        <is>
          <t>sintesi della UNI EN 81-20:2020 di costruttori e organismi notificati (KONE, Sodimas, MCCAA), fonti secondarie concordi</t>
        </is>
      </c>
      <c r="G66" s="10" t="inlineStr">
        <is>
          <t>da verificare</t>
        </is>
      </c>
      <c r="H66" s="10" t="inlineStr">
        <is>
          <t>distanze libere dal soffitto</t>
        </is>
      </c>
      <c r="I66" s="11" t="n"/>
      <c r="J66" s="11" t="n"/>
      <c r="K66" s="11" t="n"/>
      <c r="L66" s="11" t="n"/>
      <c r="M66" s="11" t="n"/>
      <c r="N66" s="11" t="n"/>
    </row>
    <row r="67" ht="56" customHeight="1">
      <c r="A67" s="10" t="n">
        <v>65</v>
      </c>
      <c r="B67" s="10" t="inlineStr">
        <is>
          <t>Vano: sezione, spazi di rifugio e ammortizzatori</t>
        </is>
      </c>
      <c r="C67" s="10" t="inlineStr">
        <is>
          <t>Distanze in fossa con la cabina sugli ammortizzatori compressi</t>
        </is>
      </c>
      <c r="D67" s="10" t="inlineStr">
        <is>
          <t>≥ 500 mm dal pavimento della fossa alle parti più basse della cabina; grembiule alto ≥ 750 mm sotto la soglia di cabina, con ≥ 100 mm liberi dal pavimento della fossa</t>
        </is>
      </c>
      <c r="E67" s="10" t="inlineStr">
        <is>
          <t>UNI EN 81-20:2020, 5.2.5.8.2 e 5.4.5</t>
        </is>
      </c>
      <c r="F67" s="10" t="inlineStr">
        <is>
          <t>sintesi della UNI EN 81-20:2020 di costruttori e organismi notificati (KONE, Sodimas, MCCAA), fonti secondarie concordi</t>
        </is>
      </c>
      <c r="G67" s="10" t="inlineStr">
        <is>
          <t>da verificare</t>
        </is>
      </c>
      <c r="H67" s="10" t="inlineStr">
        <is>
          <t>spazio di rifugio in fossa; grembiule sugli ammortizzatori compressi</t>
        </is>
      </c>
      <c r="I67" s="11" t="n"/>
      <c r="J67" s="11" t="n"/>
      <c r="K67" s="11" t="n"/>
      <c r="L67" s="11" t="n"/>
      <c r="M67" s="11" t="n"/>
      <c r="N67" s="11" t="n"/>
    </row>
    <row r="68" ht="56" customHeight="1">
      <c r="A68" s="10" t="n">
        <v>66</v>
      </c>
      <c r="B68" s="10" t="inlineStr">
        <is>
          <t>Vano: sezione, spazi di rifugio e ammortizzatori</t>
        </is>
      </c>
      <c r="C68" s="10" t="inlineStr">
        <is>
          <t>Balaustra sul tetto di cabina</t>
        </is>
      </c>
      <c r="D68" s="10" t="inlineStr">
        <is>
          <t>richiesta se la distanza libera dal tetto alla parete supera 300 mm: alta 700 mm fino a 500 mm di distanza, 1100 mm oltre</t>
        </is>
      </c>
      <c r="E68" s="10" t="inlineStr">
        <is>
          <t>UNI EN 81-20:2020, 5.4.7.4</t>
        </is>
      </c>
      <c r="F68" s="10" t="inlineStr">
        <is>
          <t>sintesi della UNI EN 81-20:2020 di costruttori e organismi notificati (KONE, Sodimas, MCCAA), fonti secondarie concordi</t>
        </is>
      </c>
      <c r="G68" s="10" t="inlineStr">
        <is>
          <t>da verificare</t>
        </is>
      </c>
      <c r="H68" s="10" t="inlineStr">
        <is>
          <t>balaustra sul tetto di cabina</t>
        </is>
      </c>
      <c r="I68" s="11" t="n"/>
      <c r="J68" s="11" t="n"/>
      <c r="K68" s="11" t="n"/>
      <c r="L68" s="11" t="n"/>
      <c r="M68" s="11" t="n"/>
      <c r="N68" s="11" t="n"/>
    </row>
    <row r="69" ht="56" customHeight="1">
      <c r="A69" s="10" t="n">
        <v>67</v>
      </c>
      <c r="B69" s="10" t="inlineStr">
        <is>
          <t>Vano: sezione, spazi di rifugio e ammortizzatori</t>
        </is>
      </c>
      <c r="C69" s="10" t="inlineStr">
        <is>
          <t>Superficie dove una persona può stare sul tetto di cabina</t>
        </is>
      </c>
      <c r="D69" s="10" t="inlineStr">
        <is>
          <t>area continua ≥ 0,12 m² con il lato minore ≥ 250 mm (disegnata 400 × 300 mm); sopra di essa deve esserci l'altezza dello spazio di rifugio</t>
        </is>
      </c>
      <c r="E69" s="10" t="inlineStr">
        <is>
          <t>UNI EN 81-20:2020, 5.2.5.7.3</t>
        </is>
      </c>
      <c r="F69" s="10" t="inlineStr">
        <is>
          <t>sintesi della UNI EN 81-20:2020 di costruttori e organismi notificati (KONE, Sodimas, MCCAA), fonti secondarie concordi</t>
        </is>
      </c>
      <c r="G69" s="10" t="inlineStr">
        <is>
          <t>da verificare</t>
        </is>
      </c>
      <c r="H69" s="10" t="inlineStr">
        <is>
          <t>—</t>
        </is>
      </c>
      <c r="I69" s="11" t="n"/>
      <c r="J69" s="11" t="n"/>
      <c r="K69" s="11" t="n"/>
      <c r="L69" s="11" t="n"/>
      <c r="M69" s="11" t="n"/>
      <c r="N69" s="11" t="n"/>
    </row>
    <row r="70" ht="56" customHeight="1">
      <c r="A70" s="10" t="n">
        <v>68</v>
      </c>
      <c r="B70" s="10" t="inlineStr">
        <is>
          <t>Vano: sezione, spazi di rifugio e ammortizzatori</t>
        </is>
      </c>
      <c r="C70" s="10" t="inlineStr">
        <is>
          <t>Schermo del contrappeso in fossa</t>
        </is>
      </c>
      <c r="D70" s="10" t="inlineStr">
        <is>
          <t>dal punto più basso del contrappeso sugli ammortizzatori compressi fino ad almeno 2000 mm sopra il pavimento della fossa</t>
        </is>
      </c>
      <c r="E70" s="10" t="inlineStr">
        <is>
          <t>UNI EN 81-20:2020, 5.2.5.5.1</t>
        </is>
      </c>
      <c r="F70" s="10" t="inlineStr">
        <is>
          <t>sintesi della UNI EN 81-20:2020 di costruttori e organismi notificati (KONE, Sodimas, MCCAA), fonti secondarie concordi</t>
        </is>
      </c>
      <c r="G70" s="10" t="inlineStr">
        <is>
          <t>da verificare</t>
        </is>
      </c>
      <c r="H70" s="10" t="inlineStr">
        <is>
          <t>—</t>
        </is>
      </c>
      <c r="I70" s="11" t="n"/>
      <c r="J70" s="11" t="n"/>
      <c r="K70" s="11" t="n"/>
      <c r="L70" s="11" t="n"/>
      <c r="M70" s="11" t="n"/>
      <c r="N70" s="11" t="n"/>
    </row>
    <row r="71" ht="56" customHeight="1">
      <c r="A71" s="10" t="n">
        <v>69</v>
      </c>
      <c r="B71" s="10" t="inlineStr">
        <is>
          <t>Vano: sezione, spazi di rifugio e ammortizzatori</t>
        </is>
      </c>
      <c r="C71" s="10" t="inlineStr">
        <is>
          <t>Ammortizzatori ad accumulo di energia lineari (molle)</t>
        </is>
      </c>
      <c r="D71" s="10" t="inlineStr">
        <is>
          <t>ammessi fino a 1 m/s; corsa ≥ 0,135·v² m e comunque ≥ 65 mm; extracorsa della cabina e del contrappeso ≥ 0 (nessun minimo nella norma)</t>
        </is>
      </c>
      <c r="E71" s="10" t="inlineStr">
        <is>
          <t>UNI EN 81-20:2020, 5.8.2.2</t>
        </is>
      </c>
      <c r="F71" s="10" t="inlineStr">
        <is>
          <t>sintesi della UNI EN 81-20:2020 di costruttori e organismi notificati (KONE, Sodimas, MCCAA), fonti secondarie concordi</t>
        </is>
      </c>
      <c r="G71" s="10" t="inlineStr">
        <is>
          <t>da verificare</t>
        </is>
      </c>
      <c r="H71" s="10" t="inlineStr">
        <is>
          <t>corsa degli ammortizzatori di cabina; corsa dell'ammortizzatore del contrappeso; extracorsa di cabina e contrappeso</t>
        </is>
      </c>
      <c r="I71" s="11" t="n"/>
      <c r="J71" s="11" t="n"/>
      <c r="K71" s="11" t="n"/>
      <c r="L71" s="11" t="n"/>
      <c r="M71" s="11" t="n"/>
      <c r="N71" s="11" t="n"/>
    </row>
    <row r="72" ht="69" customHeight="1">
      <c r="A72" s="10" t="n">
        <v>70</v>
      </c>
      <c r="B72" s="10" t="inlineStr">
        <is>
          <t>Locale del macchinario</t>
        </is>
      </c>
      <c r="C72" s="10" t="inlineStr">
        <is>
          <t>Locale del macchinario</t>
        </is>
      </c>
      <c r="D72" s="10" t="inlineStr">
        <is>
          <t>altezza libera delle zone di lavoro ≥ 2100 mm (1800 mm sui percorsi); davanti al quadro una superficie libera profonda ≥ 700 mm e larga ≥ 500 mm o quanto il quadro; porta di accesso ≥ 600 × 2000 mm</t>
        </is>
      </c>
      <c r="E72" s="10" t="inlineStr">
        <is>
          <t>UNI EN 81-20:2020, 5.2.6.3.2.1 e 5.2.3</t>
        </is>
      </c>
      <c r="F72" s="10" t="inlineStr">
        <is>
          <t>sintesi della UNI EN 81-20:2020 di costruttori e organismi notificati (KONE, Sodimas, MCCAA), fonti secondarie concordi</t>
        </is>
      </c>
      <c r="G72" s="10" t="inlineStr">
        <is>
          <t>da verificare</t>
        </is>
      </c>
      <c r="H72" s="10" t="inlineStr">
        <is>
          <t>altezza del locale macchina; superficie libera davanti al quadro; porta del locale macchina</t>
        </is>
      </c>
      <c r="I72" s="11" t="n"/>
      <c r="J72" s="11" t="n"/>
      <c r="K72" s="11" t="n"/>
      <c r="L72" s="11" t="n"/>
      <c r="M72" s="11" t="n"/>
      <c r="N72" s="11" t="n"/>
    </row>
    <row r="73" ht="69" customHeight="1">
      <c r="A73" s="10" t="n">
        <v>71</v>
      </c>
      <c r="B73" s="10" t="inlineStr">
        <is>
          <t>Locale del macchinario</t>
        </is>
      </c>
      <c r="C73" s="10" t="inlineStr">
        <is>
          <t>Illuminazione del vano e del locale del macchinario</t>
        </is>
      </c>
      <c r="D73" s="10" t="inlineStr">
        <is>
          <t>vano: illuminazione fissa di almeno 50 lux a 1 m sopra il tetto della cabina e sopra il pavimento della fossa, 20 lux altrove; locale del macchinario: almeno 200 lux al pavimento nelle zone di lavoro</t>
        </is>
      </c>
      <c r="E73" s="10" t="inlineStr">
        <is>
          <t>UNI EN 81-20:2020, 5.2.1.4</t>
        </is>
      </c>
      <c r="F73" s="10" t="inlineStr">
        <is>
          <t>sintesi della UNI EN 81-20:2020 di costruttori e organismi notificati (KONE, Sodimas, MCCAA), fonti secondarie concordi</t>
        </is>
      </c>
      <c r="G73" s="10" t="inlineStr">
        <is>
          <t>da verificare</t>
        </is>
      </c>
      <c r="H73" s="10" t="inlineStr">
        <is>
          <t>—</t>
        </is>
      </c>
      <c r="I73" s="11" t="n"/>
      <c r="J73" s="11" t="n"/>
      <c r="K73" s="11" t="n"/>
      <c r="L73" s="11" t="n"/>
      <c r="M73" s="11" t="n"/>
      <c r="N73" s="11" t="n"/>
    </row>
    <row r="74" ht="56" customHeight="1">
      <c r="A74" s="10" t="n">
        <v>72</v>
      </c>
      <c r="B74" s="10" t="inlineStr">
        <is>
          <t>Locale del macchinario</t>
        </is>
      </c>
      <c r="C74" s="10" t="inlineStr">
        <is>
          <t>Temperatura dei locali del macchinario e degli armadi</t>
        </is>
      </c>
      <c r="D74" s="10" t="inlineStr">
        <is>
          <t>temperatura ambiente mantenuta tra +5 °C e +40 °C: ipotesi della norma, da garantire nell'edificio</t>
        </is>
      </c>
      <c r="E74" s="10" t="inlineStr">
        <is>
          <t>UNI EN 81-20:2020, introduzione (ipotesi)</t>
        </is>
      </c>
      <c r="F74" s="10" t="inlineStr">
        <is>
          <t>sintesi della UNI EN 81-20:2020 di costruttori e organismi notificati (KONE, Sodimas, MCCAA), fonti secondarie concordi</t>
        </is>
      </c>
      <c r="G74" s="10" t="inlineStr">
        <is>
          <t>da verificare</t>
        </is>
      </c>
      <c r="H74" s="10" t="inlineStr">
        <is>
          <t>—</t>
        </is>
      </c>
      <c r="I74" s="11" t="n"/>
      <c r="J74" s="11" t="n"/>
      <c r="K74" s="11" t="n"/>
      <c r="L74" s="11" t="n"/>
      <c r="M74" s="11" t="n"/>
      <c r="N74" s="11" t="n"/>
    </row>
    <row r="75" ht="108" customHeight="1">
      <c r="A75" s="10" t="n">
        <v>73</v>
      </c>
      <c r="B75" s="10" t="inlineStr">
        <is>
          <t>Carichi sull'edificio e spinte sulle guide</t>
        </is>
      </c>
      <c r="C75" s="10" t="inlineStr">
        <is>
          <t>Carichi sul pavimento della fossa</t>
        </is>
      </c>
      <c r="D75" s="10" t="inlineStr">
        <is>
          <t>sotto ogni ammortizzatore 4 volte il carico statico: 4·g·(P+Q) per la cabina, 4·g·M_cw per il contrappeso, divisi tra gli ammortizzatori; sotto ogni guida di cabina la massa della guida più la reazione all'intervento del paracadute k1·g·(P+Q)/2 (k1 = 2 progressivo, 3 istantaneo a rulli, 5 istantaneo); sotto ogni guida del contrappeso la massa della guida</t>
        </is>
      </c>
      <c r="E75" s="10" t="inlineStr">
        <is>
          <t>UNI EN 81-20:2020, 5.2.1.8; UNI EN 81-50:2020, 5.10</t>
        </is>
      </c>
      <c r="F75" s="10" t="inlineStr">
        <is>
          <t>sintesi della UNI EN 81-20:2020 di costruttori e organismi notificati (KONE, Sodimas, MCCAA), fonti secondarie concordi; sintesi della UNI EN 81-50:2020 (Elevator World, GMV, tesi UC3M), fonti secondarie</t>
        </is>
      </c>
      <c r="G75" s="10" t="inlineStr">
        <is>
          <t>da verificare</t>
        </is>
      </c>
      <c r="H75" s="10" t="inlineStr">
        <is>
          <t>—</t>
        </is>
      </c>
      <c r="I75" s="11" t="n"/>
      <c r="J75" s="11" t="n"/>
      <c r="K75" s="11" t="n"/>
      <c r="L75" s="11" t="n"/>
      <c r="M75" s="11" t="n"/>
      <c r="N75" s="11" t="n"/>
    </row>
    <row r="76" ht="108" customHeight="1">
      <c r="A76" s="10" t="n">
        <v>74</v>
      </c>
      <c r="B76" s="10" t="inlineStr">
        <is>
          <t>Carichi sull'edificio e spinte sulle guide</t>
        </is>
      </c>
      <c r="C76" s="10" t="inlineStr">
        <is>
          <t>Spinte sulle guide di cabina</t>
        </is>
      </c>
      <c r="D76" s="10" t="inlineStr">
        <is>
          <t>portata spostata di 1/8 della cabina dal centro, più lo scostamento della cabina dalle guide (arcata a zaino); intervento del paracadute: Fx = k1·g·(Q·xQ + P·xP)/(n·h) sulle facce delle lame, Fy = k1·g·(Q·yQ + P·yP)/((n/2)·h) sulle punte; marcia: k2 = 1,2; n = 2 guide, h = distanza tra i pattini, presa pari all'ingombro verticale dell'arcata; si riporta il caso più gravoso</t>
        </is>
      </c>
      <c r="E76" s="10" t="inlineStr">
        <is>
          <t>UNI EN 81-50:2020, 5.10</t>
        </is>
      </c>
      <c r="F76" s="10" t="inlineStr">
        <is>
          <t>sintesi della UNI EN 81-50:2020 (Elevator World, GMV, tesi UC3M), fonti secondarie</t>
        </is>
      </c>
      <c r="G76" s="10" t="inlineStr">
        <is>
          <t>da verificare</t>
        </is>
      </c>
      <c r="H76" s="10" t="inlineStr">
        <is>
          <t>—</t>
        </is>
      </c>
      <c r="I76" s="11" t="n"/>
      <c r="J76" s="11" t="n"/>
      <c r="K76" s="11" t="n"/>
      <c r="L76" s="11" t="n"/>
      <c r="M76" s="11" t="n"/>
      <c r="N76" s="11" t="n"/>
    </row>
    <row r="77" ht="82" customHeight="1">
      <c r="A77" s="10" t="n">
        <v>75</v>
      </c>
      <c r="B77" s="10" t="inlineStr">
        <is>
          <t>Carichi sull'edificio e spinte sulle guide</t>
        </is>
      </c>
      <c r="C77" s="10" t="inlineStr">
        <is>
          <t>Carico della macchina sulla soletta</t>
        </is>
      </c>
      <c r="D77" s="10" t="inlineStr">
        <is>
          <t>carico statico sull'asse (cabina, portata, contrappeso, funi, cavi; in taglia 2:1 la metà di cabina, portata e contrappeso) × 1,5 come coefficiente dinamico, modificabile nei dati dell'impianto; sulla soletta anche la massa di macchina e telaio</t>
        </is>
      </c>
      <c r="E77" s="10" t="inlineStr">
        <is>
          <t>—</t>
        </is>
      </c>
      <c r="F77" s="10" t="inlineStr">
        <is>
          <t>prassi di progetto: la EN 81 non fissa un coefficiente dinamico per gli appoggi della macchina (in altre prassi 2,0)</t>
        </is>
      </c>
      <c r="G77" s="10" t="inlineStr">
        <is>
          <t>prassi di cantiere</t>
        </is>
      </c>
      <c r="H77" s="10" t="inlineStr">
        <is>
          <t>—</t>
        </is>
      </c>
      <c r="I77" s="11" t="n"/>
      <c r="J77" s="11" t="n"/>
      <c r="K77" s="11" t="n"/>
      <c r="L77" s="11" t="n"/>
      <c r="M77" s="11" t="n"/>
      <c r="N77" s="11" t="n"/>
    </row>
    <row r="78" ht="43" customHeight="1">
      <c r="A78" s="10" t="n">
        <v>76</v>
      </c>
      <c r="B78" s="10" t="inlineStr">
        <is>
          <t>Carichi sull'edificio e spinte sulle guide</t>
        </is>
      </c>
      <c r="C78" s="10" t="inlineStr">
        <is>
          <t>Massa dei cavi flessibili</t>
        </is>
      </c>
      <c r="D78" s="10" t="inlineStr">
        <is>
          <t>0,5 kg/m per metà della corsa più 3 m, se non data nei dati dell'impianto (cavo piatto 24G0,75)</t>
        </is>
      </c>
      <c r="E78" s="10" t="inlineStr">
        <is>
          <t>—</t>
        </is>
      </c>
      <c r="F78" s="10" t="inlineStr">
        <is>
          <t>schede dei costruttori di cavi piatti (0,48–0,57 kg/m)</t>
        </is>
      </c>
      <c r="G78" s="10" t="inlineStr">
        <is>
          <t>stima</t>
        </is>
      </c>
      <c r="H78" s="10" t="inlineStr">
        <is>
          <t>—</t>
        </is>
      </c>
      <c r="I78" s="11" t="n"/>
      <c r="J78" s="11" t="n"/>
      <c r="K78" s="11" t="n"/>
      <c r="L78" s="11" t="n"/>
      <c r="M78" s="11" t="n"/>
      <c r="N78" s="11" t="n"/>
    </row>
    <row r="79" ht="82" customHeight="1">
      <c r="A79" s="10" t="n">
        <v>77</v>
      </c>
      <c r="B79" s="10" t="inlineStr">
        <is>
          <t>Carichi sull'edificio e spinte sulle guide</t>
        </is>
      </c>
      <c r="C79" s="10" t="inlineStr">
        <is>
          <t>Lunghezze stimate nel foglio dei dati</t>
        </is>
      </c>
      <c r="D79" s="10" t="inlineStr">
        <is>
          <t>guide dal pavimento della fossa fino a 50 mm sotto la soletta del vano; fune del limitatore: due volte l'altezza dalla fossa al limitatore, posto 800 mm sopra il pavimento del locale; funi di trazione: taglia × (corsa + 2 × tratto oltre la corsa), più deviazione o rinvii</t>
        </is>
      </c>
      <c r="E79" s="10" t="inlineStr">
        <is>
          <t>—</t>
        </is>
      </c>
      <c r="F79" s="10" t="inlineStr">
        <is>
          <t>stima del software, da sostituire con le misure di cantiere</t>
        </is>
      </c>
      <c r="G79" s="10" t="inlineStr">
        <is>
          <t>stima</t>
        </is>
      </c>
      <c r="H79" s="10" t="inlineStr">
        <is>
          <t>—</t>
        </is>
      </c>
      <c r="I79" s="11" t="n"/>
      <c r="J79" s="11" t="n"/>
      <c r="K79" s="11" t="n"/>
      <c r="L79" s="11" t="n"/>
      <c r="M79" s="11" t="n"/>
      <c r="N79" s="11" t="n"/>
    </row>
    <row r="80" ht="43" customHeight="1">
      <c r="A80" s="10" t="n">
        <v>78</v>
      </c>
      <c r="B80" s="10" t="inlineStr">
        <is>
          <t>Vano: limiti del progetto</t>
        </is>
      </c>
      <c r="C80" s="10" t="inlineStr">
        <is>
          <t>Dimensioni proposte della cabina</t>
        </is>
      </c>
      <c r="D80" s="10" t="inlineStr">
        <is>
          <t>la cabina più grande che entra nel vano, a passi di 10 mm, con superficie entro il limite della portata; a parità di superficie, la più profonda</t>
        </is>
      </c>
      <c r="E80" s="10" t="inlineStr">
        <is>
          <t>—</t>
        </is>
      </c>
      <c r="F80" s="10" t="inlineStr">
        <is>
          <t>scelta del software</t>
        </is>
      </c>
      <c r="G80" s="10" t="inlineStr">
        <is>
          <t>scelta del software</t>
        </is>
      </c>
      <c r="H80" s="10" t="inlineStr">
        <is>
          <t>—</t>
        </is>
      </c>
      <c r="I80" s="11" t="n"/>
      <c r="J80" s="11" t="n"/>
      <c r="K80" s="11" t="n"/>
      <c r="L80" s="11" t="n"/>
      <c r="M80" s="11" t="n"/>
      <c r="N80" s="11" t="n"/>
    </row>
    <row r="81" ht="82" customHeight="1">
      <c r="A81" s="10" t="n">
        <v>79</v>
      </c>
      <c r="B81" s="10" t="inlineStr">
        <is>
          <t>Vano: limiti del progetto</t>
        </is>
      </c>
      <c r="C81" s="10" t="inlineStr">
        <is>
          <t>Limiti del modello del vano</t>
        </is>
      </c>
      <c r="D81" s="10" t="inlineStr">
        <is>
          <t>pianta, sezione A-A e locale macchina da un modello semplificato: arcata, operatori delle porte, ammortizzatori e macchina hanno posizioni e ingombri tipici, da sostituire con i dati dei fornitori; il rilievo dal disegno CAD va controllato in cantiere</t>
        </is>
      </c>
      <c r="E81" s="10" t="inlineStr">
        <is>
          <t>—</t>
        </is>
      </c>
      <c r="F81" s="10" t="inlineStr">
        <is>
          <t>limite del modello attuale</t>
        </is>
      </c>
      <c r="G81" s="10" t="inlineStr">
        <is>
          <t>scelta del software</t>
        </is>
      </c>
      <c r="H81" s="10" t="inlineStr">
        <is>
          <t>—</t>
        </is>
      </c>
      <c r="I81" s="11" t="n"/>
      <c r="J81" s="11" t="n"/>
      <c r="K81" s="11" t="n"/>
      <c r="L81" s="11" t="n"/>
      <c r="M81" s="11" t="n"/>
      <c r="N81" s="11" t="n"/>
    </row>
    <row r="82" ht="56" customHeight="1">
      <c r="A82" s="10" t="n">
        <v>80</v>
      </c>
      <c r="B82" s="10" t="inlineStr">
        <is>
          <t>Impianto: valori calcolati dai dati inseriti una volta</t>
        </is>
      </c>
      <c r="C82" s="10" t="inlineStr">
        <is>
          <t>Corsa</t>
        </is>
      </c>
      <c r="D82" s="10" t="inlineStr">
        <is>
          <t>somma delle altezze tra i piani, dal più basso al più alto</t>
        </is>
      </c>
      <c r="E82" s="10" t="inlineStr">
        <is>
          <t>—</t>
        </is>
      </c>
      <c r="F82" s="10" t="inlineStr">
        <is>
          <t>dati dei piani inseriti</t>
        </is>
      </c>
      <c r="G82" s="10" t="inlineStr">
        <is>
          <t>derivazione</t>
        </is>
      </c>
      <c r="H82" s="10" t="inlineStr">
        <is>
          <t>—</t>
        </is>
      </c>
      <c r="I82" s="11" t="n"/>
      <c r="J82" s="11" t="n"/>
      <c r="K82" s="11" t="n"/>
      <c r="L82" s="11" t="n"/>
      <c r="M82" s="11" t="n"/>
      <c r="N82" s="11" t="n"/>
    </row>
    <row r="83" ht="56" customHeight="1">
      <c r="A83" s="10" t="n">
        <v>81</v>
      </c>
      <c r="B83" s="10" t="inlineStr">
        <is>
          <t>Impianto: valori calcolati dai dati inseriti una volta</t>
        </is>
      </c>
      <c r="C83" s="10" t="inlineStr">
        <is>
          <t>Portata e velocità</t>
        </is>
      </c>
      <c r="D83" s="10" t="inlineStr">
        <is>
          <t>la portata inserita, oppure quella della cabina più grande che entra nel vano (Tabella 6); la velocità è una sola per il vano e per la macchina</t>
        </is>
      </c>
      <c r="E83" s="10" t="inlineStr">
        <is>
          <t>UNI EN 81-20:2020, 5.4.2.1</t>
        </is>
      </c>
      <c r="F83" s="10" t="inlineStr">
        <is>
          <t>progetto del vano</t>
        </is>
      </c>
      <c r="G83" s="10" t="inlineStr">
        <is>
          <t>derivazione</t>
        </is>
      </c>
      <c r="H83" s="10" t="inlineStr">
        <is>
          <t>—</t>
        </is>
      </c>
      <c r="I83" s="11" t="n"/>
      <c r="J83" s="11" t="n"/>
      <c r="K83" s="11" t="n"/>
      <c r="L83" s="11" t="n"/>
      <c r="M83" s="11" t="n"/>
      <c r="N83" s="11" t="n"/>
    </row>
    <row r="84" ht="69" customHeight="1">
      <c r="A84" s="10" t="n">
        <v>82</v>
      </c>
      <c r="B84" s="10" t="inlineStr">
        <is>
          <t>Impianto: valori calcolati dai dati inseriti una volta</t>
        </is>
      </c>
      <c r="C84" s="10" t="inlineStr">
        <is>
          <t>Massa della cabina non inserita — va sostituita con la massa del libretto o con quella ricavata dalla prova di bilanciamento; la sensibilità ±10% ne mostra l'effetto</t>
        </is>
      </c>
      <c r="D84" s="10" t="inlineStr">
        <is>
          <t>P = 1,1·Q arrotondata per eccesso a 10 kg: valore di partenza per far girare il calcolo</t>
        </is>
      </c>
      <c r="E84" s="10" t="inlineStr">
        <is>
          <t>ricerca, capitoli 3 e 6 (origine della massa della cabina)</t>
        </is>
      </c>
      <c r="F84" s="10" t="inlineStr">
        <is>
          <t>scelta del software, senza fonte</t>
        </is>
      </c>
      <c r="G84" s="10" t="inlineStr">
        <is>
          <t>stima</t>
        </is>
      </c>
      <c r="H84" s="10" t="inlineStr">
        <is>
          <t>—</t>
        </is>
      </c>
      <c r="I84" s="11" t="n"/>
      <c r="J84" s="11" t="n"/>
      <c r="K84" s="11" t="n"/>
      <c r="L84" s="11" t="n"/>
      <c r="M84" s="11" t="n"/>
      <c r="N84" s="11" t="n"/>
    </row>
    <row r="85" ht="82" customHeight="1">
      <c r="A85" s="10" t="n">
        <v>83</v>
      </c>
      <c r="B85" s="10" t="inlineStr">
        <is>
          <t>Impianto: valori calcolati dai dati inseriti una volta</t>
        </is>
      </c>
      <c r="C85" s="10" t="inlineStr">
        <is>
          <t>Fune oltre la corsa (L0)</t>
        </is>
      </c>
      <c r="D85" s="10" t="inlineStr">
        <is>
          <t>dalla sommità dell'arcata con la cabina all'ultimo piano fino all'asse della puleggia: testata − sommità dell'arcata + solaio del locale + asse della puleggia a 0,9·D sul pavimento del locale (macchina in basso o senza locale: fino al soffitto del vano)</t>
        </is>
      </c>
      <c r="E85" s="10" t="inlineStr">
        <is>
          <t>—</t>
        </is>
      </c>
      <c r="F85" s="10" t="inlineStr">
        <is>
          <t>dati verticali del vano; altezza dell'asse scelta dal software</t>
        </is>
      </c>
      <c r="G85" s="10" t="inlineStr">
        <is>
          <t>scelta del software</t>
        </is>
      </c>
      <c r="H85" s="10" t="inlineStr">
        <is>
          <t>—</t>
        </is>
      </c>
      <c r="I85" s="11" t="n"/>
      <c r="J85" s="11" t="n"/>
      <c r="K85" s="11" t="n"/>
      <c r="L85" s="11" t="n"/>
      <c r="M85" s="11" t="n"/>
      <c r="N85" s="11" t="n"/>
    </row>
    <row r="86" ht="56" customHeight="1">
      <c r="A86" s="10" t="n">
        <v>84</v>
      </c>
      <c r="B86" s="10" t="inlineStr">
        <is>
          <t>Impianto: valori calcolati dai dati inseriti una volta</t>
        </is>
      </c>
      <c r="C86" s="10" t="inlineStr">
        <is>
          <t>Distanza orizzontale della puleggia di rinvio (dx)</t>
        </is>
      </c>
      <c r="D86" s="10" t="inlineStr">
        <is>
          <t>calata tra la fune di cabina e quella del contrappeso in pianta − D/2 − Dp/2: la puleggia di trazione sopra la cabina, il rinvio sopra il contrappeso</t>
        </is>
      </c>
      <c r="E86" s="10" t="inlineStr">
        <is>
          <t>ricerca, capitolo 5.3</t>
        </is>
      </c>
      <c r="F86" s="10" t="inlineStr">
        <is>
          <t>pianta del vano</t>
        </is>
      </c>
      <c r="G86" s="10" t="inlineStr">
        <is>
          <t>derivazione</t>
        </is>
      </c>
      <c r="H86" s="10" t="inlineStr">
        <is>
          <t>—</t>
        </is>
      </c>
      <c r="I86" s="11" t="n"/>
      <c r="J86" s="11" t="n"/>
      <c r="K86" s="11" t="n"/>
      <c r="L86" s="11" t="n"/>
      <c r="M86" s="11" t="n"/>
      <c r="N86" s="11" t="n"/>
    </row>
    <row r="87" ht="56" customHeight="1">
      <c r="A87" s="10" t="n">
        <v>85</v>
      </c>
      <c r="B87" s="10" t="inlineStr">
        <is>
          <t>Impianto: valori calcolati dai dati inseriti una volta</t>
        </is>
      </c>
      <c r="C87" s="10" t="inlineStr">
        <is>
          <t>Macchina in basso: altezza fino alle pulegge in alto (Hv)</t>
        </is>
      </c>
      <c r="D87" s="10" t="inlineStr">
        <is>
          <t>corsa + testata: la macchina al livello del piano più basso, le pulegge sotto il soffitto del vano</t>
        </is>
      </c>
      <c r="E87" s="10" t="inlineStr">
        <is>
          <t>ricerca, capitolo 5</t>
        </is>
      </c>
      <c r="F87" s="10" t="inlineStr">
        <is>
          <t>dati verticali del vano</t>
        </is>
      </c>
      <c r="G87" s="10" t="inlineStr">
        <is>
          <t>derivazione</t>
        </is>
      </c>
      <c r="H87" s="10" t="inlineStr">
        <is>
          <t>—</t>
        </is>
      </c>
      <c r="I87" s="11" t="n"/>
      <c r="J87" s="11" t="n"/>
      <c r="K87" s="11" t="n"/>
      <c r="L87" s="11" t="n"/>
      <c r="M87" s="11" t="n"/>
      <c r="N87" s="11" t="n"/>
    </row>
    <row r="88" ht="56" customHeight="1">
      <c r="A88" s="10" t="n">
        <v>86</v>
      </c>
      <c r="B88" s="10" t="inlineStr">
        <is>
          <t>Impianto: valori calcolati dai dati inseriti una volta</t>
        </is>
      </c>
      <c r="C88" s="10" t="inlineStr">
        <is>
          <t>Macchina proposta — una griglia di calcolo, non un catalogo: il modello reale va scelto dal costruttore con questi valori</t>
        </is>
      </c>
      <c r="D88" s="10" t="inlineStr">
        <is>
          <t>la prima opzione del dimensionamento (capitolo 8): puleggia, funi, rapporto, gola, motore e freno che passano ogni verifica; con le ipotesi del gruppo (poli, giri, rendimenti, inerzie) inserite</t>
        </is>
      </c>
      <c r="E88" s="10" t="inlineStr">
        <is>
          <t>ricerca, capitolo 8</t>
        </is>
      </c>
      <c r="F88" s="10" t="inlineStr">
        <is>
          <t>motore di calcolo</t>
        </is>
      </c>
      <c r="G88" s="10" t="inlineStr">
        <is>
          <t>scelta del software</t>
        </is>
      </c>
      <c r="H88" s="10" t="inlineStr">
        <is>
          <t>—</t>
        </is>
      </c>
      <c r="I88" s="11" t="n"/>
      <c r="J88" s="11" t="n"/>
      <c r="K88" s="11" t="n"/>
      <c r="L88" s="11" t="n"/>
      <c r="M88" s="11" t="n"/>
      <c r="N88" s="11" t="n"/>
    </row>
    <row r="89" ht="69" customHeight="1">
      <c r="A89" s="10" t="n">
        <v>87</v>
      </c>
      <c r="B89" s="10" t="inlineStr">
        <is>
          <t>Simulazione nel tempo (3D e grafici)</t>
        </is>
      </c>
      <c r="C89" s="10" t="inlineStr">
        <is>
          <t>Forze nella simulazione — agli estremi della corsa e alle accelerazioni della verifica i valori coincidono con quelli della verifica (test automatico)</t>
        </is>
      </c>
      <c r="D89" s="10" t="inlineStr">
        <is>
          <t>tiri delle funi, T1/T2, e^(f·α), coppie e decelerazione del freno con le stesse funzioni della verifica (modello delle funi del motore di calcolo), valutate istante per istante con la posizione e l'accelerazione della cabina</t>
        </is>
      </c>
      <c r="E89" s="10" t="inlineStr">
        <is>
          <t>UNI EN 81-50:2020, 5.11 (aderenza); ricerca, capitolo 4</t>
        </is>
      </c>
      <c r="F89" s="10" t="inlineStr">
        <is>
          <t>motore di calcolo (src/calc/model.ts)</t>
        </is>
      </c>
      <c r="G89" s="10" t="inlineStr">
        <is>
          <t>derivazione</t>
        </is>
      </c>
      <c r="H89" s="10" t="inlineStr">
        <is>
          <t>—</t>
        </is>
      </c>
      <c r="I89" s="11" t="n"/>
      <c r="J89" s="11" t="n"/>
      <c r="K89" s="11" t="n"/>
      <c r="L89" s="11" t="n"/>
      <c r="M89" s="11" t="n"/>
      <c r="N89" s="11" t="n"/>
    </row>
    <row r="90" ht="56" customHeight="1">
      <c r="A90" s="10" t="n">
        <v>88</v>
      </c>
      <c r="B90" s="10" t="inlineStr">
        <is>
          <t>Simulazione nel tempo (3D e grafici)</t>
        </is>
      </c>
      <c r="C90" s="10" t="inlineStr">
        <is>
          <t>Profilo del moto tra i piani — accelerazione e strappo sono dati di progetto dell'azionamento, non limiti normativi</t>
        </is>
      </c>
      <c r="D90" s="10" t="inlineStr">
        <is>
          <t>profilo a strappo limitato: velocità nominale, accelerazione di progetto e strappo 1 m/s³; se il tragitto è corto, la velocità più alta che ci sta</t>
        </is>
      </c>
      <c r="E90" s="10" t="inlineStr">
        <is>
          <t>ISO 18738-1:2012 (misura della qualità di marcia, nessun limite)</t>
        </is>
      </c>
      <c r="F90" s="10" t="inlineStr">
        <is>
          <t>scelta del software</t>
        </is>
      </c>
      <c r="G90" s="10" t="inlineStr">
        <is>
          <t>scelta del software</t>
        </is>
      </c>
      <c r="H90" s="10" t="inlineStr">
        <is>
          <t>—</t>
        </is>
      </c>
      <c r="I90" s="11" t="n"/>
      <c r="J90" s="11" t="n"/>
      <c r="K90" s="11" t="n"/>
      <c r="L90" s="11" t="n"/>
      <c r="M90" s="11" t="n"/>
      <c r="N90" s="11" t="n"/>
    </row>
    <row r="91" ht="69" customHeight="1">
      <c r="A91" s="10" t="n">
        <v>89</v>
      </c>
      <c r="B91" s="10" t="inlineStr">
        <is>
          <t>Simulazione nel tempo (3D e grafici)</t>
        </is>
      </c>
      <c r="C91" s="10" t="inlineStr">
        <is>
          <t>Limite di aderenza mostrato durante la marcia</t>
        </is>
      </c>
      <c r="D91" s="10" t="inlineStr">
        <is>
          <t>e^(f·α) con il coefficiente d'attrito della frenatura (μ ridotto con la velocità delle funi): il confronto è indicativo (oltre il limite: avviso, non verifica fallita), la verifica resta quella dei casi della norma</t>
        </is>
      </c>
      <c r="E91" s="10" t="inlineStr">
        <is>
          <t>UNI EN 81-50:2020, 5.11.2.2</t>
        </is>
      </c>
      <c r="F91" s="10" t="inlineStr">
        <is>
          <t>scelta del software</t>
        </is>
      </c>
      <c r="G91" s="10" t="inlineStr">
        <is>
          <t>scelta del software</t>
        </is>
      </c>
      <c r="H91" s="10" t="inlineStr">
        <is>
          <t>—</t>
        </is>
      </c>
      <c r="I91" s="11" t="n"/>
      <c r="J91" s="11" t="n"/>
      <c r="K91" s="11" t="n"/>
      <c r="L91" s="11" t="n"/>
      <c r="M91" s="11" t="n"/>
      <c r="N91" s="11" t="n"/>
    </row>
    <row r="92" ht="43" customHeight="1">
      <c r="A92" s="10" t="n">
        <v>90</v>
      </c>
      <c r="B92" s="10" t="inlineStr">
        <is>
          <t>Simulazione nel tempo (3D e grafici)</t>
        </is>
      </c>
      <c r="C92" s="10" t="inlineStr">
        <is>
          <t>Tempi delle porte</t>
        </is>
      </c>
      <c r="D92" s="10" t="inlineStr">
        <is>
          <t>apertura 2,5 s, chiusura 3 s, sosta a porte aperte 3 s, partenza 0,5 s dopo la chiusura</t>
        </is>
      </c>
      <c r="E92" s="10" t="inlineStr">
        <is>
          <t>—</t>
        </is>
      </c>
      <c r="F92" s="10" t="inlineStr">
        <is>
          <t>scelta del software (solo animazione)</t>
        </is>
      </c>
      <c r="G92" s="10" t="inlineStr">
        <is>
          <t>scelta del software</t>
        </is>
      </c>
      <c r="H92" s="10" t="inlineStr">
        <is>
          <t>—</t>
        </is>
      </c>
      <c r="I92" s="11" t="n"/>
      <c r="J92" s="11" t="n"/>
      <c r="K92" s="11" t="n"/>
      <c r="L92" s="11" t="n"/>
      <c r="M92" s="11" t="n"/>
      <c r="N92" s="11" t="n"/>
    </row>
    <row r="93" ht="69" customHeight="1">
      <c r="A93" s="10" t="n">
        <v>91</v>
      </c>
      <c r="B93" s="10" t="inlineStr">
        <is>
          <t>Simulazione nel tempo (3D e grafici)</t>
        </is>
      </c>
      <c r="C93" s="10" t="inlineStr">
        <is>
          <t>Urto sugli ammortizzatori — la rigidezza è una scelta del software coerente con i carichi sulla fossa; la verifica della corsa resta quella della sezione</t>
        </is>
      </c>
      <c r="D93" s="10" t="inlineStr">
        <is>
          <t>velocità d'urto 1,15 volte la nominale; ammortizzatore lineare con la corsa piena a 4 volte il carico statico (lo stesso valore dei carichi sulla fossa); la cabina e il contrappeso si separano all'urto</t>
        </is>
      </c>
      <c r="E93" s="10" t="inlineStr">
        <is>
          <t>UNI EN 81-20:2020, 5.8.2.2</t>
        </is>
      </c>
      <c r="F93" s="10" t="inlineStr">
        <is>
          <t>sintesi della norma di costruttori e organismi notificati (fonti secondarie)</t>
        </is>
      </c>
      <c r="G93" s="10" t="inlineStr">
        <is>
          <t>da verificare</t>
        </is>
      </c>
      <c r="H93" s="10" t="inlineStr">
        <is>
          <t>—</t>
        </is>
      </c>
      <c r="I93" s="11" t="n"/>
      <c r="J93" s="11" t="n"/>
      <c r="K93" s="11" t="n"/>
      <c r="L93" s="11" t="n"/>
      <c r="M93" s="11" t="n"/>
      <c r="N93" s="11" t="n"/>
    </row>
    <row r="94" ht="56" customHeight="1">
      <c r="A94" s="10" t="n">
        <v>92</v>
      </c>
      <c r="B94" s="10" t="inlineStr">
        <is>
          <t>Simulazione nel tempo (3D e grafici)</t>
        </is>
      </c>
      <c r="C94" s="10" t="inlineStr">
        <is>
          <t>Cabina bloccata: rotazione in salita</t>
        </is>
      </c>
      <c r="D94" s="10" t="inlineStr">
        <is>
          <t>la macchina gira in salita a 0,3 m/s finché il contrappeso poggia sui suoi ammortizzatori; poi le funi devono slittare (T1/T2 ≥ e^(f·α), μ della cabina bloccata)</t>
        </is>
      </c>
      <c r="E94" s="10" t="inlineStr">
        <is>
          <t>UNI EN 81-50:2020, 5.11.2</t>
        </is>
      </c>
      <c r="F94" s="10" t="inlineStr">
        <is>
          <t>motore di calcolo; velocità scelta dal software</t>
        </is>
      </c>
      <c r="G94" s="10" t="inlineStr">
        <is>
          <t>scelta del software</t>
        </is>
      </c>
      <c r="H94" s="10" t="inlineStr">
        <is>
          <t>—</t>
        </is>
      </c>
      <c r="I94" s="11" t="n"/>
      <c r="J94" s="11" t="n"/>
      <c r="K94" s="11" t="n"/>
      <c r="L94" s="11" t="n"/>
      <c r="M94" s="11" t="n"/>
      <c r="N94" s="11" t="n"/>
    </row>
    <row r="95" ht="43" customHeight="1">
      <c r="A95" s="10" t="n">
        <v>93</v>
      </c>
      <c r="B95" s="10" t="inlineStr">
        <is>
          <t>Simulazione nel tempo (3D e grafici)</t>
        </is>
      </c>
      <c r="C95" s="10" t="inlineStr">
        <is>
          <t>Passo di campionamento</t>
        </is>
      </c>
      <c r="D95" s="10" t="inlineStr">
        <is>
          <t>0,02 s; tra due campioni i valori sono interpolati linearmente</t>
        </is>
      </c>
      <c r="E95" s="10" t="inlineStr">
        <is>
          <t>—</t>
        </is>
      </c>
      <c r="F95" s="10" t="inlineStr">
        <is>
          <t>scelta del software</t>
        </is>
      </c>
      <c r="G95" s="10" t="inlineStr">
        <is>
          <t>scelta del software</t>
        </is>
      </c>
      <c r="H95" s="10" t="inlineStr">
        <is>
          <t>—</t>
        </is>
      </c>
      <c r="I95" s="11" t="n"/>
      <c r="J95" s="11" t="n"/>
      <c r="K95" s="11" t="n"/>
      <c r="L95" s="11" t="n"/>
      <c r="M95" s="11" t="n"/>
      <c r="N95" s="11" t="n"/>
    </row>
  </sheetData>
  <autoFilter ref="A1:N95"/>
  <dataValidations count="1">
    <dataValidation sqref="I3:I95" showDropDown="0" showInputMessage="0" showErrorMessage="1" allowBlank="1" errorTitle="Esito" error="Scegliere: conforme, diverso, non applicabile." type="list">
      <formula1>"conforme,diverso,non applicabile"</formula1>
    </dataValidation>
  </dataValidation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2" t="inlineStr">
        <is>
          <t>Riepilogo della verifica</t>
        </is>
      </c>
    </row>
    <row r="3">
      <c r="A3" s="3" t="inlineStr">
        <is>
          <t>Voci per stato</t>
        </is>
      </c>
    </row>
    <row r="4">
      <c r="A4" s="6" t="inlineStr">
        <is>
          <t>da verificare</t>
        </is>
      </c>
      <c r="B4" s="6">
        <f>COUNTIF(Voci!$G$3:$G$95,"da verificare")</f>
        <v/>
      </c>
    </row>
    <row r="5">
      <c r="A5" s="6" t="inlineStr">
        <is>
          <t>confermato</t>
        </is>
      </c>
      <c r="B5" s="6">
        <f>COUNTIF(Voci!$G$3:$G$95,"confermato")</f>
        <v/>
      </c>
    </row>
    <row r="6">
      <c r="A6" s="6" t="inlineStr">
        <is>
          <t>scelta del software</t>
        </is>
      </c>
      <c r="B6" s="6">
        <f>COUNTIF(Voci!$G$3:$G$95,"scelta del software")</f>
        <v/>
      </c>
    </row>
    <row r="7">
      <c r="A7" s="6" t="inlineStr">
        <is>
          <t>stima</t>
        </is>
      </c>
      <c r="B7" s="6">
        <f>COUNTIF(Voci!$G$3:$G$95,"stima")</f>
        <v/>
      </c>
    </row>
    <row r="8">
      <c r="A8" s="6" t="inlineStr">
        <is>
          <t>derivazione</t>
        </is>
      </c>
      <c r="B8" s="6">
        <f>COUNTIF(Voci!$G$3:$G$95,"derivazione")</f>
        <v/>
      </c>
    </row>
    <row r="9">
      <c r="A9" s="6" t="inlineStr">
        <is>
          <t>prassi di cantiere</t>
        </is>
      </c>
      <c r="B9" s="6">
        <f>COUNTIF(Voci!$G$3:$G$95,"prassi di cantiere")</f>
        <v/>
      </c>
    </row>
    <row r="10">
      <c r="A10" s="3" t="inlineStr">
        <is>
          <t>Totale voci</t>
        </is>
      </c>
      <c r="B10" s="3">
        <f>COUNTA(Voci!$A$3:$A$95)</f>
        <v/>
      </c>
    </row>
    <row r="12">
      <c r="A12" s="3" t="inlineStr">
        <is>
          <t>Esito</t>
        </is>
      </c>
    </row>
    <row r="13">
      <c r="A13" s="6" t="inlineStr">
        <is>
          <t>conforme</t>
        </is>
      </c>
      <c r="B13" s="6">
        <f>COUNTIF(Voci!$I$3:$I$95,"conforme")</f>
        <v/>
      </c>
    </row>
    <row r="14">
      <c r="A14" s="6" t="inlineStr">
        <is>
          <t>diverso</t>
        </is>
      </c>
      <c r="B14" s="6">
        <f>COUNTIF(Voci!$I$3:$I$95,"diverso")</f>
        <v/>
      </c>
    </row>
    <row r="15">
      <c r="A15" s="6" t="inlineStr">
        <is>
          <t>non applicabile</t>
        </is>
      </c>
      <c r="B15" s="6">
        <f>COUNTIF(Voci!$I$3:$I$95,"non applicabile")</f>
        <v/>
      </c>
    </row>
    <row r="16">
      <c r="A16" s="6" t="inlineStr">
        <is>
          <t>da compilare</t>
        </is>
      </c>
      <c r="B16" s="6">
        <f>COUNTBLANK(Voci!$I$3:$I$95)</f>
        <v/>
      </c>
    </row>
    <row r="18">
      <c r="A18" s="13" t="inlineStr">
        <is>
          <t>Conteggi sulle righe 3–95 del foglio «Voci» (la riga 2 è l'esempio).</t>
        </is>
      </c>
    </row>
  </sheetData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2026-09-30T21:02:30Z</dcterms:created>
  <dcterms:modified xsi:type="dcterms:W3CDTF">2026-09-30T21:02:30Z</dcterms:modified>
</cp:coreProperties>
</file>